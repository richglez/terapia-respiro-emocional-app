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52554\Documents\Margarita 2\CECPAM 07 ABRIL\2024\Cuidadores\"/>
    </mc:Choice>
  </mc:AlternateContent>
  <bookViews>
    <workbookView xWindow="0" yWindow="0" windowWidth="11808" windowHeight="91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33" i="1" l="1"/>
  <c r="Y32" i="1"/>
  <c r="Y31" i="1"/>
  <c r="Y30" i="1"/>
  <c r="Y29" i="1"/>
  <c r="Y28" i="1"/>
  <c r="Y27" i="1"/>
  <c r="Y26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 l="1"/>
</calcChain>
</file>

<file path=xl/sharedStrings.xml><?xml version="1.0" encoding="utf-8"?>
<sst xmlns="http://schemas.openxmlformats.org/spreadsheetml/2006/main" count="890" uniqueCount="430">
  <si>
    <t>NO</t>
  </si>
  <si>
    <t>EXPEDIENTE</t>
  </si>
  <si>
    <t>APELLIDO PATERNO</t>
  </si>
  <si>
    <t>APELLIDO MATERNO</t>
  </si>
  <si>
    <t>NOMBRE (S)</t>
  </si>
  <si>
    <t>INGRESO PROGRAMA SUPLENCIAS</t>
  </si>
  <si>
    <t>DOMICILIO</t>
  </si>
  <si>
    <t>COLONIA</t>
  </si>
  <si>
    <t>ALCALDÍA/ MUNICIPIO</t>
  </si>
  <si>
    <t>ENTIDAD FEDERATIVA</t>
  </si>
  <si>
    <t>SEXO</t>
  </si>
  <si>
    <t>EDAD</t>
  </si>
  <si>
    <t>NÚMERO DE SUPLENCIAS MENSUALES</t>
  </si>
  <si>
    <t>TOTAL SUPLENCIAS</t>
  </si>
  <si>
    <t>DIAGNÓSTICO</t>
  </si>
  <si>
    <t>NACIONALIDAD</t>
  </si>
  <si>
    <t>CUIDADOR PRIMARIO</t>
  </si>
  <si>
    <t>TELÉFONO</t>
  </si>
  <si>
    <t>PARENTESCO</t>
  </si>
  <si>
    <t>SEGUNDO CUIDADOR PRIMARIO</t>
  </si>
  <si>
    <t>OTROS CUIDADORES</t>
  </si>
  <si>
    <t>DÍAS DE SUPLENCIAS</t>
  </si>
  <si>
    <t>HORARIO DE SUPLENCIA</t>
  </si>
  <si>
    <t>HORAS POR GUARDIA</t>
  </si>
  <si>
    <t>COSTO POR GUARDIA</t>
  </si>
  <si>
    <t>PARTICULAR</t>
  </si>
  <si>
    <t>BECALO CECPAM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</si>
  <si>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</si>
  <si>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</si>
  <si>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</si>
  <si>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</si>
  <si>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</si>
  <si>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</si>
  <si>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</si>
  <si>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</si>
  <si>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</si>
  <si>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</si>
  <si>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</si>
  <si>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</si>
  <si>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</t>
  </si>
  <si>
    <t>M</t>
  </si>
  <si>
    <t>J</t>
  </si>
  <si>
    <t>V</t>
  </si>
  <si>
    <t>S</t>
  </si>
  <si>
    <t>D</t>
  </si>
  <si>
    <t>EDO. DE MEX.</t>
  </si>
  <si>
    <t>F</t>
  </si>
  <si>
    <t>MEXICANA</t>
  </si>
  <si>
    <t>HIJO</t>
  </si>
  <si>
    <t>SI</t>
  </si>
  <si>
    <t>ÁLVARO OBREGÓN</t>
  </si>
  <si>
    <t>CDMX</t>
  </si>
  <si>
    <t>HIJA</t>
  </si>
  <si>
    <t>12 HORAS</t>
  </si>
  <si>
    <t>SÁNCHEZ</t>
  </si>
  <si>
    <t>TLALPAN</t>
  </si>
  <si>
    <t>N/A</t>
  </si>
  <si>
    <t>08:00 A 20:00</t>
  </si>
  <si>
    <t>10:00 A 16:00</t>
  </si>
  <si>
    <t>CECPAM</t>
  </si>
  <si>
    <t>MADRE</t>
  </si>
  <si>
    <t>6 HORAS</t>
  </si>
  <si>
    <t>PÉREZ</t>
  </si>
  <si>
    <t>CUAUHTÉMOC</t>
  </si>
  <si>
    <t>HERMANA</t>
  </si>
  <si>
    <t>COYOACÁN</t>
  </si>
  <si>
    <t>24 HORAS</t>
  </si>
  <si>
    <t>21/028</t>
  </si>
  <si>
    <t xml:space="preserve">MORA </t>
  </si>
  <si>
    <t>DE MUCHA</t>
  </si>
  <si>
    <t>MARÍA TERESA</t>
  </si>
  <si>
    <r>
      <t xml:space="preserve">VIRGINIA </t>
    </r>
    <r>
      <rPr>
        <i/>
        <sz val="11"/>
        <color theme="1"/>
        <rFont val="Calibri"/>
        <family val="2"/>
        <scheme val="minor"/>
      </rPr>
      <t>65</t>
    </r>
  </si>
  <si>
    <t>PARQUE SAN ANDRÉS</t>
  </si>
  <si>
    <t>TROMBOSIS</t>
  </si>
  <si>
    <t>MIGUEL DE MUCHA</t>
  </si>
  <si>
    <t>RODOLFO DE MUCHA</t>
  </si>
  <si>
    <t>8:00 A 8:00</t>
  </si>
  <si>
    <t>BENITO JUÁREZ</t>
  </si>
  <si>
    <t>20/040</t>
  </si>
  <si>
    <t>QUIROZ</t>
  </si>
  <si>
    <t>TORRES</t>
  </si>
  <si>
    <t>MANUEL MARIO ROBERTO</t>
  </si>
  <si>
    <t>CALZ. DESIERTO DE LOS LEONES #5021 TORRE A DEPTO 201</t>
  </si>
  <si>
    <t>TETELPA</t>
  </si>
  <si>
    <t>HIPERTENSO, DIABÉTICO</t>
  </si>
  <si>
    <t>JUAN MANUEL QUIROS VEGA</t>
  </si>
  <si>
    <t>JESSICA QUIROS VEGA</t>
  </si>
  <si>
    <t>RETORNO 12 #13</t>
  </si>
  <si>
    <t>AVANTE</t>
  </si>
  <si>
    <t>ESPOSA</t>
  </si>
  <si>
    <t>DEMENCIA</t>
  </si>
  <si>
    <t>RODRÍGUEZ</t>
  </si>
  <si>
    <t>GAM</t>
  </si>
  <si>
    <t>21:00 A 09:00</t>
  </si>
  <si>
    <t>21/084</t>
  </si>
  <si>
    <t>AUTRIQUE</t>
  </si>
  <si>
    <t>CORREDOR</t>
  </si>
  <si>
    <t>LEONARDO</t>
  </si>
  <si>
    <t>PRETAL # 22</t>
  </si>
  <si>
    <t>VILLA CHARRO DEL PEDREGAL</t>
  </si>
  <si>
    <t>SÍNDROME DE DOWN</t>
  </si>
  <si>
    <t>ANA MARÍA CORREDOR DE AUTRIQUE</t>
  </si>
  <si>
    <t>ALEJANDRO AUTRIQUE</t>
  </si>
  <si>
    <t>20/023</t>
  </si>
  <si>
    <t>FRENK</t>
  </si>
  <si>
    <t>FREUN</t>
  </si>
  <si>
    <t>MARGARITA ANA MARÍA</t>
  </si>
  <si>
    <t>MAGISTERIO NACIONAL # 157</t>
  </si>
  <si>
    <t>TLALPAN CENTRO II</t>
  </si>
  <si>
    <t>ALEMANA/ MEXICANA</t>
  </si>
  <si>
    <t>SILVIA ALATORRE FRENK</t>
  </si>
  <si>
    <t>5485.2646</t>
  </si>
  <si>
    <t>NO APLICA</t>
  </si>
  <si>
    <t>NA</t>
  </si>
  <si>
    <t>21/008</t>
  </si>
  <si>
    <t>FLORES</t>
  </si>
  <si>
    <t>ARAUZ</t>
  </si>
  <si>
    <t>ESTEBAN</t>
  </si>
  <si>
    <t>CAMINO A SANTA TERESA #1482 CASA 12</t>
  </si>
  <si>
    <t>JARDINES DEL PEDREGAL</t>
  </si>
  <si>
    <t>CÁNCER DE PRÓSTATA</t>
  </si>
  <si>
    <t>GUADALUPE GARCÍA DE FLORES</t>
  </si>
  <si>
    <t>5554141302</t>
  </si>
  <si>
    <t>CECILIA FLORES GARCÍA</t>
  </si>
  <si>
    <t>SOBRINA</t>
  </si>
  <si>
    <t xml:space="preserve">09:00 A 21:00 </t>
  </si>
  <si>
    <t>12:00 A 18:00</t>
  </si>
  <si>
    <t>PROGRAMA TERAPIA DE RESPIRO CECPAM 2024</t>
  </si>
  <si>
    <t>23/007</t>
  </si>
  <si>
    <t xml:space="preserve">GÓMEZ </t>
  </si>
  <si>
    <t>AMBROSIO</t>
  </si>
  <si>
    <t>CARLOS ADRIÁN</t>
  </si>
  <si>
    <t>CALLE 3 #71</t>
  </si>
  <si>
    <t>EL SOL</t>
  </si>
  <si>
    <t>NEZAHUALCOYOTL</t>
  </si>
  <si>
    <t>ENCEFALITIS VIRAL</t>
  </si>
  <si>
    <t>GUADALUPE AMBROSIO MARTÍNEZ</t>
  </si>
  <si>
    <t>23/029</t>
  </si>
  <si>
    <t>MARTÍNEZ</t>
  </si>
  <si>
    <t>ÁLVAREZ</t>
  </si>
  <si>
    <t>JOSÉ MARÍA</t>
  </si>
  <si>
    <t>AV. INDEPENDENCIA S/N</t>
  </si>
  <si>
    <t>TABOADA</t>
  </si>
  <si>
    <t>TEMOAYA</t>
  </si>
  <si>
    <t>EVC ISQUÉMICA</t>
  </si>
  <si>
    <t>JUDITH ÁLVAREZ JIMÉNEZ</t>
  </si>
  <si>
    <t>NMP</t>
  </si>
  <si>
    <t>23/030</t>
  </si>
  <si>
    <t>DIEGO</t>
  </si>
  <si>
    <t>ARTRÍTIS IDIOPATÍCA JUVENIL</t>
  </si>
  <si>
    <t>23/031</t>
  </si>
  <si>
    <t>SALVADOR</t>
  </si>
  <si>
    <t>23/058</t>
  </si>
  <si>
    <t>CISNEROS</t>
  </si>
  <si>
    <t>ÁVILA</t>
  </si>
  <si>
    <t>MARIANA ALEJANDRA</t>
  </si>
  <si>
    <t>CRUZ DEL CAMPO SANTO # 42</t>
  </si>
  <si>
    <t>SANTAC RUZ DEL MONTE</t>
  </si>
  <si>
    <t>NAUCALPAN</t>
  </si>
  <si>
    <t>HIPERTENSIÓN PULMONAR Y DESCOMPOSICIÓN MEDULAR</t>
  </si>
  <si>
    <t>ESPERANZA CISNEROS ÁVILA</t>
  </si>
  <si>
    <t>23/098</t>
  </si>
  <si>
    <t>ROMERO</t>
  </si>
  <si>
    <t>FONSECA</t>
  </si>
  <si>
    <t>JOSHUA NAIN</t>
  </si>
  <si>
    <t>16 DE SEPTIEMBRE MZ-12 LT-4</t>
  </si>
  <si>
    <t>LOMAS TEPEOLULCO</t>
  </si>
  <si>
    <t>TLALNEPANTLA</t>
  </si>
  <si>
    <t>SX MENKES</t>
  </si>
  <si>
    <t>ISABEL RAQUEL FONSECA HIDALGO</t>
  </si>
  <si>
    <t>21/035</t>
  </si>
  <si>
    <t>SANTAMARÍA</t>
  </si>
  <si>
    <t>PÁEZ</t>
  </si>
  <si>
    <t>JOSÉ LUIS</t>
  </si>
  <si>
    <t>MORELOS #7</t>
  </si>
  <si>
    <t>APATLACO</t>
  </si>
  <si>
    <t>IZTAPALAPA</t>
  </si>
  <si>
    <t>INSUFICIENCIA CARDIACA</t>
  </si>
  <si>
    <t>RODRÍGO SANTAMARÍA</t>
  </si>
  <si>
    <t>ÁNGELES SANTAMARÍA</t>
  </si>
  <si>
    <t>23/102</t>
  </si>
  <si>
    <t>RAMOS</t>
  </si>
  <si>
    <t>CÉLIS</t>
  </si>
  <si>
    <t>YOEL</t>
  </si>
  <si>
    <t>ACHACALLI M-12 LT-28</t>
  </si>
  <si>
    <t>BARRIO CARPINTEROS</t>
  </si>
  <si>
    <t>CHIMALHUACAN</t>
  </si>
  <si>
    <t>PCI, ENFERMEDAD PULMONAR CRÓNICA, EPILEPSIA</t>
  </si>
  <si>
    <t>MARICELA CÉLIS ESPINOZA</t>
  </si>
  <si>
    <t>MAMÁ</t>
  </si>
  <si>
    <t>23/016</t>
  </si>
  <si>
    <t>SAMPEDRO</t>
  </si>
  <si>
    <t>GILBERTO</t>
  </si>
  <si>
    <t>MANUEL MA CONTRERAS #38 A-302</t>
  </si>
  <si>
    <t>SAN FRAFAEL</t>
  </si>
  <si>
    <t>DIFICULTAD PARA CAMINAR</t>
  </si>
  <si>
    <t>MA. TERESA PÉREZ SICARD</t>
  </si>
  <si>
    <t>ADRIANA PÉREZ SICARD</t>
  </si>
  <si>
    <t>23/018</t>
  </si>
  <si>
    <t>JUÁREZ</t>
  </si>
  <si>
    <t>ALLENDE</t>
  </si>
  <si>
    <t>MARÍA ELENA</t>
  </si>
  <si>
    <t>REFORMA 69</t>
  </si>
  <si>
    <t>SAN ÁNGEL</t>
  </si>
  <si>
    <t>CIRUGÍA DE COLUMNA</t>
  </si>
  <si>
    <t>10:00 A 10:00</t>
  </si>
  <si>
    <t>23/019</t>
  </si>
  <si>
    <t>VILLANUEVA</t>
  </si>
  <si>
    <t>VIZCARRA</t>
  </si>
  <si>
    <t>MARÍA DEL ROSARIO</t>
  </si>
  <si>
    <t>RETORNO 33 #27</t>
  </si>
  <si>
    <t>DEPRESIÓN</t>
  </si>
  <si>
    <t>JOSÉ LUIS ESPÍRITU VILLANUEVA</t>
  </si>
  <si>
    <t>LORENA ESPÍRITU</t>
  </si>
  <si>
    <t xml:space="preserve">08:00 A 20:00 </t>
  </si>
  <si>
    <t>23/047</t>
  </si>
  <si>
    <t>TERAN</t>
  </si>
  <si>
    <t>ISABEL</t>
  </si>
  <si>
    <t>PLAYA ENCANTADA #53</t>
  </si>
  <si>
    <t>REFORMA IZTACCIHUATL</t>
  </si>
  <si>
    <t>IZTACALCO</t>
  </si>
  <si>
    <t>HIPERTENSA, DOS IMPLANTES EN CADERA Y APOYO PARA CAMINAR</t>
  </si>
  <si>
    <t>ELIZABETH MOLERES</t>
  </si>
  <si>
    <t>MIGUEL A.</t>
  </si>
  <si>
    <t>09.00 A 16:30</t>
  </si>
  <si>
    <t>8 HORAS</t>
  </si>
  <si>
    <t>23/078</t>
  </si>
  <si>
    <t>DÍAZ</t>
  </si>
  <si>
    <t>ARTURO</t>
  </si>
  <si>
    <t>CDA. DE SEMINARIO #120 DEPTO.302</t>
  </si>
  <si>
    <t>OLIVAR DE LOS PADRES</t>
  </si>
  <si>
    <t>ALVARO OBREGON</t>
  </si>
  <si>
    <t>GRACIELA DÍAZ</t>
  </si>
  <si>
    <t>JOSÉ ANTONIO DÍAZ</t>
  </si>
  <si>
    <t>23/077</t>
  </si>
  <si>
    <t xml:space="preserve">MAYORGA </t>
  </si>
  <si>
    <t>MOLINA</t>
  </si>
  <si>
    <t>MIGUEL</t>
  </si>
  <si>
    <t xml:space="preserve">MAYORDOMO #25 </t>
  </si>
  <si>
    <t>AMPLIACIÓN VILLACOAPA</t>
  </si>
  <si>
    <t>ALZHEIMER ETAPA INTERMEDIA, ARTRITIS, MARCAPASOS</t>
  </si>
  <si>
    <t>REBECA MAYORGA GARAY</t>
  </si>
  <si>
    <t>23/085</t>
  </si>
  <si>
    <t>RAYAS</t>
  </si>
  <si>
    <t>TOVAR</t>
  </si>
  <si>
    <t>VALDEMAR</t>
  </si>
  <si>
    <t>2DA CDA AV.597 #45</t>
  </si>
  <si>
    <t>SAN JUAN DE ARAGÓN 3RA SECC</t>
  </si>
  <si>
    <t>PROBLEMAS DE PULMÓN, CAÍDA</t>
  </si>
  <si>
    <t>MARIANA VENEGAS RAYAS</t>
  </si>
  <si>
    <t>TIA</t>
  </si>
  <si>
    <t>FCO. JAVIER RAYAS CAMPA</t>
  </si>
  <si>
    <t>23/096</t>
  </si>
  <si>
    <t xml:space="preserve">CHÁVEZ </t>
  </si>
  <si>
    <t>VÁZQUEZ</t>
  </si>
  <si>
    <t>ANA LUISA</t>
  </si>
  <si>
    <t>CIÁTICA</t>
  </si>
  <si>
    <t xml:space="preserve">ANA </t>
  </si>
  <si>
    <t>09:30 A 15:30</t>
  </si>
  <si>
    <t>23/099</t>
  </si>
  <si>
    <t>SERVIN</t>
  </si>
  <si>
    <t>NOVEROLA</t>
  </si>
  <si>
    <t>SILVIA</t>
  </si>
  <si>
    <t>NUNKINI 322</t>
  </si>
  <si>
    <t>JARDÍNES DEL AJUSCO 4TA SECC</t>
  </si>
  <si>
    <t>DAÑO NEUROLÓGICO, DEPRESIÓN</t>
  </si>
  <si>
    <t>ANA LAURA RENTERIA</t>
  </si>
  <si>
    <t>OLIVIA RENTERIA SERVIN</t>
  </si>
  <si>
    <t>12:00 A 20:00</t>
  </si>
  <si>
    <t>23/105</t>
  </si>
  <si>
    <t>LUNA</t>
  </si>
  <si>
    <t>ROBERTO</t>
  </si>
  <si>
    <t>NORTE 42 #66 DEPTO. 5</t>
  </si>
  <si>
    <t>SIETE DE NOVIEMBRE</t>
  </si>
  <si>
    <t>TUMOR CANCERIGENO EN PULMÓN DERECHO</t>
  </si>
  <si>
    <t>MA.EUGENÍA LUNA ELIZARRARÁS</t>
  </si>
  <si>
    <t>ROBERTO VÍCTOR LUNA ELIZARRARÁS</t>
  </si>
  <si>
    <t>23/106</t>
  </si>
  <si>
    <t>ARROYO</t>
  </si>
  <si>
    <t>SANTISTEBAN</t>
  </si>
  <si>
    <t>CARLOS JOSÉ</t>
  </si>
  <si>
    <t>MEDANOS #134</t>
  </si>
  <si>
    <t>LAS ÁGUILAS</t>
  </si>
  <si>
    <t>VÉRTIGO, HIPERTENSO</t>
  </si>
  <si>
    <t>MA. DEL CARMEN ARROYO</t>
  </si>
  <si>
    <t>23/108</t>
  </si>
  <si>
    <t>NUÑEZ</t>
  </si>
  <si>
    <t>ROSA MARÍA</t>
  </si>
  <si>
    <t xml:space="preserve">AV. FILOS EDIF. 52 ENTRADA B DEPTO 404 </t>
  </si>
  <si>
    <t>NARCISO MENDOZA VILLACOPAPA</t>
  </si>
  <si>
    <t>PARALISIS FACIAL, FALTA DE MOV EN EXTREMIDADES, NO CAMINA Y COME PAPILLA</t>
  </si>
  <si>
    <t>ALEJANDRO PASTRANA</t>
  </si>
  <si>
    <t>ADRIANA PASTRANA</t>
  </si>
  <si>
    <t>14:00 A 14:00</t>
  </si>
  <si>
    <t>23/093</t>
  </si>
  <si>
    <t xml:space="preserve">CORREA </t>
  </si>
  <si>
    <t>MONTERO</t>
  </si>
  <si>
    <t>MA. DEL MAR</t>
  </si>
  <si>
    <t>LIDIA #152</t>
  </si>
  <si>
    <t>GUADALUPE TEPEYAC</t>
  </si>
  <si>
    <t>CA LINFATICO</t>
  </si>
  <si>
    <t>MARIBEL CORREA MONTERO</t>
  </si>
  <si>
    <t>SANDRA CORREA MONTERO</t>
  </si>
  <si>
    <t>09:00 A 17:00</t>
  </si>
  <si>
    <t>21/104</t>
  </si>
  <si>
    <t xml:space="preserve">LEAL </t>
  </si>
  <si>
    <t>Y PEÑA</t>
  </si>
  <si>
    <t>ROSA HORTENSIA</t>
  </si>
  <si>
    <t>HERNÁNDEZ Y DÁVALOS</t>
  </si>
  <si>
    <t>ALGARÍN</t>
  </si>
  <si>
    <t>CUAHUTEMOC</t>
  </si>
  <si>
    <t>OPERACÍON DE CADERA</t>
  </si>
  <si>
    <t>EDITH MARTÍNEZ LEAL</t>
  </si>
  <si>
    <t>08:30 A 20:30</t>
  </si>
  <si>
    <t>24/001</t>
  </si>
  <si>
    <t>COLÍN</t>
  </si>
  <si>
    <t>BECERRIL</t>
  </si>
  <si>
    <t>CARMEN</t>
  </si>
  <si>
    <t>GEÓGRAFOS MZ-19 LT-12</t>
  </si>
  <si>
    <t>NUEVA ROSITA</t>
  </si>
  <si>
    <t>24/002</t>
  </si>
  <si>
    <t>LÓPEZ</t>
  </si>
  <si>
    <t>CARDONA</t>
  </si>
  <si>
    <t>MARÍA CECILIA</t>
  </si>
  <si>
    <t>AV.DESIERTO DE LOS LEÓNES #4036</t>
  </si>
  <si>
    <t>SAN ÁNGEL INN</t>
  </si>
  <si>
    <t>FRACTURA DE FÉMUR, EPOC,ASMA, INSUFICIENCIA CARDIÁCA, INSUFICIENCIA RENAL</t>
  </si>
  <si>
    <t>INFARTO CEREBRAL, DIABETES, HIPERTENSIÓN,EPOC, TX PSIQUIÁTRICO</t>
  </si>
  <si>
    <t>GISELA</t>
  </si>
  <si>
    <t>GISELA COLÍN GARCÍA</t>
  </si>
  <si>
    <t>LETICIA COLÍN GARCÍA</t>
  </si>
  <si>
    <t>MA.EUGENIA CASTILLO LÓPEZ</t>
  </si>
  <si>
    <t>ADRIANA CASTILLO LÓPEZ</t>
  </si>
  <si>
    <t>09:30 A 09:30</t>
  </si>
  <si>
    <t>48 HORAS</t>
  </si>
  <si>
    <t>24/003</t>
  </si>
  <si>
    <t>DE LA PEÑA</t>
  </si>
  <si>
    <t>ANTONIO LORENZO</t>
  </si>
  <si>
    <t>5 DE FEBRERO #956</t>
  </si>
  <si>
    <t>POSTAL</t>
  </si>
  <si>
    <t>DEMENCIA, FRAGILIDAD</t>
  </si>
  <si>
    <t>SARA GUERRERO LÓPEZ</t>
  </si>
  <si>
    <t>ROBLES</t>
  </si>
  <si>
    <t>24/004</t>
  </si>
  <si>
    <t>AXEL GAEL</t>
  </si>
  <si>
    <t>TEMAZAPÁN</t>
  </si>
  <si>
    <t>GUERRERO</t>
  </si>
  <si>
    <t>MANOS QUE SANAN</t>
  </si>
  <si>
    <t>LITIASIS RENAL</t>
  </si>
  <si>
    <t>ESTELA DÍAZ CANO</t>
  </si>
  <si>
    <t xml:space="preserve">NAVARRETE </t>
  </si>
  <si>
    <t>SANTOS</t>
  </si>
  <si>
    <t>24/005</t>
  </si>
  <si>
    <t>DOSAMANTES</t>
  </si>
  <si>
    <t>TUMOR WILMS</t>
  </si>
  <si>
    <t>ELIZABETH SANTOS TOLENTINO</t>
  </si>
  <si>
    <t>24/006</t>
  </si>
  <si>
    <t>RAMÍREZ</t>
  </si>
  <si>
    <t>OSVALDO</t>
  </si>
  <si>
    <t>PRIVADA CIPRÉS</t>
  </si>
  <si>
    <t>PUEBLA</t>
  </si>
  <si>
    <t>SANTA CATARINA</t>
  </si>
  <si>
    <t>MEDULOBLASTÓMA</t>
  </si>
  <si>
    <t>DIANA LAURA MARTÍNEZ MIGUEL</t>
  </si>
  <si>
    <t>24/007</t>
  </si>
  <si>
    <t>JIMÉNEZ</t>
  </si>
  <si>
    <t>MARTÍN</t>
  </si>
  <si>
    <t>AV.FERROCARRIL MÉXICO ACAPULCO MZ-T LT-8</t>
  </si>
  <si>
    <t>ANCON</t>
  </si>
  <si>
    <t>LOS REYES LA PAZ</t>
  </si>
  <si>
    <t>DM, HAS, HIPERPLAIA PROSTÁTICA</t>
  </si>
  <si>
    <t>ELIZABETH JIMÉNEZ CRUZ</t>
  </si>
  <si>
    <t>24/008</t>
  </si>
  <si>
    <t>CRUZ</t>
  </si>
  <si>
    <t xml:space="preserve">JIMÉNEZ </t>
  </si>
  <si>
    <t>ESTELA</t>
  </si>
  <si>
    <t xml:space="preserve">ALZHEIMER </t>
  </si>
  <si>
    <t>24/009</t>
  </si>
  <si>
    <t>HERNÁNDEZ</t>
  </si>
  <si>
    <t>MAQUEDA</t>
  </si>
  <si>
    <t>JOSÉ ALFREDO</t>
  </si>
  <si>
    <t>JACARANDAS MZ-12 LT-1</t>
  </si>
  <si>
    <t>LOMAS DE CUILOTEPEC</t>
  </si>
  <si>
    <t>LETICIA CRTÉS ROJAS</t>
  </si>
  <si>
    <t>ESTRÉS POST TRAUMÁTICO</t>
  </si>
  <si>
    <t>09:00 A 15:00</t>
  </si>
  <si>
    <t>24/010</t>
  </si>
  <si>
    <t xml:space="preserve">MEJÍA </t>
  </si>
  <si>
    <t>ANAYA</t>
  </si>
  <si>
    <t>ÁNGELA</t>
  </si>
  <si>
    <t>CIRCUITO DE LOS PARQUES 109</t>
  </si>
  <si>
    <t>EL PARQUE</t>
  </si>
  <si>
    <t>PARKINSON</t>
  </si>
  <si>
    <t>MARICELA SERNA</t>
  </si>
  <si>
    <t>24/011</t>
  </si>
  <si>
    <t xml:space="preserve">CERVANTES </t>
  </si>
  <si>
    <t>CITLALI</t>
  </si>
  <si>
    <t>AMPLIACIÓN</t>
  </si>
  <si>
    <t>LEUCOSARCOMA PRIMARIO EN FÉMUR IZQ</t>
  </si>
  <si>
    <t>PRIVADA BENÍTO JUÁREZ 7</t>
  </si>
  <si>
    <t>24/012</t>
  </si>
  <si>
    <t xml:space="preserve">NIEVES </t>
  </si>
  <si>
    <t>DAVID</t>
  </si>
  <si>
    <t>20 DE NOVIEMBRE</t>
  </si>
  <si>
    <t>GUAYABAN</t>
  </si>
  <si>
    <t>OSTEOSARCOMA</t>
  </si>
  <si>
    <t>MA. ELENA CERVANTES SOLIS</t>
  </si>
  <si>
    <t>EUGENIA DE LA CRUZ MEDINA</t>
  </si>
  <si>
    <t>ABUELA</t>
  </si>
  <si>
    <t xml:space="preserve">BAUTISTA </t>
  </si>
  <si>
    <t>ADAN ISAAC</t>
  </si>
  <si>
    <t>24/013</t>
  </si>
  <si>
    <t>JALAPA 11</t>
  </si>
  <si>
    <t>JARDÍNES DE GUADALUPE</t>
  </si>
  <si>
    <t>MUCOPOLISARIDOSIS TIPO II</t>
  </si>
  <si>
    <t>ALEJANDRO ISAAC PÉREZ VALDÉZ</t>
  </si>
  <si>
    <t>PADRE</t>
  </si>
  <si>
    <t>EDITH BAUTISTA SOLIS</t>
  </si>
  <si>
    <t>08:00 A 18:00</t>
  </si>
  <si>
    <t>10 HORAS</t>
  </si>
  <si>
    <t>24/014</t>
  </si>
  <si>
    <t xml:space="preserve">CRUZ </t>
  </si>
  <si>
    <t>MORENO</t>
  </si>
  <si>
    <t>MARÍA DE JESÚS</t>
  </si>
  <si>
    <t>E.ZAPATA #20</t>
  </si>
  <si>
    <t>LA MALINCHE</t>
  </si>
  <si>
    <t>MAGDALENA CONTRERAS</t>
  </si>
  <si>
    <t>DOLORES AGUILERA</t>
  </si>
  <si>
    <t xml:space="preserve">POST OPERATORIÓ DE CADERA </t>
  </si>
  <si>
    <t>DIANA AGUILERA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</si>
</sst>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center"/>
    </xf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44" fontId="0" fillId="0" borderId="0" xfId="0" applyNumberFormat="1" applyFont="1" applyFill="1" applyBorder="1"/>
    <xf numFmtId="0" fontId="1" fillId="0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2" xfId="0" applyFont="1" applyFill="1" applyBorder="1"/>
    <xf numFmtId="14" fontId="0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 vertical="center"/>
    </xf>
    <xf numFmtId="1" fontId="0" fillId="2" borderId="2" xfId="0" applyNumberFormat="1" applyFont="1" applyFill="1" applyBorder="1"/>
    <xf numFmtId="14" fontId="3" fillId="2" borderId="2" xfId="0" applyNumberFormat="1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left"/>
    </xf>
    <xf numFmtId="0" fontId="0" fillId="2" borderId="2" xfId="0" applyFill="1" applyBorder="1"/>
    <xf numFmtId="0" fontId="0" fillId="2" borderId="2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4" fontId="0" fillId="3" borderId="2" xfId="0" applyNumberFormat="1" applyFill="1" applyBorder="1"/>
    <xf numFmtId="44" fontId="0" fillId="2" borderId="2" xfId="0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44" fontId="3" fillId="2" borderId="2" xfId="0" applyNumberFormat="1" applyFont="1" applyFill="1" applyBorder="1"/>
    <xf numFmtId="44" fontId="0" fillId="2" borderId="2" xfId="0" applyNumberFormat="1" applyFill="1" applyBorder="1"/>
    <xf numFmtId="1" fontId="0" fillId="2" borderId="2" xfId="0" applyNumberFormat="1" applyFont="1" applyFill="1" applyBorder="1" applyAlignment="1">
      <alignment horizontal="right"/>
    </xf>
    <xf numFmtId="0" fontId="0" fillId="3" borderId="2" xfId="0" applyFill="1" applyBorder="1"/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44" fontId="3" fillId="3" borderId="2" xfId="0" applyNumberFormat="1" applyFont="1" applyFill="1" applyBorder="1"/>
    <xf numFmtId="14" fontId="3" fillId="3" borderId="2" xfId="0" applyNumberFormat="1" applyFont="1" applyFill="1" applyBorder="1"/>
    <xf numFmtId="0" fontId="3" fillId="3" borderId="2" xfId="0" applyFont="1" applyFill="1" applyBorder="1"/>
    <xf numFmtId="0" fontId="0" fillId="3" borderId="2" xfId="0" applyFill="1" applyBorder="1" applyAlignment="1">
      <alignment horizontal="center"/>
    </xf>
    <xf numFmtId="44" fontId="0" fillId="3" borderId="2" xfId="0" applyNumberFormat="1" applyFill="1" applyBorder="1"/>
    <xf numFmtId="0" fontId="0" fillId="3" borderId="5" xfId="0" applyFill="1" applyBorder="1" applyAlignment="1">
      <alignment horizontal="center" vertical="center"/>
    </xf>
    <xf numFmtId="0" fontId="0" fillId="3" borderId="6" xfId="0" applyFill="1" applyBorder="1"/>
    <xf numFmtId="0" fontId="0" fillId="3" borderId="4" xfId="0" applyFill="1" applyBorder="1" applyAlignment="1">
      <alignment horizontal="center" vertical="center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left"/>
    </xf>
    <xf numFmtId="1" fontId="3" fillId="2" borderId="2" xfId="0" applyNumberFormat="1" applyFont="1" applyFill="1" applyBorder="1"/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14" fontId="0" fillId="2" borderId="2" xfId="0" applyNumberFormat="1" applyFill="1" applyBorder="1"/>
    <xf numFmtId="14" fontId="3" fillId="2" borderId="2" xfId="0" applyNumberFormat="1" applyFont="1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16" fontId="0" fillId="2" borderId="2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44" fontId="1" fillId="0" borderId="1" xfId="0" applyNumberFormat="1" applyFont="1" applyFill="1" applyBorder="1" applyAlignment="1">
      <alignment horizontal="center" vertical="center" wrapText="1"/>
    </xf>
    <xf numFmtId="44" fontId="1" fillId="0" borderId="3" xfId="0" applyNumberFormat="1" applyFont="1" applyFill="1" applyBorder="1" applyAlignment="1">
      <alignment horizontal="center" vertical="center" wrapText="1"/>
    </xf>
    <xf numFmtId="1" fontId="1" fillId="0" borderId="1" xfId="0" applyNumberFormat="1" applyFont="1" applyFill="1" applyBorder="1" applyAlignment="1">
      <alignment horizontal="center" vertical="center" wrapText="1"/>
    </xf>
    <xf numFmtId="1" fontId="1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180"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rgb="FF002060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rgb="FFFFCCCC"/>
        </patternFill>
      </fill>
    </dxf>
    <dxf>
      <font>
        <color theme="7" tint="-0.499984740745262"/>
      </font>
      <fill>
        <patternFill>
          <bgColor theme="7" tint="0.79998168889431442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215265</xdr:colOff>
      <xdr:row>0</xdr:row>
      <xdr:rowOff>43815</xdr:rowOff>
    </xdr:from>
    <xdr:ext cx="777240" cy="658803"/>
    <xdr:pic>
      <xdr:nvPicPr>
        <xdr:cNvPr id="2" name="Imagen 1" descr="Resultado de imagen para cecpam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6765" y="43815"/>
          <a:ext cx="777240" cy="6588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7"/>
  <sheetViews>
    <sheetView tabSelected="1" topLeftCell="AC1" workbookViewId="0">
      <selection activeCell="AQ7" sqref="AQ7"/>
    </sheetView>
  </sheetViews>
  <sheetFormatPr baseColWidth="10" defaultRowHeight="14.4" x14ac:dyDescent="0.3"/>
  <cols>
    <col min="1" max="1" width="5.6640625" customWidth="1"/>
    <col min="2" max="2" width="8.88671875" customWidth="1"/>
    <col min="3" max="3" width="19.44140625" bestFit="1" customWidth="1"/>
    <col min="4" max="4" width="14.33203125" bestFit="1" customWidth="1"/>
    <col min="5" max="5" width="24.44140625" bestFit="1" customWidth="1"/>
    <col min="7" max="7" width="50.44140625" bestFit="1" customWidth="1"/>
    <col min="8" max="8" width="29.44140625" bestFit="1" customWidth="1"/>
    <col min="13" max="13" width="4.6640625" customWidth="1"/>
    <col min="14" max="14" width="4.5546875" customWidth="1"/>
    <col min="15" max="15" width="5.33203125" customWidth="1"/>
    <col min="16" max="16" width="5" customWidth="1"/>
    <col min="17" max="17" width="5.44140625" customWidth="1"/>
    <col min="18" max="18" width="4.5546875" customWidth="1"/>
    <col min="19" max="19" width="4.33203125" customWidth="1"/>
    <col min="20" max="20" width="5.109375" customWidth="1"/>
    <col min="21" max="21" width="4.44140625" customWidth="1"/>
    <col min="22" max="22" width="4.6640625" customWidth="1"/>
    <col min="23" max="23" width="4.33203125" customWidth="1"/>
    <col min="24" max="24" width="4" customWidth="1"/>
    <col min="26" max="26" width="41.5546875" customWidth="1"/>
    <col min="27" max="27" width="11.88671875" customWidth="1"/>
    <col min="28" max="28" width="25.5546875" customWidth="1"/>
    <col min="29" max="29" width="11.5546875" customWidth="1"/>
    <col min="33" max="33" width="15.5546875" customWidth="1"/>
    <col min="37" max="37" width="4.33203125" customWidth="1"/>
    <col min="38" max="38" width="4.5546875" customWidth="1"/>
    <col min="39" max="40" width="4.6640625" customWidth="1"/>
    <col min="41" max="41" width="4.44140625" customWidth="1"/>
    <col min="42" max="42" width="3.88671875" customWidth="1"/>
    <col min="43" max="43" width="4" customWidth="1"/>
    <col min="44" max="44" width="12.44140625" customWidth="1"/>
    <col min="45" max="45" width="11.88671875" bestFit="1" customWidth="1"/>
  </cols>
  <sheetData>
    <row r="1" spans="1:48" x14ac:dyDescent="0.3">
      <c r="A1" s="1"/>
      <c r="B1" s="2"/>
      <c r="C1" s="3"/>
      <c r="D1" s="3"/>
      <c r="E1" s="3"/>
      <c r="F1" s="2"/>
      <c r="G1" s="4"/>
      <c r="H1" s="4"/>
      <c r="I1" s="4"/>
      <c r="J1" s="4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5"/>
      <c r="AA1" s="2"/>
      <c r="AB1" s="4"/>
      <c r="AC1" s="6"/>
      <c r="AD1" s="2"/>
      <c r="AE1" s="2"/>
      <c r="AF1" s="2"/>
      <c r="AG1" s="4"/>
      <c r="AH1" s="2"/>
      <c r="AI1" s="2"/>
      <c r="AJ1" s="2"/>
      <c r="AK1" s="2"/>
      <c r="AL1" s="2"/>
      <c r="AM1" s="2"/>
      <c r="AN1" s="2"/>
      <c r="AO1" s="2"/>
      <c r="AP1" s="2"/>
      <c r="AQ1" s="2"/>
      <c r="AR1" s="7"/>
      <c r="AS1" s="2"/>
      <c r="AT1" s="8"/>
      <c r="AU1" s="2"/>
      <c r="AV1" s="2"/>
    </row>
    <row r="2" spans="1:48" x14ac:dyDescent="0.3">
      <c r="A2" s="1"/>
      <c r="B2" s="2"/>
      <c r="C2" s="3"/>
      <c r="D2" s="62" t="s">
        <v>127</v>
      </c>
      <c r="E2" s="62"/>
      <c r="F2" s="62"/>
      <c r="G2" s="62"/>
      <c r="H2" s="62"/>
      <c r="I2" s="62"/>
      <c r="J2" s="62"/>
      <c r="K2" s="62"/>
      <c r="L2" s="6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5"/>
      <c r="AA2" s="2"/>
      <c r="AB2" s="4"/>
      <c r="AC2" s="6"/>
      <c r="AD2" s="2"/>
      <c r="AE2" s="2"/>
      <c r="AF2" s="2"/>
      <c r="AG2" s="4"/>
      <c r="AH2" s="2"/>
      <c r="AI2" s="2"/>
      <c r="AJ2" s="2"/>
      <c r="AK2" s="2"/>
      <c r="AL2" s="2"/>
      <c r="AM2" s="2"/>
      <c r="AN2" s="2"/>
      <c r="AO2" s="2"/>
      <c r="AP2" s="2"/>
      <c r="AQ2" s="2"/>
      <c r="AR2" s="7"/>
      <c r="AS2" s="2"/>
      <c r="AT2" s="8"/>
      <c r="AU2" s="2"/>
      <c r="AV2" s="2"/>
    </row>
    <row r="3" spans="1:48" x14ac:dyDescent="0.3">
      <c r="A3" s="1"/>
      <c r="B3" s="2"/>
      <c r="C3" s="3"/>
      <c r="D3" s="62"/>
      <c r="E3" s="62"/>
      <c r="F3" s="62"/>
      <c r="G3" s="62"/>
      <c r="H3" s="62"/>
      <c r="I3" s="62"/>
      <c r="J3" s="62"/>
      <c r="K3" s="62"/>
      <c r="L3" s="6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5"/>
      <c r="AA3" s="2"/>
      <c r="AB3" s="4"/>
      <c r="AC3" s="6"/>
      <c r="AD3" s="2"/>
      <c r="AE3" s="2"/>
      <c r="AF3" s="2"/>
      <c r="AG3" s="4"/>
      <c r="AH3" s="2"/>
      <c r="AI3" s="2"/>
      <c r="AJ3" s="2"/>
      <c r="AK3" s="2"/>
      <c r="AL3" s="2"/>
      <c r="AM3" s="2"/>
      <c r="AN3" s="2"/>
      <c r="AO3" s="2"/>
      <c r="AP3" s="2"/>
      <c r="AQ3" s="2"/>
      <c r="AR3" s="7"/>
      <c r="AS3" s="2"/>
      <c r="AT3" s="8"/>
      <c r="AU3" s="2"/>
      <c r="AV3" s="2"/>
    </row>
    <row r="4" spans="1:48" x14ac:dyDescent="0.3">
      <c r="A4" s="1"/>
      <c r="B4" s="2"/>
      <c r="C4" s="3"/>
      <c r="D4" s="3"/>
      <c r="E4" s="3"/>
      <c r="F4" s="2"/>
      <c r="G4" s="4"/>
      <c r="H4" s="4"/>
      <c r="I4" s="4"/>
      <c r="J4" s="4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5"/>
      <c r="AA4" s="2"/>
      <c r="AB4" s="4"/>
      <c r="AC4" s="6"/>
      <c r="AD4" s="2"/>
      <c r="AE4" s="2"/>
      <c r="AF4" s="2"/>
      <c r="AG4" s="4"/>
      <c r="AH4" s="2"/>
      <c r="AI4" s="2"/>
      <c r="AJ4" s="2"/>
      <c r="AK4" s="2"/>
      <c r="AL4" s="2"/>
      <c r="AM4" s="2"/>
      <c r="AN4" s="2"/>
      <c r="AO4" s="2"/>
      <c r="AP4" s="2"/>
      <c r="AQ4" s="2"/>
      <c r="AR4" s="7"/>
      <c r="AS4" s="2"/>
      <c r="AT4" s="8"/>
      <c r="AU4" s="2"/>
      <c r="AV4" s="2"/>
    </row>
    <row r="5" spans="1:48" ht="15" customHeight="1" x14ac:dyDescent="0.3">
      <c r="A5" s="63" t="s">
        <v>0</v>
      </c>
      <c r="B5" s="55" t="s">
        <v>1</v>
      </c>
      <c r="C5" s="55" t="s">
        <v>2</v>
      </c>
      <c r="D5" s="55" t="s">
        <v>3</v>
      </c>
      <c r="E5" s="55" t="s">
        <v>4</v>
      </c>
      <c r="F5" s="55" t="s">
        <v>5</v>
      </c>
      <c r="G5" s="55" t="s">
        <v>6</v>
      </c>
      <c r="H5" s="55" t="s">
        <v>7</v>
      </c>
      <c r="I5" s="55" t="s">
        <v>8</v>
      </c>
      <c r="J5" s="55" t="s">
        <v>9</v>
      </c>
      <c r="K5" s="55" t="s">
        <v>10</v>
      </c>
      <c r="L5" s="55" t="s">
        <v>11</v>
      </c>
      <c r="M5" s="57" t="s">
        <v>12</v>
      </c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5" t="s">
        <v>13</v>
      </c>
      <c r="Z5" s="55" t="s">
        <v>14</v>
      </c>
      <c r="AA5" s="55" t="s">
        <v>15</v>
      </c>
      <c r="AB5" s="55" t="s">
        <v>16</v>
      </c>
      <c r="AC5" s="60" t="s">
        <v>17</v>
      </c>
      <c r="AD5" s="55" t="s">
        <v>18</v>
      </c>
      <c r="AE5" s="55" t="s">
        <v>11</v>
      </c>
      <c r="AF5" s="55" t="s">
        <v>10</v>
      </c>
      <c r="AG5" s="55" t="s">
        <v>19</v>
      </c>
      <c r="AH5" s="55" t="s">
        <v>11</v>
      </c>
      <c r="AI5" s="55" t="s">
        <v>10</v>
      </c>
      <c r="AJ5" s="55" t="s">
        <v>20</v>
      </c>
      <c r="AK5" s="57" t="s">
        <v>21</v>
      </c>
      <c r="AL5" s="57"/>
      <c r="AM5" s="57"/>
      <c r="AN5" s="57"/>
      <c r="AO5" s="57"/>
      <c r="AP5" s="57"/>
      <c r="AQ5" s="57"/>
      <c r="AR5" s="55" t="s">
        <v>22</v>
      </c>
      <c r="AS5" s="55" t="s">
        <v>23</v>
      </c>
      <c r="AT5" s="58" t="s">
        <v>24</v>
      </c>
      <c r="AU5" s="55" t="s">
        <v>25</v>
      </c>
      <c r="AV5" s="55" t="s">
        <v>26</v>
      </c>
    </row>
    <row r="6" spans="1:48" ht="28.8" x14ac:dyDescent="0.3">
      <c r="A6" s="64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9" t="s">
        <v>27</v>
      </c>
      <c r="N6" s="9" t="s">
        <v>28</v>
      </c>
      <c r="O6" s="9" t="s">
        <v>29</v>
      </c>
      <c r="P6" s="9" t="s">
        <v>30</v>
      </c>
      <c r="Q6" s="9" t="s">
        <v>31</v>
      </c>
      <c r="R6" s="9" t="s">
        <v>32</v>
      </c>
      <c r="S6" s="9" t="s">
        <v>33</v>
      </c>
      <c r="T6" s="9" t="s">
        <v>34</v>
      </c>
      <c r="U6" s="9" t="s">
        <v>35</v>
      </c>
      <c r="V6" s="9" t="s">
        <v>36</v>
      </c>
      <c r="W6" s="9" t="s">
        <v>37</v>
      </c>
      <c r="X6" s="9" t="s">
        <v>38</v>
      </c>
      <c r="Y6" s="56"/>
      <c r="Z6" s="56"/>
      <c r="AA6" s="56"/>
      <c r="AB6" s="56"/>
      <c r="AC6" s="61"/>
      <c r="AD6" s="56"/>
      <c r="AE6" s="56"/>
      <c r="AF6" s="56"/>
      <c r="AG6" s="56"/>
      <c r="AH6" s="56"/>
      <c r="AI6" s="56"/>
      <c r="AJ6" s="56"/>
      <c r="AK6" s="9" t="s">
        <v>39</v>
      </c>
      <c r="AL6" s="9" t="s">
        <v>40</v>
      </c>
      <c r="AM6" s="9" t="s">
        <v>40</v>
      </c>
      <c r="AN6" s="9" t="s">
        <v>41</v>
      </c>
      <c r="AO6" s="9" t="s">
        <v>42</v>
      </c>
      <c r="AP6" s="9" t="s">
        <v>43</v>
      </c>
      <c r="AQ6" s="9" t="s">
        <v>44</v>
      </c>
      <c r="AR6" s="56"/>
      <c r="AS6" s="56"/>
      <c r="AT6" s="59"/>
      <c r="AU6" s="56"/>
      <c r="AV6" s="56"/>
    </row>
    <row r="7" spans="1:48" x14ac:dyDescent="0.3">
      <c r="A7" s="21">
        <v>1</v>
      </c>
      <c r="B7" s="21" t="s">
        <v>128</v>
      </c>
      <c r="C7" s="30" t="s">
        <v>129</v>
      </c>
      <c r="D7" s="30" t="s">
        <v>130</v>
      </c>
      <c r="E7" s="30" t="s">
        <v>131</v>
      </c>
      <c r="F7" s="23">
        <v>44951</v>
      </c>
      <c r="G7" s="31" t="s">
        <v>132</v>
      </c>
      <c r="H7" s="31" t="s">
        <v>133</v>
      </c>
      <c r="I7" s="31" t="s">
        <v>134</v>
      </c>
      <c r="J7" s="32" t="s">
        <v>45</v>
      </c>
      <c r="K7" s="21" t="s">
        <v>40</v>
      </c>
      <c r="L7" s="21">
        <v>13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2">
        <f t="shared" ref="Y7:Y10" si="0">SUM(M7:X7)</f>
        <v>0</v>
      </c>
      <c r="Z7" s="30" t="s">
        <v>135</v>
      </c>
      <c r="AA7" s="21" t="s">
        <v>47</v>
      </c>
      <c r="AB7" s="30" t="s">
        <v>136</v>
      </c>
      <c r="AC7" s="30">
        <v>5547109716</v>
      </c>
      <c r="AD7" s="21" t="s">
        <v>60</v>
      </c>
      <c r="AE7" s="21">
        <v>55</v>
      </c>
      <c r="AF7" s="21" t="s">
        <v>46</v>
      </c>
      <c r="AG7" s="30" t="s">
        <v>56</v>
      </c>
      <c r="AH7" s="21" t="s">
        <v>56</v>
      </c>
      <c r="AI7" s="21" t="s">
        <v>56</v>
      </c>
      <c r="AJ7" s="21">
        <v>1</v>
      </c>
      <c r="AK7" s="21">
        <v>0</v>
      </c>
      <c r="AL7" s="21">
        <v>1</v>
      </c>
      <c r="AM7" s="21">
        <v>0</v>
      </c>
      <c r="AN7" s="21">
        <v>0</v>
      </c>
      <c r="AO7" s="21">
        <v>0</v>
      </c>
      <c r="AP7" s="21">
        <v>0</v>
      </c>
      <c r="AQ7" s="21">
        <v>0</v>
      </c>
      <c r="AR7" s="30" t="s">
        <v>58</v>
      </c>
      <c r="AS7" s="33" t="s">
        <v>61</v>
      </c>
      <c r="AT7" s="34">
        <v>0</v>
      </c>
      <c r="AU7" s="33" t="s">
        <v>0</v>
      </c>
      <c r="AV7" s="21" t="s">
        <v>59</v>
      </c>
    </row>
    <row r="8" spans="1:48" x14ac:dyDescent="0.3">
      <c r="A8" s="21">
        <v>2</v>
      </c>
      <c r="B8" s="21" t="s">
        <v>137</v>
      </c>
      <c r="C8" s="30" t="s">
        <v>138</v>
      </c>
      <c r="D8" s="30" t="s">
        <v>139</v>
      </c>
      <c r="E8" s="30" t="s">
        <v>140</v>
      </c>
      <c r="F8" s="35">
        <v>45042</v>
      </c>
      <c r="G8" s="31" t="s">
        <v>141</v>
      </c>
      <c r="H8" s="31" t="s">
        <v>142</v>
      </c>
      <c r="I8" s="31" t="s">
        <v>143</v>
      </c>
      <c r="J8" s="32" t="s">
        <v>45</v>
      </c>
      <c r="K8" s="21" t="s">
        <v>40</v>
      </c>
      <c r="L8" s="21">
        <v>1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2">
        <f t="shared" si="0"/>
        <v>0</v>
      </c>
      <c r="Z8" s="31" t="s">
        <v>144</v>
      </c>
      <c r="AA8" s="21" t="s">
        <v>47</v>
      </c>
      <c r="AB8" s="21" t="s">
        <v>145</v>
      </c>
      <c r="AC8" s="30">
        <v>7121368498</v>
      </c>
      <c r="AD8" s="21" t="s">
        <v>60</v>
      </c>
      <c r="AE8" s="21">
        <v>32</v>
      </c>
      <c r="AF8" s="21" t="s">
        <v>46</v>
      </c>
      <c r="AG8" s="36" t="s">
        <v>56</v>
      </c>
      <c r="AH8" s="33" t="s">
        <v>56</v>
      </c>
      <c r="AI8" s="33" t="s">
        <v>56</v>
      </c>
      <c r="AJ8" s="21">
        <v>1</v>
      </c>
      <c r="AK8" s="21">
        <v>0</v>
      </c>
      <c r="AL8" s="21">
        <v>0</v>
      </c>
      <c r="AM8" s="21">
        <v>1</v>
      </c>
      <c r="AN8" s="21">
        <v>0</v>
      </c>
      <c r="AO8" s="21">
        <v>0</v>
      </c>
      <c r="AP8" s="21">
        <v>0</v>
      </c>
      <c r="AQ8" s="21">
        <v>0</v>
      </c>
      <c r="AR8" s="30" t="s">
        <v>58</v>
      </c>
      <c r="AS8" s="37" t="s">
        <v>61</v>
      </c>
      <c r="AT8" s="38">
        <v>0</v>
      </c>
      <c r="AU8" s="21" t="s">
        <v>0</v>
      </c>
      <c r="AV8" s="21" t="s">
        <v>146</v>
      </c>
    </row>
    <row r="9" spans="1:48" x14ac:dyDescent="0.3">
      <c r="A9" s="21">
        <v>3</v>
      </c>
      <c r="B9" s="21" t="s">
        <v>147</v>
      </c>
      <c r="C9" s="30" t="s">
        <v>138</v>
      </c>
      <c r="D9" s="30" t="s">
        <v>139</v>
      </c>
      <c r="E9" s="30" t="s">
        <v>148</v>
      </c>
      <c r="F9" s="35">
        <v>45042</v>
      </c>
      <c r="G9" s="31" t="s">
        <v>141</v>
      </c>
      <c r="H9" s="31" t="s">
        <v>142</v>
      </c>
      <c r="I9" s="31" t="s">
        <v>143</v>
      </c>
      <c r="J9" s="32" t="s">
        <v>45</v>
      </c>
      <c r="K9" s="21" t="s">
        <v>40</v>
      </c>
      <c r="L9" s="21">
        <v>11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2">
        <f t="shared" si="0"/>
        <v>0</v>
      </c>
      <c r="Z9" s="31" t="s">
        <v>149</v>
      </c>
      <c r="AA9" s="21" t="s">
        <v>47</v>
      </c>
      <c r="AB9" s="21" t="s">
        <v>145</v>
      </c>
      <c r="AC9" s="30">
        <v>7121368498</v>
      </c>
      <c r="AD9" s="21" t="s">
        <v>60</v>
      </c>
      <c r="AE9" s="21">
        <v>32</v>
      </c>
      <c r="AF9" s="21" t="s">
        <v>46</v>
      </c>
      <c r="AG9" s="36" t="s">
        <v>56</v>
      </c>
      <c r="AH9" s="33" t="s">
        <v>56</v>
      </c>
      <c r="AI9" s="33" t="s">
        <v>56</v>
      </c>
      <c r="AJ9" s="21">
        <v>1</v>
      </c>
      <c r="AK9" s="21">
        <v>0</v>
      </c>
      <c r="AL9" s="21">
        <v>0</v>
      </c>
      <c r="AM9" s="21">
        <v>1</v>
      </c>
      <c r="AN9" s="21">
        <v>0</v>
      </c>
      <c r="AO9" s="21">
        <v>0</v>
      </c>
      <c r="AP9" s="21">
        <v>0</v>
      </c>
      <c r="AQ9" s="21">
        <v>0</v>
      </c>
      <c r="AR9" s="30" t="s">
        <v>58</v>
      </c>
      <c r="AS9" s="37" t="s">
        <v>61</v>
      </c>
      <c r="AT9" s="38">
        <v>0</v>
      </c>
      <c r="AU9" s="21" t="s">
        <v>0</v>
      </c>
      <c r="AV9" s="21" t="s">
        <v>146</v>
      </c>
    </row>
    <row r="10" spans="1:48" x14ac:dyDescent="0.3">
      <c r="A10" s="21">
        <v>4</v>
      </c>
      <c r="B10" s="21" t="s">
        <v>150</v>
      </c>
      <c r="C10" s="30" t="s">
        <v>138</v>
      </c>
      <c r="D10" s="30" t="s">
        <v>139</v>
      </c>
      <c r="E10" s="30" t="s">
        <v>151</v>
      </c>
      <c r="F10" s="35">
        <v>45042</v>
      </c>
      <c r="G10" s="31" t="s">
        <v>141</v>
      </c>
      <c r="H10" s="31" t="s">
        <v>142</v>
      </c>
      <c r="I10" s="31" t="s">
        <v>143</v>
      </c>
      <c r="J10" s="32" t="s">
        <v>45</v>
      </c>
      <c r="K10" s="21" t="s">
        <v>40</v>
      </c>
      <c r="L10" s="21">
        <v>12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2">
        <f t="shared" si="0"/>
        <v>0</v>
      </c>
      <c r="Z10" s="31" t="s">
        <v>149</v>
      </c>
      <c r="AA10" s="21" t="s">
        <v>47</v>
      </c>
      <c r="AB10" s="21" t="s">
        <v>145</v>
      </c>
      <c r="AC10" s="30">
        <v>7121368498</v>
      </c>
      <c r="AD10" s="21" t="s">
        <v>60</v>
      </c>
      <c r="AE10" s="21">
        <v>32</v>
      </c>
      <c r="AF10" s="21" t="s">
        <v>46</v>
      </c>
      <c r="AG10" s="36" t="s">
        <v>56</v>
      </c>
      <c r="AH10" s="33" t="s">
        <v>56</v>
      </c>
      <c r="AI10" s="33" t="s">
        <v>56</v>
      </c>
      <c r="AJ10" s="21">
        <v>1</v>
      </c>
      <c r="AK10" s="21">
        <v>0</v>
      </c>
      <c r="AL10" s="21">
        <v>0</v>
      </c>
      <c r="AM10" s="21">
        <v>1</v>
      </c>
      <c r="AN10" s="21">
        <v>0</v>
      </c>
      <c r="AO10" s="21">
        <v>0</v>
      </c>
      <c r="AP10" s="21">
        <v>0</v>
      </c>
      <c r="AQ10" s="21">
        <v>0</v>
      </c>
      <c r="AR10" s="30" t="s">
        <v>58</v>
      </c>
      <c r="AS10" s="37" t="s">
        <v>61</v>
      </c>
      <c r="AT10" s="38">
        <v>0</v>
      </c>
      <c r="AU10" s="21" t="s">
        <v>0</v>
      </c>
      <c r="AV10" s="21" t="s">
        <v>146</v>
      </c>
    </row>
    <row r="11" spans="1:48" x14ac:dyDescent="0.3">
      <c r="A11" s="21">
        <v>5</v>
      </c>
      <c r="B11" s="21" t="s">
        <v>152</v>
      </c>
      <c r="C11" s="30" t="s">
        <v>153</v>
      </c>
      <c r="D11" s="30" t="s">
        <v>154</v>
      </c>
      <c r="E11" s="30" t="s">
        <v>155</v>
      </c>
      <c r="F11" s="35">
        <v>45115</v>
      </c>
      <c r="G11" s="31" t="s">
        <v>156</v>
      </c>
      <c r="H11" s="31" t="s">
        <v>157</v>
      </c>
      <c r="I11" s="31" t="s">
        <v>158</v>
      </c>
      <c r="J11" s="32" t="s">
        <v>45</v>
      </c>
      <c r="K11" s="21" t="s">
        <v>46</v>
      </c>
      <c r="L11" s="21">
        <v>17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2">
        <f t="shared" ref="Y11" si="1">SUM(M11:X11)</f>
        <v>0</v>
      </c>
      <c r="Z11" s="30" t="s">
        <v>159</v>
      </c>
      <c r="AA11" s="21" t="s">
        <v>47</v>
      </c>
      <c r="AB11" s="30" t="s">
        <v>160</v>
      </c>
      <c r="AC11" s="30">
        <v>5578125448</v>
      </c>
      <c r="AD11" s="21" t="s">
        <v>60</v>
      </c>
      <c r="AE11" s="21">
        <v>53</v>
      </c>
      <c r="AF11" s="21" t="s">
        <v>46</v>
      </c>
      <c r="AG11" s="30" t="s">
        <v>160</v>
      </c>
      <c r="AH11" s="21">
        <v>22</v>
      </c>
      <c r="AI11" s="21" t="s">
        <v>46</v>
      </c>
      <c r="AJ11" s="21">
        <v>2</v>
      </c>
      <c r="AK11" s="21">
        <v>0</v>
      </c>
      <c r="AL11" s="21">
        <v>0</v>
      </c>
      <c r="AM11" s="21">
        <v>0</v>
      </c>
      <c r="AN11" s="21">
        <v>1</v>
      </c>
      <c r="AO11" s="21">
        <v>0</v>
      </c>
      <c r="AP11" s="21">
        <v>0</v>
      </c>
      <c r="AQ11" s="21">
        <v>0</v>
      </c>
      <c r="AR11" s="30" t="s">
        <v>58</v>
      </c>
      <c r="AS11" s="21" t="s">
        <v>61</v>
      </c>
      <c r="AT11" s="38">
        <v>0</v>
      </c>
      <c r="AU11" s="21" t="s">
        <v>49</v>
      </c>
      <c r="AV11" s="21" t="s">
        <v>146</v>
      </c>
    </row>
    <row r="12" spans="1:48" x14ac:dyDescent="0.3">
      <c r="A12" s="21">
        <v>6</v>
      </c>
      <c r="B12" s="37" t="s">
        <v>161</v>
      </c>
      <c r="C12" s="30" t="s">
        <v>162</v>
      </c>
      <c r="D12" s="30" t="s">
        <v>163</v>
      </c>
      <c r="E12" s="30" t="s">
        <v>164</v>
      </c>
      <c r="F12" s="23">
        <v>45238</v>
      </c>
      <c r="G12" s="30" t="s">
        <v>165</v>
      </c>
      <c r="H12" s="30" t="s">
        <v>166</v>
      </c>
      <c r="I12" s="30" t="s">
        <v>167</v>
      </c>
      <c r="J12" s="30" t="s">
        <v>51</v>
      </c>
      <c r="K12" s="21" t="s">
        <v>40</v>
      </c>
      <c r="L12" s="37">
        <v>1</v>
      </c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22">
        <f t="shared" ref="Y12" si="2">SUM(M12:X12)</f>
        <v>0</v>
      </c>
      <c r="Z12" s="30" t="s">
        <v>168</v>
      </c>
      <c r="AA12" s="22" t="s">
        <v>47</v>
      </c>
      <c r="AB12" s="30" t="s">
        <v>169</v>
      </c>
      <c r="AC12" s="30">
        <v>5513656541</v>
      </c>
      <c r="AD12" s="37" t="s">
        <v>60</v>
      </c>
      <c r="AE12" s="37">
        <v>30</v>
      </c>
      <c r="AF12" s="37" t="s">
        <v>46</v>
      </c>
      <c r="AG12" s="30"/>
      <c r="AH12" s="37"/>
      <c r="AI12" s="37"/>
      <c r="AJ12" s="37">
        <v>1</v>
      </c>
      <c r="AK12" s="37">
        <v>0</v>
      </c>
      <c r="AL12" s="37">
        <v>0</v>
      </c>
      <c r="AM12" s="37">
        <v>0</v>
      </c>
      <c r="AN12" s="37">
        <v>0</v>
      </c>
      <c r="AO12" s="37">
        <v>1</v>
      </c>
      <c r="AP12" s="37">
        <v>0</v>
      </c>
      <c r="AQ12" s="37">
        <v>0</v>
      </c>
      <c r="AR12" s="30" t="s">
        <v>58</v>
      </c>
      <c r="AS12" s="21" t="s">
        <v>61</v>
      </c>
      <c r="AT12" s="38">
        <v>0</v>
      </c>
      <c r="AU12" s="39" t="s">
        <v>0</v>
      </c>
      <c r="AV12" s="21" t="s">
        <v>146</v>
      </c>
    </row>
    <row r="13" spans="1:48" x14ac:dyDescent="0.3">
      <c r="A13" s="21">
        <v>7</v>
      </c>
      <c r="B13" s="37" t="s">
        <v>170</v>
      </c>
      <c r="C13" s="30" t="s">
        <v>171</v>
      </c>
      <c r="D13" s="30" t="s">
        <v>172</v>
      </c>
      <c r="E13" s="30" t="s">
        <v>173</v>
      </c>
      <c r="F13" s="23">
        <v>45190</v>
      </c>
      <c r="G13" s="30" t="s">
        <v>174</v>
      </c>
      <c r="H13" s="30" t="s">
        <v>175</v>
      </c>
      <c r="I13" s="30" t="s">
        <v>176</v>
      </c>
      <c r="J13" s="30" t="s">
        <v>51</v>
      </c>
      <c r="K13" s="37" t="s">
        <v>40</v>
      </c>
      <c r="L13" s="37">
        <v>83</v>
      </c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22">
        <f t="shared" ref="Y13" si="3">SUM(M13:X13)</f>
        <v>0</v>
      </c>
      <c r="Z13" s="30" t="s">
        <v>177</v>
      </c>
      <c r="AA13" s="37" t="s">
        <v>47</v>
      </c>
      <c r="AB13" s="30" t="s">
        <v>178</v>
      </c>
      <c r="AC13" s="30">
        <v>5513415398</v>
      </c>
      <c r="AD13" s="37" t="s">
        <v>48</v>
      </c>
      <c r="AE13" s="37">
        <v>54</v>
      </c>
      <c r="AF13" s="37" t="s">
        <v>40</v>
      </c>
      <c r="AG13" s="30" t="s">
        <v>179</v>
      </c>
      <c r="AH13" s="30"/>
      <c r="AI13" s="30"/>
      <c r="AJ13" s="37">
        <v>2</v>
      </c>
      <c r="AK13" s="30"/>
      <c r="AL13" s="30"/>
      <c r="AM13" s="30"/>
      <c r="AN13" s="30"/>
      <c r="AO13" s="30"/>
      <c r="AP13" s="30"/>
      <c r="AQ13" s="30"/>
      <c r="AR13" s="40" t="s">
        <v>58</v>
      </c>
      <c r="AS13" s="41" t="s">
        <v>61</v>
      </c>
      <c r="AT13" s="38">
        <v>0</v>
      </c>
      <c r="AU13" s="39" t="s">
        <v>0</v>
      </c>
      <c r="AV13" s="21" t="s">
        <v>146</v>
      </c>
    </row>
    <row r="14" spans="1:48" x14ac:dyDescent="0.3">
      <c r="A14" s="21">
        <v>8</v>
      </c>
      <c r="B14" s="37" t="s">
        <v>180</v>
      </c>
      <c r="C14" s="30" t="s">
        <v>181</v>
      </c>
      <c r="D14" s="30" t="s">
        <v>182</v>
      </c>
      <c r="E14" s="30" t="s">
        <v>183</v>
      </c>
      <c r="F14" s="23">
        <v>45245</v>
      </c>
      <c r="G14" s="30" t="s">
        <v>184</v>
      </c>
      <c r="H14" s="30" t="s">
        <v>185</v>
      </c>
      <c r="I14" s="30" t="s">
        <v>186</v>
      </c>
      <c r="J14" s="30" t="s">
        <v>45</v>
      </c>
      <c r="K14" s="21" t="s">
        <v>40</v>
      </c>
      <c r="L14" s="37">
        <v>7</v>
      </c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22">
        <f t="shared" ref="Y14:Y22" si="4">SUM(M14:X14)</f>
        <v>0</v>
      </c>
      <c r="Z14" s="30" t="s">
        <v>187</v>
      </c>
      <c r="AA14" s="22" t="s">
        <v>47</v>
      </c>
      <c r="AB14" s="30" t="s">
        <v>188</v>
      </c>
      <c r="AC14" s="30">
        <v>5526643567</v>
      </c>
      <c r="AD14" s="37" t="s">
        <v>189</v>
      </c>
      <c r="AE14" s="37">
        <v>35</v>
      </c>
      <c r="AF14" s="37" t="s">
        <v>46</v>
      </c>
      <c r="AG14" s="30" t="s">
        <v>56</v>
      </c>
      <c r="AH14" s="37" t="s">
        <v>56</v>
      </c>
      <c r="AI14" s="37" t="s">
        <v>56</v>
      </c>
      <c r="AJ14" s="37">
        <v>1</v>
      </c>
      <c r="AK14" s="37">
        <v>0</v>
      </c>
      <c r="AL14" s="37">
        <v>0</v>
      </c>
      <c r="AM14" s="37">
        <v>1</v>
      </c>
      <c r="AN14" s="37">
        <v>0</v>
      </c>
      <c r="AO14" s="37">
        <v>0</v>
      </c>
      <c r="AP14" s="37">
        <v>0</v>
      </c>
      <c r="AQ14" s="37">
        <v>0</v>
      </c>
      <c r="AR14" s="30" t="s">
        <v>58</v>
      </c>
      <c r="AS14" s="21" t="s">
        <v>61</v>
      </c>
      <c r="AT14" s="38">
        <v>0</v>
      </c>
      <c r="AU14" s="39" t="s">
        <v>0</v>
      </c>
      <c r="AV14" s="21" t="s">
        <v>59</v>
      </c>
    </row>
    <row r="15" spans="1:48" x14ac:dyDescent="0.3">
      <c r="A15" s="10">
        <v>9</v>
      </c>
      <c r="B15" s="11" t="s">
        <v>67</v>
      </c>
      <c r="C15" s="12" t="s">
        <v>68</v>
      </c>
      <c r="D15" s="12" t="s">
        <v>69</v>
      </c>
      <c r="E15" s="12" t="s">
        <v>70</v>
      </c>
      <c r="F15" s="13">
        <v>44295</v>
      </c>
      <c r="G15" s="14" t="s">
        <v>71</v>
      </c>
      <c r="H15" s="14" t="s">
        <v>72</v>
      </c>
      <c r="I15" s="14" t="s">
        <v>65</v>
      </c>
      <c r="J15" s="14" t="s">
        <v>51</v>
      </c>
      <c r="K15" s="11" t="s">
        <v>46</v>
      </c>
      <c r="L15" s="11">
        <v>91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>
        <f t="shared" si="4"/>
        <v>0</v>
      </c>
      <c r="Z15" s="17" t="s">
        <v>73</v>
      </c>
      <c r="AA15" s="11" t="s">
        <v>47</v>
      </c>
      <c r="AB15" s="14" t="s">
        <v>74</v>
      </c>
      <c r="AC15" s="15">
        <v>3319186313</v>
      </c>
      <c r="AD15" s="11" t="s">
        <v>48</v>
      </c>
      <c r="AE15" s="11"/>
      <c r="AF15" s="11" t="s">
        <v>40</v>
      </c>
      <c r="AG15" s="14" t="s">
        <v>75</v>
      </c>
      <c r="AH15" s="11" t="s">
        <v>56</v>
      </c>
      <c r="AI15" s="11" t="s">
        <v>56</v>
      </c>
      <c r="AJ15" s="11">
        <v>2</v>
      </c>
      <c r="AK15" s="11">
        <v>1</v>
      </c>
      <c r="AL15" s="11">
        <v>1</v>
      </c>
      <c r="AM15" s="11">
        <v>1</v>
      </c>
      <c r="AN15" s="11">
        <v>1</v>
      </c>
      <c r="AO15" s="11">
        <v>1</v>
      </c>
      <c r="AP15" s="11">
        <v>1</v>
      </c>
      <c r="AQ15" s="11">
        <v>1</v>
      </c>
      <c r="AR15" s="20" t="s">
        <v>76</v>
      </c>
      <c r="AS15" s="11" t="s">
        <v>66</v>
      </c>
      <c r="AT15" s="24">
        <v>1250</v>
      </c>
      <c r="AU15" s="11" t="s">
        <v>49</v>
      </c>
      <c r="AV15" s="11" t="s">
        <v>0</v>
      </c>
    </row>
    <row r="16" spans="1:48" x14ac:dyDescent="0.3">
      <c r="A16" s="10">
        <v>10</v>
      </c>
      <c r="B16" s="26" t="s">
        <v>78</v>
      </c>
      <c r="C16" s="42" t="s">
        <v>79</v>
      </c>
      <c r="D16" s="42" t="s">
        <v>80</v>
      </c>
      <c r="E16" s="42" t="s">
        <v>81</v>
      </c>
      <c r="F16" s="16">
        <v>43943</v>
      </c>
      <c r="G16" s="25" t="s">
        <v>82</v>
      </c>
      <c r="H16" s="25" t="s">
        <v>83</v>
      </c>
      <c r="I16" s="25" t="s">
        <v>50</v>
      </c>
      <c r="J16" s="25" t="s">
        <v>51</v>
      </c>
      <c r="K16" s="26" t="s">
        <v>40</v>
      </c>
      <c r="L16" s="26">
        <v>84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>
        <f t="shared" si="4"/>
        <v>0</v>
      </c>
      <c r="Z16" s="43" t="s">
        <v>84</v>
      </c>
      <c r="AA16" s="26" t="s">
        <v>47</v>
      </c>
      <c r="AB16" s="25" t="s">
        <v>85</v>
      </c>
      <c r="AC16" s="44">
        <v>9981331580</v>
      </c>
      <c r="AD16" s="26" t="s">
        <v>48</v>
      </c>
      <c r="AE16" s="26">
        <v>52</v>
      </c>
      <c r="AF16" s="26" t="s">
        <v>40</v>
      </c>
      <c r="AG16" s="25" t="s">
        <v>86</v>
      </c>
      <c r="AH16" s="26">
        <v>50</v>
      </c>
      <c r="AI16" s="26" t="s">
        <v>46</v>
      </c>
      <c r="AJ16" s="26">
        <v>2</v>
      </c>
      <c r="AK16" s="26">
        <v>1</v>
      </c>
      <c r="AL16" s="26">
        <v>1</v>
      </c>
      <c r="AM16" s="26">
        <v>1</v>
      </c>
      <c r="AN16" s="26">
        <v>1</v>
      </c>
      <c r="AO16" s="26">
        <v>1</v>
      </c>
      <c r="AP16" s="26">
        <v>1</v>
      </c>
      <c r="AQ16" s="26">
        <v>0</v>
      </c>
      <c r="AR16" s="45" t="s">
        <v>57</v>
      </c>
      <c r="AS16" s="26" t="s">
        <v>53</v>
      </c>
      <c r="AT16" s="27">
        <v>750</v>
      </c>
      <c r="AU16" s="46" t="s">
        <v>49</v>
      </c>
      <c r="AV16" s="26" t="s">
        <v>0</v>
      </c>
    </row>
    <row r="17" spans="1:48" x14ac:dyDescent="0.3">
      <c r="A17" s="10">
        <v>11</v>
      </c>
      <c r="B17" s="11" t="s">
        <v>94</v>
      </c>
      <c r="C17" s="12" t="s">
        <v>95</v>
      </c>
      <c r="D17" s="12" t="s">
        <v>96</v>
      </c>
      <c r="E17" s="12" t="s">
        <v>97</v>
      </c>
      <c r="F17" s="16">
        <v>44429</v>
      </c>
      <c r="G17" s="14" t="s">
        <v>98</v>
      </c>
      <c r="H17" s="14" t="s">
        <v>99</v>
      </c>
      <c r="I17" s="14" t="s">
        <v>55</v>
      </c>
      <c r="J17" s="14" t="s">
        <v>51</v>
      </c>
      <c r="K17" s="11" t="s">
        <v>40</v>
      </c>
      <c r="L17" s="11">
        <v>21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>
        <f t="shared" si="4"/>
        <v>0</v>
      </c>
      <c r="Z17" s="17" t="s">
        <v>100</v>
      </c>
      <c r="AA17" s="11" t="s">
        <v>47</v>
      </c>
      <c r="AB17" s="14" t="s">
        <v>101</v>
      </c>
      <c r="AC17" s="15">
        <v>5537245556</v>
      </c>
      <c r="AD17" s="11" t="s">
        <v>60</v>
      </c>
      <c r="AE17" s="11">
        <v>53</v>
      </c>
      <c r="AF17" s="11" t="s">
        <v>40</v>
      </c>
      <c r="AG17" s="14" t="s">
        <v>102</v>
      </c>
      <c r="AH17" s="11">
        <v>54</v>
      </c>
      <c r="AI17" s="11" t="s">
        <v>40</v>
      </c>
      <c r="AJ17" s="11">
        <v>2</v>
      </c>
      <c r="AK17" s="11">
        <v>1</v>
      </c>
      <c r="AL17" s="11">
        <v>0</v>
      </c>
      <c r="AM17" s="11">
        <v>1</v>
      </c>
      <c r="AN17" s="11">
        <v>0</v>
      </c>
      <c r="AO17" s="11">
        <v>0</v>
      </c>
      <c r="AP17" s="11">
        <v>0</v>
      </c>
      <c r="AQ17" s="11">
        <v>0</v>
      </c>
      <c r="AR17" s="20" t="s">
        <v>57</v>
      </c>
      <c r="AS17" s="11" t="s">
        <v>53</v>
      </c>
      <c r="AT17" s="24">
        <v>1000</v>
      </c>
      <c r="AU17" s="11" t="s">
        <v>49</v>
      </c>
      <c r="AV17" s="11" t="s">
        <v>0</v>
      </c>
    </row>
    <row r="18" spans="1:48" x14ac:dyDescent="0.3">
      <c r="A18" s="10">
        <v>12</v>
      </c>
      <c r="B18" s="11" t="s">
        <v>103</v>
      </c>
      <c r="C18" s="12" t="s">
        <v>104</v>
      </c>
      <c r="D18" s="12" t="s">
        <v>105</v>
      </c>
      <c r="E18" s="12" t="s">
        <v>106</v>
      </c>
      <c r="F18" s="13">
        <v>43885</v>
      </c>
      <c r="G18" s="14" t="s">
        <v>107</v>
      </c>
      <c r="H18" s="14" t="s">
        <v>108</v>
      </c>
      <c r="I18" s="14" t="s">
        <v>55</v>
      </c>
      <c r="J18" s="14" t="s">
        <v>51</v>
      </c>
      <c r="K18" s="11" t="s">
        <v>46</v>
      </c>
      <c r="L18" s="11">
        <v>94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>
        <f t="shared" si="4"/>
        <v>0</v>
      </c>
      <c r="Z18" s="14" t="s">
        <v>90</v>
      </c>
      <c r="AA18" s="11" t="s">
        <v>109</v>
      </c>
      <c r="AB18" s="14" t="s">
        <v>110</v>
      </c>
      <c r="AC18" s="29" t="s">
        <v>111</v>
      </c>
      <c r="AD18" s="11" t="s">
        <v>52</v>
      </c>
      <c r="AE18" s="11">
        <v>66</v>
      </c>
      <c r="AF18" s="11" t="s">
        <v>46</v>
      </c>
      <c r="AG18" s="14" t="s">
        <v>112</v>
      </c>
      <c r="AH18" s="11" t="s">
        <v>113</v>
      </c>
      <c r="AI18" s="11" t="s">
        <v>113</v>
      </c>
      <c r="AJ18" s="11">
        <v>1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1</v>
      </c>
      <c r="AQ18" s="11">
        <v>1</v>
      </c>
      <c r="AR18" s="20" t="s">
        <v>66</v>
      </c>
      <c r="AS18" s="11" t="s">
        <v>66</v>
      </c>
      <c r="AT18" s="24">
        <v>1200</v>
      </c>
      <c r="AU18" s="11" t="s">
        <v>49</v>
      </c>
      <c r="AV18" s="11" t="s">
        <v>0</v>
      </c>
    </row>
    <row r="19" spans="1:48" x14ac:dyDescent="0.3">
      <c r="A19" s="10">
        <v>13</v>
      </c>
      <c r="B19" s="11" t="s">
        <v>114</v>
      </c>
      <c r="C19" s="12" t="s">
        <v>115</v>
      </c>
      <c r="D19" s="12" t="s">
        <v>116</v>
      </c>
      <c r="E19" s="12" t="s">
        <v>117</v>
      </c>
      <c r="F19" s="13">
        <v>44211</v>
      </c>
      <c r="G19" s="14" t="s">
        <v>118</v>
      </c>
      <c r="H19" s="14" t="s">
        <v>119</v>
      </c>
      <c r="I19" s="14" t="s">
        <v>50</v>
      </c>
      <c r="J19" s="14" t="s">
        <v>51</v>
      </c>
      <c r="K19" s="11" t="s">
        <v>40</v>
      </c>
      <c r="L19" s="11">
        <v>90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>
        <f t="shared" si="4"/>
        <v>0</v>
      </c>
      <c r="Z19" s="17" t="s">
        <v>120</v>
      </c>
      <c r="AA19" s="11" t="s">
        <v>47</v>
      </c>
      <c r="AB19" s="14" t="s">
        <v>121</v>
      </c>
      <c r="AC19" s="29" t="s">
        <v>122</v>
      </c>
      <c r="AD19" s="11" t="s">
        <v>89</v>
      </c>
      <c r="AE19" s="11">
        <v>89</v>
      </c>
      <c r="AF19" s="11" t="s">
        <v>46</v>
      </c>
      <c r="AG19" s="14" t="s">
        <v>123</v>
      </c>
      <c r="AH19" s="11">
        <v>65</v>
      </c>
      <c r="AI19" s="11" t="s">
        <v>46</v>
      </c>
      <c r="AJ19" s="11">
        <v>1</v>
      </c>
      <c r="AK19" s="11">
        <v>1</v>
      </c>
      <c r="AL19" s="11">
        <v>1</v>
      </c>
      <c r="AM19" s="11">
        <v>1</v>
      </c>
      <c r="AN19" s="11">
        <v>1</v>
      </c>
      <c r="AO19" s="11">
        <v>1</v>
      </c>
      <c r="AP19" s="11">
        <v>1</v>
      </c>
      <c r="AQ19" s="11">
        <v>1</v>
      </c>
      <c r="AR19" s="20" t="s">
        <v>66</v>
      </c>
      <c r="AS19" s="11" t="s">
        <v>66</v>
      </c>
      <c r="AT19" s="24">
        <v>1200</v>
      </c>
      <c r="AU19" s="11" t="s">
        <v>49</v>
      </c>
      <c r="AV19" s="11" t="s">
        <v>0</v>
      </c>
    </row>
    <row r="20" spans="1:48" x14ac:dyDescent="0.3">
      <c r="A20" s="10">
        <v>14</v>
      </c>
      <c r="B20" s="10" t="s">
        <v>190</v>
      </c>
      <c r="C20" s="18" t="s">
        <v>62</v>
      </c>
      <c r="D20" s="18" t="s">
        <v>191</v>
      </c>
      <c r="E20" s="18" t="s">
        <v>192</v>
      </c>
      <c r="F20" s="47">
        <v>44981</v>
      </c>
      <c r="G20" s="19" t="s">
        <v>193</v>
      </c>
      <c r="H20" s="19" t="s">
        <v>194</v>
      </c>
      <c r="I20" s="19" t="s">
        <v>63</v>
      </c>
      <c r="J20" s="48" t="s">
        <v>51</v>
      </c>
      <c r="K20" s="10" t="s">
        <v>46</v>
      </c>
      <c r="L20" s="10">
        <v>87</v>
      </c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1">
        <f t="shared" si="4"/>
        <v>0</v>
      </c>
      <c r="Z20" s="18" t="s">
        <v>195</v>
      </c>
      <c r="AA20" s="10" t="s">
        <v>47</v>
      </c>
      <c r="AB20" s="18" t="s">
        <v>196</v>
      </c>
      <c r="AC20" s="18">
        <v>5545720910</v>
      </c>
      <c r="AD20" s="10" t="s">
        <v>52</v>
      </c>
      <c r="AE20" s="10">
        <v>58</v>
      </c>
      <c r="AF20" s="10" t="s">
        <v>46</v>
      </c>
      <c r="AG20" s="18" t="s">
        <v>197</v>
      </c>
      <c r="AH20" s="10">
        <v>56</v>
      </c>
      <c r="AI20" s="10" t="s">
        <v>46</v>
      </c>
      <c r="AJ20" s="10">
        <v>4</v>
      </c>
      <c r="AK20" s="10">
        <v>0</v>
      </c>
      <c r="AL20" s="10">
        <v>1</v>
      </c>
      <c r="AM20" s="10">
        <v>0</v>
      </c>
      <c r="AN20" s="10">
        <v>0</v>
      </c>
      <c r="AO20" s="10">
        <v>0</v>
      </c>
      <c r="AP20" s="10">
        <v>1</v>
      </c>
      <c r="AQ20" s="10">
        <v>0</v>
      </c>
      <c r="AR20" s="18" t="s">
        <v>58</v>
      </c>
      <c r="AS20" s="49" t="s">
        <v>61</v>
      </c>
      <c r="AT20" s="24">
        <v>550</v>
      </c>
      <c r="AU20" s="10" t="s">
        <v>49</v>
      </c>
      <c r="AV20" s="10" t="s">
        <v>0</v>
      </c>
    </row>
    <row r="21" spans="1:48" x14ac:dyDescent="0.3">
      <c r="A21" s="10">
        <v>15</v>
      </c>
      <c r="B21" s="10" t="s">
        <v>198</v>
      </c>
      <c r="C21" s="18" t="s">
        <v>199</v>
      </c>
      <c r="D21" s="18" t="s">
        <v>200</v>
      </c>
      <c r="E21" s="18" t="s">
        <v>201</v>
      </c>
      <c r="F21" s="50">
        <v>44987</v>
      </c>
      <c r="G21" s="19" t="s">
        <v>202</v>
      </c>
      <c r="H21" s="19" t="s">
        <v>203</v>
      </c>
      <c r="I21" s="19" t="s">
        <v>50</v>
      </c>
      <c r="J21" s="48" t="s">
        <v>51</v>
      </c>
      <c r="K21" s="10" t="s">
        <v>46</v>
      </c>
      <c r="L21" s="10">
        <v>76</v>
      </c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1">
        <f t="shared" si="4"/>
        <v>0</v>
      </c>
      <c r="Z21" s="18" t="s">
        <v>204</v>
      </c>
      <c r="AA21" s="10" t="s">
        <v>47</v>
      </c>
      <c r="AB21" s="18" t="s">
        <v>56</v>
      </c>
      <c r="AC21" s="18">
        <v>5554061803</v>
      </c>
      <c r="AD21" s="10" t="s">
        <v>56</v>
      </c>
      <c r="AE21" s="10" t="s">
        <v>56</v>
      </c>
      <c r="AF21" s="10" t="s">
        <v>56</v>
      </c>
      <c r="AG21" s="18" t="s">
        <v>56</v>
      </c>
      <c r="AH21" s="10" t="s">
        <v>56</v>
      </c>
      <c r="AI21" s="10" t="s">
        <v>56</v>
      </c>
      <c r="AJ21" s="10">
        <v>1</v>
      </c>
      <c r="AK21" s="10">
        <v>1</v>
      </c>
      <c r="AL21" s="10">
        <v>1</v>
      </c>
      <c r="AM21" s="10">
        <v>1</v>
      </c>
      <c r="AN21" s="10">
        <v>1</v>
      </c>
      <c r="AO21" s="10">
        <v>1</v>
      </c>
      <c r="AP21" s="10">
        <v>1</v>
      </c>
      <c r="AQ21" s="10"/>
      <c r="AR21" s="18" t="s">
        <v>205</v>
      </c>
      <c r="AS21" s="49" t="s">
        <v>66</v>
      </c>
      <c r="AT21" s="28">
        <v>1400</v>
      </c>
      <c r="AU21" s="10" t="s">
        <v>49</v>
      </c>
      <c r="AV21" s="11" t="s">
        <v>0</v>
      </c>
    </row>
    <row r="22" spans="1:48" x14ac:dyDescent="0.3">
      <c r="A22" s="10">
        <v>16</v>
      </c>
      <c r="B22" s="10" t="s">
        <v>206</v>
      </c>
      <c r="C22" s="18" t="s">
        <v>207</v>
      </c>
      <c r="D22" s="18" t="s">
        <v>208</v>
      </c>
      <c r="E22" s="18" t="s">
        <v>209</v>
      </c>
      <c r="F22" s="50">
        <v>44998</v>
      </c>
      <c r="G22" s="19" t="s">
        <v>210</v>
      </c>
      <c r="H22" s="19" t="s">
        <v>88</v>
      </c>
      <c r="I22" s="19" t="s">
        <v>65</v>
      </c>
      <c r="J22" s="48" t="s">
        <v>51</v>
      </c>
      <c r="K22" s="10" t="s">
        <v>40</v>
      </c>
      <c r="L22" s="10">
        <v>89</v>
      </c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1">
        <f t="shared" si="4"/>
        <v>0</v>
      </c>
      <c r="Z22" s="18" t="s">
        <v>211</v>
      </c>
      <c r="AA22" s="10" t="s">
        <v>47</v>
      </c>
      <c r="AB22" s="18" t="s">
        <v>212</v>
      </c>
      <c r="AC22" s="18">
        <v>5538887806</v>
      </c>
      <c r="AD22" s="10" t="s">
        <v>48</v>
      </c>
      <c r="AE22" s="10">
        <v>65</v>
      </c>
      <c r="AF22" s="10" t="s">
        <v>40</v>
      </c>
      <c r="AG22" s="18" t="s">
        <v>213</v>
      </c>
      <c r="AH22" s="10">
        <v>63</v>
      </c>
      <c r="AI22" s="10" t="s">
        <v>46</v>
      </c>
      <c r="AJ22" s="10">
        <v>2</v>
      </c>
      <c r="AK22" s="10">
        <v>0</v>
      </c>
      <c r="AL22" s="10">
        <v>1</v>
      </c>
      <c r="AM22" s="10">
        <v>0</v>
      </c>
      <c r="AN22" s="10">
        <v>1</v>
      </c>
      <c r="AO22" s="10">
        <v>1</v>
      </c>
      <c r="AP22" s="10">
        <v>0</v>
      </c>
      <c r="AQ22" s="10">
        <v>0</v>
      </c>
      <c r="AR22" s="18" t="s">
        <v>214</v>
      </c>
      <c r="AS22" s="49" t="s">
        <v>53</v>
      </c>
      <c r="AT22" s="24">
        <v>800</v>
      </c>
      <c r="AU22" s="10" t="s">
        <v>49</v>
      </c>
      <c r="AV22" s="10" t="s">
        <v>0</v>
      </c>
    </row>
    <row r="23" spans="1:48" x14ac:dyDescent="0.3">
      <c r="A23" s="10">
        <v>17</v>
      </c>
      <c r="B23" s="10" t="s">
        <v>215</v>
      </c>
      <c r="C23" s="18" t="s">
        <v>54</v>
      </c>
      <c r="D23" s="18" t="s">
        <v>216</v>
      </c>
      <c r="E23" s="18" t="s">
        <v>217</v>
      </c>
      <c r="F23" s="51">
        <v>45078</v>
      </c>
      <c r="G23" s="19" t="s">
        <v>218</v>
      </c>
      <c r="H23" s="19" t="s">
        <v>219</v>
      </c>
      <c r="I23" s="19" t="s">
        <v>220</v>
      </c>
      <c r="J23" s="48" t="s">
        <v>51</v>
      </c>
      <c r="K23" s="10" t="s">
        <v>40</v>
      </c>
      <c r="L23" s="10">
        <v>91</v>
      </c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1">
        <f t="shared" ref="Y23:Y26" si="5">SUM(M23:X23)</f>
        <v>0</v>
      </c>
      <c r="Z23" s="18" t="s">
        <v>221</v>
      </c>
      <c r="AA23" s="10" t="s">
        <v>47</v>
      </c>
      <c r="AB23" s="18" t="s">
        <v>222</v>
      </c>
      <c r="AC23" s="18">
        <v>8329285078</v>
      </c>
      <c r="AD23" s="10" t="s">
        <v>52</v>
      </c>
      <c r="AE23" s="10">
        <v>62</v>
      </c>
      <c r="AF23" s="10" t="s">
        <v>46</v>
      </c>
      <c r="AG23" s="18" t="s">
        <v>223</v>
      </c>
      <c r="AH23" s="10">
        <v>60</v>
      </c>
      <c r="AI23" s="10" t="s">
        <v>40</v>
      </c>
      <c r="AJ23" s="10">
        <v>2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1</v>
      </c>
      <c r="AQ23" s="10">
        <v>1</v>
      </c>
      <c r="AR23" s="18" t="s">
        <v>224</v>
      </c>
      <c r="AS23" s="49" t="s">
        <v>225</v>
      </c>
      <c r="AT23" s="28">
        <v>600</v>
      </c>
      <c r="AU23" s="10" t="s">
        <v>49</v>
      </c>
      <c r="AV23" s="10" t="s">
        <v>0</v>
      </c>
    </row>
    <row r="24" spans="1:48" x14ac:dyDescent="0.3">
      <c r="A24" s="10">
        <v>18</v>
      </c>
      <c r="B24" s="10" t="s">
        <v>226</v>
      </c>
      <c r="C24" s="18" t="s">
        <v>227</v>
      </c>
      <c r="D24" s="18" t="s">
        <v>54</v>
      </c>
      <c r="E24" s="18" t="s">
        <v>228</v>
      </c>
      <c r="F24" s="51">
        <v>45155</v>
      </c>
      <c r="G24" s="19" t="s">
        <v>229</v>
      </c>
      <c r="H24" s="19" t="s">
        <v>230</v>
      </c>
      <c r="I24" s="19" t="s">
        <v>231</v>
      </c>
      <c r="J24" s="48" t="s">
        <v>51</v>
      </c>
      <c r="K24" s="10" t="s">
        <v>40</v>
      </c>
      <c r="L24" s="10">
        <v>89</v>
      </c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1">
        <f t="shared" si="5"/>
        <v>0</v>
      </c>
      <c r="Z24" s="18" t="s">
        <v>90</v>
      </c>
      <c r="AA24" s="10" t="s">
        <v>47</v>
      </c>
      <c r="AB24" s="18" t="s">
        <v>232</v>
      </c>
      <c r="AC24" s="18">
        <v>5551045484</v>
      </c>
      <c r="AD24" s="10" t="s">
        <v>52</v>
      </c>
      <c r="AE24" s="10"/>
      <c r="AF24" s="10" t="s">
        <v>46</v>
      </c>
      <c r="AG24" s="18" t="s">
        <v>233</v>
      </c>
      <c r="AH24" s="10"/>
      <c r="AI24" s="10" t="s">
        <v>40</v>
      </c>
      <c r="AJ24" s="10">
        <v>3</v>
      </c>
      <c r="AK24" s="10">
        <v>1</v>
      </c>
      <c r="AL24" s="10">
        <v>1</v>
      </c>
      <c r="AM24" s="10">
        <v>1</v>
      </c>
      <c r="AN24" s="10">
        <v>1</v>
      </c>
      <c r="AO24" s="10">
        <v>1</v>
      </c>
      <c r="AP24" s="10">
        <v>1</v>
      </c>
      <c r="AQ24" s="10">
        <v>1</v>
      </c>
      <c r="AR24" s="18" t="s">
        <v>125</v>
      </c>
      <c r="AS24" s="10" t="s">
        <v>53</v>
      </c>
      <c r="AT24" s="28">
        <v>800</v>
      </c>
      <c r="AU24" s="10" t="s">
        <v>49</v>
      </c>
      <c r="AV24" s="10" t="s">
        <v>0</v>
      </c>
    </row>
    <row r="25" spans="1:48" x14ac:dyDescent="0.3">
      <c r="A25" s="10">
        <v>19</v>
      </c>
      <c r="B25" s="10" t="s">
        <v>234</v>
      </c>
      <c r="C25" s="18" t="s">
        <v>235</v>
      </c>
      <c r="D25" s="18" t="s">
        <v>236</v>
      </c>
      <c r="E25" s="18" t="s">
        <v>237</v>
      </c>
      <c r="F25" s="51">
        <v>45155</v>
      </c>
      <c r="G25" s="19" t="s">
        <v>238</v>
      </c>
      <c r="H25" s="19" t="s">
        <v>239</v>
      </c>
      <c r="I25" s="19" t="s">
        <v>55</v>
      </c>
      <c r="J25" s="48" t="s">
        <v>51</v>
      </c>
      <c r="K25" s="10" t="s">
        <v>40</v>
      </c>
      <c r="L25" s="10">
        <v>95</v>
      </c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1">
        <f t="shared" si="5"/>
        <v>0</v>
      </c>
      <c r="Z25" s="18" t="s">
        <v>240</v>
      </c>
      <c r="AA25" s="10" t="s">
        <v>47</v>
      </c>
      <c r="AB25" s="18" t="s">
        <v>241</v>
      </c>
      <c r="AC25" s="18">
        <v>5529591725</v>
      </c>
      <c r="AD25" s="10" t="s">
        <v>52</v>
      </c>
      <c r="AE25" s="10">
        <v>70</v>
      </c>
      <c r="AF25" s="10" t="s">
        <v>46</v>
      </c>
      <c r="AG25" s="18" t="s">
        <v>56</v>
      </c>
      <c r="AH25" s="10" t="s">
        <v>56</v>
      </c>
      <c r="AI25" s="10" t="s">
        <v>56</v>
      </c>
      <c r="AJ25" s="10">
        <v>1</v>
      </c>
      <c r="AK25" s="10">
        <v>1</v>
      </c>
      <c r="AL25" s="10">
        <v>1</v>
      </c>
      <c r="AM25" s="10">
        <v>1</v>
      </c>
      <c r="AN25" s="10">
        <v>1</v>
      </c>
      <c r="AO25" s="10">
        <v>1</v>
      </c>
      <c r="AP25" s="10">
        <v>1</v>
      </c>
      <c r="AQ25" s="10">
        <v>1</v>
      </c>
      <c r="AR25" s="18" t="s">
        <v>58</v>
      </c>
      <c r="AS25" s="49" t="s">
        <v>61</v>
      </c>
      <c r="AT25" s="28">
        <v>550</v>
      </c>
      <c r="AU25" s="10" t="s">
        <v>49</v>
      </c>
      <c r="AV25" s="10" t="s">
        <v>0</v>
      </c>
    </row>
    <row r="26" spans="1:48" x14ac:dyDescent="0.3">
      <c r="A26" s="10">
        <v>20</v>
      </c>
      <c r="B26" s="10" t="s">
        <v>242</v>
      </c>
      <c r="C26" s="18" t="s">
        <v>243</v>
      </c>
      <c r="D26" s="18" t="s">
        <v>244</v>
      </c>
      <c r="E26" s="18" t="s">
        <v>245</v>
      </c>
      <c r="F26" s="51">
        <v>45176</v>
      </c>
      <c r="G26" s="19" t="s">
        <v>246</v>
      </c>
      <c r="H26" s="19" t="s">
        <v>247</v>
      </c>
      <c r="I26" s="19" t="s">
        <v>92</v>
      </c>
      <c r="J26" s="48" t="s">
        <v>51</v>
      </c>
      <c r="K26" s="10" t="s">
        <v>40</v>
      </c>
      <c r="L26" s="10">
        <v>92</v>
      </c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1">
        <f t="shared" si="5"/>
        <v>0</v>
      </c>
      <c r="Z26" s="18" t="s">
        <v>248</v>
      </c>
      <c r="AA26" s="10" t="s">
        <v>47</v>
      </c>
      <c r="AB26" s="18" t="s">
        <v>249</v>
      </c>
      <c r="AC26" s="18">
        <v>5951065911</v>
      </c>
      <c r="AD26" s="10" t="s">
        <v>250</v>
      </c>
      <c r="AE26" s="10"/>
      <c r="AF26" s="10" t="s">
        <v>46</v>
      </c>
      <c r="AG26" s="18" t="s">
        <v>251</v>
      </c>
      <c r="AH26" s="10" t="s">
        <v>56</v>
      </c>
      <c r="AI26" s="10" t="s">
        <v>56</v>
      </c>
      <c r="AJ26" s="10">
        <v>2</v>
      </c>
      <c r="AK26" s="10">
        <v>1</v>
      </c>
      <c r="AL26" s="10">
        <v>1</v>
      </c>
      <c r="AM26" s="10">
        <v>1</v>
      </c>
      <c r="AN26" s="10">
        <v>1</v>
      </c>
      <c r="AO26" s="10">
        <v>1</v>
      </c>
      <c r="AP26" s="10">
        <v>1</v>
      </c>
      <c r="AQ26" s="10">
        <v>1</v>
      </c>
      <c r="AR26" s="18" t="s">
        <v>57</v>
      </c>
      <c r="AS26" s="10" t="s">
        <v>53</v>
      </c>
      <c r="AT26" s="28">
        <v>800</v>
      </c>
      <c r="AU26" s="10" t="s">
        <v>49</v>
      </c>
      <c r="AV26" s="10" t="s">
        <v>0</v>
      </c>
    </row>
    <row r="27" spans="1:48" x14ac:dyDescent="0.3">
      <c r="A27" s="10">
        <v>21</v>
      </c>
      <c r="B27" s="49" t="s">
        <v>252</v>
      </c>
      <c r="C27" s="18" t="s">
        <v>253</v>
      </c>
      <c r="D27" s="18" t="s">
        <v>254</v>
      </c>
      <c r="E27" s="18" t="s">
        <v>255</v>
      </c>
      <c r="F27" s="50">
        <v>45236</v>
      </c>
      <c r="G27" s="18" t="s">
        <v>87</v>
      </c>
      <c r="H27" s="18" t="s">
        <v>88</v>
      </c>
      <c r="I27" s="18" t="s">
        <v>65</v>
      </c>
      <c r="J27" s="18" t="s">
        <v>51</v>
      </c>
      <c r="K27" s="10" t="s">
        <v>46</v>
      </c>
      <c r="L27" s="49">
        <v>81</v>
      </c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11">
        <f t="shared" ref="Y27:Y31" si="6">SUM(M27:X27)</f>
        <v>0</v>
      </c>
      <c r="Z27" s="18" t="s">
        <v>256</v>
      </c>
      <c r="AA27" s="11" t="s">
        <v>47</v>
      </c>
      <c r="AB27" s="18" t="s">
        <v>257</v>
      </c>
      <c r="AC27" s="18"/>
      <c r="AD27" s="49"/>
      <c r="AE27" s="18"/>
      <c r="AF27" s="49"/>
      <c r="AG27" s="18" t="s">
        <v>56</v>
      </c>
      <c r="AH27" s="49"/>
      <c r="AI27" s="49"/>
      <c r="AJ27" s="49">
        <v>1</v>
      </c>
      <c r="AK27" s="49">
        <v>1</v>
      </c>
      <c r="AL27" s="49">
        <v>0</v>
      </c>
      <c r="AM27" s="49">
        <v>1</v>
      </c>
      <c r="AN27" s="49">
        <v>0</v>
      </c>
      <c r="AO27" s="49">
        <v>1</v>
      </c>
      <c r="AP27" s="49">
        <v>0</v>
      </c>
      <c r="AQ27" s="49">
        <v>1</v>
      </c>
      <c r="AR27" s="18" t="s">
        <v>258</v>
      </c>
      <c r="AS27" s="49" t="s">
        <v>61</v>
      </c>
      <c r="AT27" s="28">
        <v>500</v>
      </c>
      <c r="AU27" s="10" t="s">
        <v>49</v>
      </c>
      <c r="AV27" s="10" t="s">
        <v>0</v>
      </c>
    </row>
    <row r="28" spans="1:48" x14ac:dyDescent="0.3">
      <c r="A28" s="10">
        <v>22</v>
      </c>
      <c r="B28" s="49" t="s">
        <v>259</v>
      </c>
      <c r="C28" s="18" t="s">
        <v>260</v>
      </c>
      <c r="D28" s="18" t="s">
        <v>261</v>
      </c>
      <c r="E28" s="18" t="s">
        <v>262</v>
      </c>
      <c r="F28" s="50">
        <v>45239</v>
      </c>
      <c r="G28" s="18" t="s">
        <v>263</v>
      </c>
      <c r="H28" s="18" t="s">
        <v>264</v>
      </c>
      <c r="I28" s="18" t="s">
        <v>55</v>
      </c>
      <c r="J28" s="18" t="s">
        <v>51</v>
      </c>
      <c r="K28" s="10" t="s">
        <v>46</v>
      </c>
      <c r="L28" s="49">
        <v>74</v>
      </c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11">
        <f t="shared" si="6"/>
        <v>0</v>
      </c>
      <c r="Z28" s="18" t="s">
        <v>265</v>
      </c>
      <c r="AA28" s="11" t="s">
        <v>47</v>
      </c>
      <c r="AB28" s="18" t="s">
        <v>266</v>
      </c>
      <c r="AC28" s="18">
        <v>5547667872</v>
      </c>
      <c r="AD28" s="49" t="s">
        <v>52</v>
      </c>
      <c r="AE28" s="49">
        <v>43</v>
      </c>
      <c r="AF28" s="49" t="s">
        <v>46</v>
      </c>
      <c r="AG28" s="18" t="s">
        <v>267</v>
      </c>
      <c r="AH28" s="49" t="s">
        <v>56</v>
      </c>
      <c r="AI28" s="49" t="s">
        <v>56</v>
      </c>
      <c r="AJ28" s="49">
        <v>2</v>
      </c>
      <c r="AK28" s="49">
        <v>0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1</v>
      </c>
      <c r="AR28" s="18" t="s">
        <v>268</v>
      </c>
      <c r="AS28" s="10" t="s">
        <v>61</v>
      </c>
      <c r="AT28" s="28">
        <v>550</v>
      </c>
      <c r="AU28" s="10" t="s">
        <v>49</v>
      </c>
      <c r="AV28" s="10" t="s">
        <v>0</v>
      </c>
    </row>
    <row r="29" spans="1:48" x14ac:dyDescent="0.3">
      <c r="A29" s="10">
        <v>23</v>
      </c>
      <c r="B29" s="49" t="s">
        <v>269</v>
      </c>
      <c r="C29" s="18" t="s">
        <v>270</v>
      </c>
      <c r="D29" s="18" t="s">
        <v>91</v>
      </c>
      <c r="E29" s="18" t="s">
        <v>271</v>
      </c>
      <c r="F29" s="50">
        <v>45261</v>
      </c>
      <c r="G29" s="18" t="s">
        <v>272</v>
      </c>
      <c r="H29" s="18" t="s">
        <v>273</v>
      </c>
      <c r="I29" s="18" t="s">
        <v>92</v>
      </c>
      <c r="J29" s="18" t="s">
        <v>51</v>
      </c>
      <c r="K29" s="10" t="s">
        <v>40</v>
      </c>
      <c r="L29" s="49">
        <v>88</v>
      </c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11">
        <f t="shared" si="6"/>
        <v>0</v>
      </c>
      <c r="Z29" s="18" t="s">
        <v>274</v>
      </c>
      <c r="AA29" s="11" t="s">
        <v>47</v>
      </c>
      <c r="AB29" s="18" t="s">
        <v>275</v>
      </c>
      <c r="AC29" s="18">
        <v>5540293560</v>
      </c>
      <c r="AD29" s="49" t="s">
        <v>52</v>
      </c>
      <c r="AE29" s="49">
        <v>59</v>
      </c>
      <c r="AF29" s="49" t="s">
        <v>46</v>
      </c>
      <c r="AG29" s="18" t="s">
        <v>276</v>
      </c>
      <c r="AH29" s="49">
        <v>57</v>
      </c>
      <c r="AI29" s="49" t="s">
        <v>40</v>
      </c>
      <c r="AJ29" s="49">
        <v>2</v>
      </c>
      <c r="AK29" s="49">
        <v>1</v>
      </c>
      <c r="AL29" s="49">
        <v>1</v>
      </c>
      <c r="AM29" s="49">
        <v>1</v>
      </c>
      <c r="AN29" s="49">
        <v>1</v>
      </c>
      <c r="AO29" s="49">
        <v>1</v>
      </c>
      <c r="AP29" s="49">
        <v>1</v>
      </c>
      <c r="AQ29" s="49">
        <v>1</v>
      </c>
      <c r="AR29" s="18" t="s">
        <v>58</v>
      </c>
      <c r="AS29" s="10" t="s">
        <v>61</v>
      </c>
      <c r="AT29" s="28">
        <v>550</v>
      </c>
      <c r="AU29" s="10" t="s">
        <v>49</v>
      </c>
      <c r="AV29" s="10" t="s">
        <v>0</v>
      </c>
    </row>
    <row r="30" spans="1:48" x14ac:dyDescent="0.3">
      <c r="A30" s="10">
        <v>24</v>
      </c>
      <c r="B30" s="49" t="s">
        <v>277</v>
      </c>
      <c r="C30" s="18" t="s">
        <v>278</v>
      </c>
      <c r="D30" s="18" t="s">
        <v>279</v>
      </c>
      <c r="E30" s="18" t="s">
        <v>280</v>
      </c>
      <c r="F30" s="50">
        <v>45272</v>
      </c>
      <c r="G30" s="18" t="s">
        <v>281</v>
      </c>
      <c r="H30" s="18" t="s">
        <v>282</v>
      </c>
      <c r="I30" s="19" t="s">
        <v>50</v>
      </c>
      <c r="J30" s="18" t="s">
        <v>51</v>
      </c>
      <c r="K30" s="10" t="s">
        <v>40</v>
      </c>
      <c r="L30" s="49">
        <v>76</v>
      </c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11">
        <f t="shared" si="6"/>
        <v>0</v>
      </c>
      <c r="Z30" s="18" t="s">
        <v>283</v>
      </c>
      <c r="AA30" s="11" t="s">
        <v>47</v>
      </c>
      <c r="AB30" s="18" t="s">
        <v>284</v>
      </c>
      <c r="AC30" s="18">
        <v>5586162090</v>
      </c>
      <c r="AD30" s="49" t="s">
        <v>52</v>
      </c>
      <c r="AE30" s="49">
        <v>55</v>
      </c>
      <c r="AF30" s="49" t="s">
        <v>46</v>
      </c>
      <c r="AG30" s="18" t="s">
        <v>56</v>
      </c>
      <c r="AH30" s="49"/>
      <c r="AI30" s="49"/>
      <c r="AJ30" s="49">
        <v>1</v>
      </c>
      <c r="AK30" s="49">
        <v>1</v>
      </c>
      <c r="AL30" s="49">
        <v>1</v>
      </c>
      <c r="AM30" s="49">
        <v>1</v>
      </c>
      <c r="AN30" s="49">
        <v>1</v>
      </c>
      <c r="AO30" s="49">
        <v>1</v>
      </c>
      <c r="AP30" s="49">
        <v>1</v>
      </c>
      <c r="AQ30" s="49">
        <v>1</v>
      </c>
      <c r="AR30" s="18" t="s">
        <v>93</v>
      </c>
      <c r="AS30" s="10" t="s">
        <v>53</v>
      </c>
      <c r="AT30" s="28">
        <v>800</v>
      </c>
      <c r="AU30" s="10" t="s">
        <v>49</v>
      </c>
      <c r="AV30" s="10" t="s">
        <v>0</v>
      </c>
    </row>
    <row r="31" spans="1:48" x14ac:dyDescent="0.3">
      <c r="A31" s="10">
        <v>25</v>
      </c>
      <c r="B31" s="49" t="s">
        <v>285</v>
      </c>
      <c r="C31" s="18" t="s">
        <v>91</v>
      </c>
      <c r="D31" s="18" t="s">
        <v>286</v>
      </c>
      <c r="E31" s="18" t="s">
        <v>287</v>
      </c>
      <c r="F31" s="50">
        <v>45279</v>
      </c>
      <c r="G31" s="18" t="s">
        <v>288</v>
      </c>
      <c r="H31" s="18" t="s">
        <v>289</v>
      </c>
      <c r="I31" s="18" t="s">
        <v>55</v>
      </c>
      <c r="J31" s="18" t="s">
        <v>51</v>
      </c>
      <c r="K31" s="10" t="s">
        <v>46</v>
      </c>
      <c r="L31" s="49">
        <v>79</v>
      </c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11">
        <f t="shared" si="6"/>
        <v>0</v>
      </c>
      <c r="Z31" s="18" t="s">
        <v>290</v>
      </c>
      <c r="AA31" s="11" t="s">
        <v>47</v>
      </c>
      <c r="AB31" s="18" t="s">
        <v>291</v>
      </c>
      <c r="AC31" s="18">
        <v>5512376615</v>
      </c>
      <c r="AD31" s="49" t="s">
        <v>48</v>
      </c>
      <c r="AE31" s="49">
        <v>59</v>
      </c>
      <c r="AF31" s="49" t="s">
        <v>40</v>
      </c>
      <c r="AG31" s="18" t="s">
        <v>292</v>
      </c>
      <c r="AH31" s="49">
        <v>57</v>
      </c>
      <c r="AI31" s="49" t="s">
        <v>46</v>
      </c>
      <c r="AJ31" s="49">
        <v>2</v>
      </c>
      <c r="AK31" s="49">
        <v>1</v>
      </c>
      <c r="AL31" s="49">
        <v>1</v>
      </c>
      <c r="AM31" s="49">
        <v>1</v>
      </c>
      <c r="AN31" s="49">
        <v>1</v>
      </c>
      <c r="AO31" s="49">
        <v>1</v>
      </c>
      <c r="AP31" s="49">
        <v>1</v>
      </c>
      <c r="AQ31" s="49">
        <v>1</v>
      </c>
      <c r="AR31" s="18" t="s">
        <v>293</v>
      </c>
      <c r="AS31" s="49" t="s">
        <v>66</v>
      </c>
      <c r="AT31" s="28">
        <v>1400</v>
      </c>
      <c r="AU31" s="52" t="s">
        <v>49</v>
      </c>
      <c r="AV31" s="10" t="s">
        <v>0</v>
      </c>
    </row>
    <row r="32" spans="1:48" x14ac:dyDescent="0.3">
      <c r="A32" s="10">
        <v>26</v>
      </c>
      <c r="B32" s="49" t="s">
        <v>294</v>
      </c>
      <c r="C32" s="18" t="s">
        <v>295</v>
      </c>
      <c r="D32" s="18" t="s">
        <v>296</v>
      </c>
      <c r="E32" s="18" t="s">
        <v>297</v>
      </c>
      <c r="F32" s="50">
        <v>45211</v>
      </c>
      <c r="G32" s="18" t="s">
        <v>298</v>
      </c>
      <c r="H32" s="18" t="s">
        <v>299</v>
      </c>
      <c r="I32" s="18" t="s">
        <v>92</v>
      </c>
      <c r="J32" s="18" t="s">
        <v>51</v>
      </c>
      <c r="K32" s="10" t="s">
        <v>46</v>
      </c>
      <c r="L32" s="49">
        <v>63</v>
      </c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11">
        <f t="shared" ref="Y32" si="7">SUM(M32:X32)</f>
        <v>0</v>
      </c>
      <c r="Z32" s="18" t="s">
        <v>300</v>
      </c>
      <c r="AA32" s="49" t="s">
        <v>47</v>
      </c>
      <c r="AB32" s="18" t="s">
        <v>301</v>
      </c>
      <c r="AC32" s="18">
        <v>5521849071</v>
      </c>
      <c r="AD32" s="18" t="s">
        <v>64</v>
      </c>
      <c r="AE32" s="49">
        <v>62</v>
      </c>
      <c r="AF32" s="49" t="s">
        <v>46</v>
      </c>
      <c r="AG32" s="18" t="s">
        <v>302</v>
      </c>
      <c r="AH32" s="49" t="s">
        <v>56</v>
      </c>
      <c r="AI32" s="49" t="s">
        <v>56</v>
      </c>
      <c r="AJ32" s="49">
        <v>2</v>
      </c>
      <c r="AK32" s="49">
        <v>1</v>
      </c>
      <c r="AL32" s="49">
        <v>0</v>
      </c>
      <c r="AM32" s="49">
        <v>0</v>
      </c>
      <c r="AN32" s="49">
        <v>0</v>
      </c>
      <c r="AO32" s="49">
        <v>1</v>
      </c>
      <c r="AP32" s="49">
        <v>0</v>
      </c>
      <c r="AQ32" s="49">
        <v>0</v>
      </c>
      <c r="AR32" s="18" t="s">
        <v>303</v>
      </c>
      <c r="AS32" s="10" t="s">
        <v>225</v>
      </c>
      <c r="AT32" s="28">
        <v>650</v>
      </c>
      <c r="AU32" s="49" t="s">
        <v>49</v>
      </c>
      <c r="AV32" s="49" t="s">
        <v>0</v>
      </c>
    </row>
    <row r="33" spans="1:48" x14ac:dyDescent="0.3">
      <c r="A33" s="10">
        <v>27</v>
      </c>
      <c r="B33" s="49" t="s">
        <v>304</v>
      </c>
      <c r="C33" s="18" t="s">
        <v>305</v>
      </c>
      <c r="D33" s="18" t="s">
        <v>306</v>
      </c>
      <c r="E33" s="18" t="s">
        <v>307</v>
      </c>
      <c r="F33" s="50">
        <v>45272</v>
      </c>
      <c r="G33" s="18" t="s">
        <v>308</v>
      </c>
      <c r="H33" s="18" t="s">
        <v>309</v>
      </c>
      <c r="I33" s="18" t="s">
        <v>310</v>
      </c>
      <c r="J33" s="18" t="s">
        <v>51</v>
      </c>
      <c r="K33" s="10" t="s">
        <v>46</v>
      </c>
      <c r="L33" s="49">
        <v>86</v>
      </c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11">
        <f t="shared" ref="Y33" si="8">SUM(M33:X33)</f>
        <v>0</v>
      </c>
      <c r="Z33" s="18" t="s">
        <v>311</v>
      </c>
      <c r="AA33" s="11" t="s">
        <v>47</v>
      </c>
      <c r="AB33" s="18" t="s">
        <v>312</v>
      </c>
      <c r="AC33" s="18">
        <v>5523417357</v>
      </c>
      <c r="AD33" s="49" t="s">
        <v>124</v>
      </c>
      <c r="AE33" s="49">
        <v>62</v>
      </c>
      <c r="AF33" s="49" t="s">
        <v>46</v>
      </c>
      <c r="AG33" s="18" t="s">
        <v>56</v>
      </c>
      <c r="AH33" s="49" t="s">
        <v>56</v>
      </c>
      <c r="AI33" s="49" t="s">
        <v>56</v>
      </c>
      <c r="AJ33" s="49">
        <v>1</v>
      </c>
      <c r="AK33" s="49">
        <v>1</v>
      </c>
      <c r="AL33" s="49">
        <v>0</v>
      </c>
      <c r="AM33" s="49">
        <v>0</v>
      </c>
      <c r="AN33" s="49">
        <v>0</v>
      </c>
      <c r="AO33" s="49">
        <v>0</v>
      </c>
      <c r="AP33" s="49">
        <v>0</v>
      </c>
      <c r="AQ33" s="49">
        <v>1</v>
      </c>
      <c r="AR33" s="18" t="s">
        <v>313</v>
      </c>
      <c r="AS33" s="10" t="s">
        <v>53</v>
      </c>
      <c r="AT33" s="28">
        <v>800</v>
      </c>
      <c r="AU33" s="10" t="s">
        <v>49</v>
      </c>
      <c r="AV33" s="10" t="s">
        <v>0</v>
      </c>
    </row>
    <row r="34" spans="1:48" x14ac:dyDescent="0.3">
      <c r="A34" s="10">
        <v>28</v>
      </c>
      <c r="B34" s="10" t="s">
        <v>314</v>
      </c>
      <c r="C34" s="18" t="s">
        <v>315</v>
      </c>
      <c r="D34" s="18" t="s">
        <v>316</v>
      </c>
      <c r="E34" s="18" t="s">
        <v>317</v>
      </c>
      <c r="F34" s="50">
        <v>45293</v>
      </c>
      <c r="G34" s="18" t="s">
        <v>318</v>
      </c>
      <c r="H34" s="18" t="s">
        <v>319</v>
      </c>
      <c r="I34" s="18" t="s">
        <v>176</v>
      </c>
      <c r="J34" s="18" t="s">
        <v>51</v>
      </c>
      <c r="K34" s="49" t="s">
        <v>40</v>
      </c>
      <c r="L34" s="49">
        <v>78</v>
      </c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>
        <v>0</v>
      </c>
      <c r="Z34" s="18" t="s">
        <v>327</v>
      </c>
      <c r="AA34" s="49" t="s">
        <v>47</v>
      </c>
      <c r="AB34" s="18" t="s">
        <v>329</v>
      </c>
      <c r="AC34" s="18">
        <v>5536579522</v>
      </c>
      <c r="AD34" s="49" t="s">
        <v>52</v>
      </c>
      <c r="AE34" s="49">
        <v>48</v>
      </c>
      <c r="AF34" s="49" t="s">
        <v>46</v>
      </c>
      <c r="AG34" s="18" t="s">
        <v>330</v>
      </c>
      <c r="AH34" s="49" t="s">
        <v>56</v>
      </c>
      <c r="AI34" s="49" t="s">
        <v>56</v>
      </c>
      <c r="AJ34" s="49">
        <v>2</v>
      </c>
      <c r="AK34" s="49">
        <v>0</v>
      </c>
      <c r="AL34" s="49">
        <v>0</v>
      </c>
      <c r="AM34" s="49">
        <v>0</v>
      </c>
      <c r="AN34" s="49">
        <v>0</v>
      </c>
      <c r="AO34" s="49">
        <v>0</v>
      </c>
      <c r="AP34" s="49">
        <v>1</v>
      </c>
      <c r="AQ34" s="49">
        <v>1</v>
      </c>
      <c r="AR34" s="18" t="s">
        <v>125</v>
      </c>
      <c r="AS34" s="49" t="s">
        <v>53</v>
      </c>
      <c r="AT34" s="28">
        <v>800</v>
      </c>
      <c r="AU34" s="10" t="s">
        <v>49</v>
      </c>
      <c r="AV34" s="10" t="s">
        <v>0</v>
      </c>
    </row>
    <row r="35" spans="1:48" x14ac:dyDescent="0.3">
      <c r="A35" s="10">
        <v>29</v>
      </c>
      <c r="B35" s="10" t="s">
        <v>320</v>
      </c>
      <c r="C35" s="18" t="s">
        <v>321</v>
      </c>
      <c r="D35" s="18" t="s">
        <v>322</v>
      </c>
      <c r="E35" s="18" t="s">
        <v>323</v>
      </c>
      <c r="F35" s="50">
        <v>45294</v>
      </c>
      <c r="G35" s="18" t="s">
        <v>324</v>
      </c>
      <c r="H35" s="18" t="s">
        <v>325</v>
      </c>
      <c r="I35" s="18" t="s">
        <v>50</v>
      </c>
      <c r="J35" s="18" t="s">
        <v>51</v>
      </c>
      <c r="K35" s="49" t="s">
        <v>46</v>
      </c>
      <c r="L35" s="49">
        <v>83</v>
      </c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>
        <v>0</v>
      </c>
      <c r="Z35" s="18" t="s">
        <v>326</v>
      </c>
      <c r="AA35" s="49" t="s">
        <v>47</v>
      </c>
      <c r="AB35" s="18" t="s">
        <v>332</v>
      </c>
      <c r="AC35" s="18">
        <v>5518082076</v>
      </c>
      <c r="AD35" s="49" t="s">
        <v>52</v>
      </c>
      <c r="AE35" s="49">
        <v>63</v>
      </c>
      <c r="AF35" s="49" t="s">
        <v>46</v>
      </c>
      <c r="AG35" s="18" t="s">
        <v>331</v>
      </c>
      <c r="AH35" s="49" t="s">
        <v>56</v>
      </c>
      <c r="AI35" s="49" t="s">
        <v>56</v>
      </c>
      <c r="AJ35" s="49">
        <v>2</v>
      </c>
      <c r="AK35" s="49">
        <v>1</v>
      </c>
      <c r="AL35" s="53">
        <v>0</v>
      </c>
      <c r="AM35" s="49">
        <v>1</v>
      </c>
      <c r="AN35" s="49">
        <v>0</v>
      </c>
      <c r="AO35" s="49">
        <v>1</v>
      </c>
      <c r="AP35" s="49">
        <v>0</v>
      </c>
      <c r="AQ35" s="49">
        <v>0</v>
      </c>
      <c r="AR35" s="18" t="s">
        <v>333</v>
      </c>
      <c r="AS35" s="49" t="s">
        <v>334</v>
      </c>
      <c r="AT35" s="28">
        <v>2800</v>
      </c>
      <c r="AU35" s="49" t="s">
        <v>49</v>
      </c>
      <c r="AV35" s="49" t="s">
        <v>0</v>
      </c>
    </row>
    <row r="36" spans="1:48" x14ac:dyDescent="0.3">
      <c r="A36" s="10">
        <v>30</v>
      </c>
      <c r="B36" s="54" t="s">
        <v>335</v>
      </c>
      <c r="C36" s="18" t="s">
        <v>199</v>
      </c>
      <c r="D36" s="18" t="s">
        <v>336</v>
      </c>
      <c r="E36" s="18" t="s">
        <v>337</v>
      </c>
      <c r="F36" s="50">
        <v>45295</v>
      </c>
      <c r="G36" s="18" t="s">
        <v>338</v>
      </c>
      <c r="H36" s="18" t="s">
        <v>339</v>
      </c>
      <c r="I36" s="18" t="s">
        <v>77</v>
      </c>
      <c r="J36" s="18" t="s">
        <v>51</v>
      </c>
      <c r="K36" s="49" t="s">
        <v>40</v>
      </c>
      <c r="L36" s="49">
        <v>94</v>
      </c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>
        <v>0</v>
      </c>
      <c r="Z36" s="18" t="s">
        <v>340</v>
      </c>
      <c r="AA36" s="49" t="s">
        <v>47</v>
      </c>
      <c r="AB36" s="18" t="s">
        <v>341</v>
      </c>
      <c r="AC36" s="18">
        <v>5537363631</v>
      </c>
      <c r="AD36" s="49" t="s">
        <v>89</v>
      </c>
      <c r="AE36" s="49">
        <v>75</v>
      </c>
      <c r="AF36" s="49" t="s">
        <v>46</v>
      </c>
      <c r="AG36" s="18" t="s">
        <v>56</v>
      </c>
      <c r="AH36" s="49" t="s">
        <v>56</v>
      </c>
      <c r="AI36" s="49" t="s">
        <v>56</v>
      </c>
      <c r="AJ36" s="49">
        <v>1</v>
      </c>
      <c r="AK36" s="49">
        <v>0</v>
      </c>
      <c r="AL36" s="49">
        <v>1</v>
      </c>
      <c r="AM36" s="49">
        <v>0</v>
      </c>
      <c r="AN36" s="49">
        <v>1</v>
      </c>
      <c r="AO36" s="49">
        <v>0</v>
      </c>
      <c r="AP36" s="49">
        <v>0</v>
      </c>
      <c r="AQ36" s="49">
        <v>0</v>
      </c>
      <c r="AR36" s="18" t="s">
        <v>126</v>
      </c>
      <c r="AS36" s="49" t="s">
        <v>61</v>
      </c>
      <c r="AT36" s="28">
        <v>550</v>
      </c>
      <c r="AU36" s="10" t="s">
        <v>49</v>
      </c>
      <c r="AV36" s="10" t="s">
        <v>0</v>
      </c>
    </row>
    <row r="37" spans="1:48" x14ac:dyDescent="0.3">
      <c r="A37" s="21">
        <v>31</v>
      </c>
      <c r="B37" s="21" t="s">
        <v>343</v>
      </c>
      <c r="C37" s="30" t="s">
        <v>342</v>
      </c>
      <c r="D37" s="30" t="s">
        <v>227</v>
      </c>
      <c r="E37" s="30" t="s">
        <v>344</v>
      </c>
      <c r="F37" s="23">
        <v>45295</v>
      </c>
      <c r="G37" s="30" t="s">
        <v>347</v>
      </c>
      <c r="H37" s="30" t="s">
        <v>345</v>
      </c>
      <c r="I37" s="30"/>
      <c r="J37" s="30" t="s">
        <v>346</v>
      </c>
      <c r="K37" s="37" t="s">
        <v>40</v>
      </c>
      <c r="L37" s="37">
        <v>8</v>
      </c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0" t="s">
        <v>348</v>
      </c>
      <c r="AA37" s="37" t="s">
        <v>47</v>
      </c>
      <c r="AB37" s="30" t="s">
        <v>349</v>
      </c>
      <c r="AC37" s="30">
        <v>7571320921</v>
      </c>
      <c r="AD37" s="37" t="s">
        <v>60</v>
      </c>
      <c r="AE37" s="37">
        <v>28</v>
      </c>
      <c r="AF37" s="37" t="s">
        <v>46</v>
      </c>
      <c r="AG37" s="30" t="s">
        <v>56</v>
      </c>
      <c r="AH37" s="37" t="s">
        <v>56</v>
      </c>
      <c r="AI37" s="37" t="s">
        <v>56</v>
      </c>
      <c r="AJ37" s="37">
        <v>1</v>
      </c>
      <c r="AK37" s="37">
        <v>0</v>
      </c>
      <c r="AL37" s="37">
        <v>0</v>
      </c>
      <c r="AM37" s="37">
        <v>0</v>
      </c>
      <c r="AN37" s="37">
        <v>1</v>
      </c>
      <c r="AO37" s="37">
        <v>0</v>
      </c>
      <c r="AP37" s="37">
        <v>0</v>
      </c>
      <c r="AQ37" s="37">
        <v>0</v>
      </c>
      <c r="AR37" s="30" t="s">
        <v>58</v>
      </c>
      <c r="AS37" s="21" t="s">
        <v>61</v>
      </c>
      <c r="AT37" s="38">
        <v>0</v>
      </c>
      <c r="AU37" s="39" t="s">
        <v>0</v>
      </c>
      <c r="AV37" s="37" t="s">
        <v>59</v>
      </c>
    </row>
    <row r="38" spans="1:48" x14ac:dyDescent="0.3">
      <c r="A38" s="21">
        <v>32</v>
      </c>
      <c r="B38" s="21" t="s">
        <v>352</v>
      </c>
      <c r="C38" s="30" t="s">
        <v>350</v>
      </c>
      <c r="D38" s="30" t="s">
        <v>351</v>
      </c>
      <c r="E38" s="30" t="s">
        <v>328</v>
      </c>
      <c r="F38" s="23">
        <v>45295</v>
      </c>
      <c r="G38" s="30" t="s">
        <v>347</v>
      </c>
      <c r="H38" s="30" t="s">
        <v>353</v>
      </c>
      <c r="I38" s="30"/>
      <c r="J38" s="30" t="s">
        <v>346</v>
      </c>
      <c r="K38" s="37" t="s">
        <v>46</v>
      </c>
      <c r="L38" s="37">
        <v>6</v>
      </c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0" t="s">
        <v>354</v>
      </c>
      <c r="AA38" s="37" t="s">
        <v>47</v>
      </c>
      <c r="AB38" s="30" t="s">
        <v>355</v>
      </c>
      <c r="AC38" s="30">
        <v>7561126936</v>
      </c>
      <c r="AD38" s="37" t="s">
        <v>60</v>
      </c>
      <c r="AE38" s="37">
        <v>27</v>
      </c>
      <c r="AF38" s="37" t="s">
        <v>46</v>
      </c>
      <c r="AG38" s="30" t="s">
        <v>56</v>
      </c>
      <c r="AH38" s="37" t="s">
        <v>56</v>
      </c>
      <c r="AI38" s="37" t="s">
        <v>56</v>
      </c>
      <c r="AJ38" s="37">
        <v>1</v>
      </c>
      <c r="AK38" s="37">
        <v>0</v>
      </c>
      <c r="AL38" s="37">
        <v>0</v>
      </c>
      <c r="AM38" s="37">
        <v>0</v>
      </c>
      <c r="AN38" s="37">
        <v>1</v>
      </c>
      <c r="AO38" s="37">
        <v>0</v>
      </c>
      <c r="AP38" s="37">
        <v>0</v>
      </c>
      <c r="AQ38" s="37">
        <v>0</v>
      </c>
      <c r="AR38" s="30" t="s">
        <v>58</v>
      </c>
      <c r="AS38" s="21" t="s">
        <v>61</v>
      </c>
      <c r="AT38" s="38">
        <v>0</v>
      </c>
      <c r="AU38" s="39" t="s">
        <v>0</v>
      </c>
      <c r="AV38" s="37" t="s">
        <v>59</v>
      </c>
    </row>
    <row r="39" spans="1:48" x14ac:dyDescent="0.3">
      <c r="A39" s="21">
        <v>33</v>
      </c>
      <c r="B39" s="21" t="s">
        <v>356</v>
      </c>
      <c r="C39" s="30" t="s">
        <v>357</v>
      </c>
      <c r="D39" s="30" t="s">
        <v>138</v>
      </c>
      <c r="E39" s="30" t="s">
        <v>358</v>
      </c>
      <c r="F39" s="23">
        <v>45295</v>
      </c>
      <c r="G39" s="30" t="s">
        <v>347</v>
      </c>
      <c r="H39" s="30" t="s">
        <v>359</v>
      </c>
      <c r="I39" s="30" t="s">
        <v>361</v>
      </c>
      <c r="J39" s="30" t="s">
        <v>360</v>
      </c>
      <c r="K39" s="37" t="s">
        <v>40</v>
      </c>
      <c r="L39" s="37">
        <v>6</v>
      </c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0" t="s">
        <v>362</v>
      </c>
      <c r="AA39" s="37" t="s">
        <v>47</v>
      </c>
      <c r="AB39" s="30" t="s">
        <v>363</v>
      </c>
      <c r="AC39" s="30">
        <v>2229124377</v>
      </c>
      <c r="AD39" s="37" t="s">
        <v>60</v>
      </c>
      <c r="AE39" s="37">
        <v>28</v>
      </c>
      <c r="AF39" s="37" t="s">
        <v>46</v>
      </c>
      <c r="AG39" s="30" t="s">
        <v>56</v>
      </c>
      <c r="AH39" s="37" t="s">
        <v>56</v>
      </c>
      <c r="AI39" s="37" t="s">
        <v>56</v>
      </c>
      <c r="AJ39" s="37">
        <v>1</v>
      </c>
      <c r="AK39" s="37">
        <v>0</v>
      </c>
      <c r="AL39" s="37">
        <v>0</v>
      </c>
      <c r="AM39" s="37">
        <v>0</v>
      </c>
      <c r="AN39" s="37">
        <v>1</v>
      </c>
      <c r="AO39" s="37">
        <v>0</v>
      </c>
      <c r="AP39" s="37">
        <v>0</v>
      </c>
      <c r="AQ39" s="37">
        <v>0</v>
      </c>
      <c r="AR39" s="30" t="s">
        <v>58</v>
      </c>
      <c r="AS39" s="21" t="s">
        <v>61</v>
      </c>
      <c r="AT39" s="38">
        <v>0</v>
      </c>
      <c r="AU39" s="39" t="s">
        <v>0</v>
      </c>
      <c r="AV39" s="37" t="s">
        <v>59</v>
      </c>
    </row>
    <row r="40" spans="1:48" x14ac:dyDescent="0.3">
      <c r="A40" s="21">
        <v>34</v>
      </c>
      <c r="B40" s="21" t="s">
        <v>364</v>
      </c>
      <c r="C40" s="30" t="s">
        <v>365</v>
      </c>
      <c r="D40" s="30" t="s">
        <v>154</v>
      </c>
      <c r="E40" s="30" t="s">
        <v>366</v>
      </c>
      <c r="F40" s="23">
        <v>45299</v>
      </c>
      <c r="G40" s="30" t="s">
        <v>367</v>
      </c>
      <c r="H40" s="30" t="s">
        <v>368</v>
      </c>
      <c r="I40" s="30" t="s">
        <v>369</v>
      </c>
      <c r="J40" s="30" t="s">
        <v>45</v>
      </c>
      <c r="K40" s="37" t="s">
        <v>40</v>
      </c>
      <c r="L40" s="37">
        <v>72</v>
      </c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0" t="s">
        <v>370</v>
      </c>
      <c r="AA40" s="37" t="s">
        <v>47</v>
      </c>
      <c r="AB40" s="30" t="s">
        <v>371</v>
      </c>
      <c r="AC40" s="30">
        <v>5539793102</v>
      </c>
      <c r="AD40" s="37" t="s">
        <v>52</v>
      </c>
      <c r="AE40" s="37">
        <v>39</v>
      </c>
      <c r="AF40" s="37" t="s">
        <v>46</v>
      </c>
      <c r="AG40" s="30" t="s">
        <v>56</v>
      </c>
      <c r="AH40" s="37" t="s">
        <v>56</v>
      </c>
      <c r="AI40" s="37" t="s">
        <v>56</v>
      </c>
      <c r="AJ40" s="37">
        <v>1</v>
      </c>
      <c r="AK40" s="37">
        <v>0</v>
      </c>
      <c r="AL40" s="37">
        <v>1</v>
      </c>
      <c r="AM40" s="37">
        <v>0</v>
      </c>
      <c r="AN40" s="37">
        <v>0</v>
      </c>
      <c r="AO40" s="37">
        <v>0</v>
      </c>
      <c r="AP40" s="37">
        <v>0</v>
      </c>
      <c r="AQ40" s="37">
        <v>0</v>
      </c>
      <c r="AR40" s="30" t="s">
        <v>58</v>
      </c>
      <c r="AS40" s="21" t="s">
        <v>61</v>
      </c>
      <c r="AT40" s="38">
        <v>0</v>
      </c>
      <c r="AU40" s="39" t="s">
        <v>0</v>
      </c>
      <c r="AV40" s="37" t="s">
        <v>59</v>
      </c>
    </row>
    <row r="41" spans="1:48" x14ac:dyDescent="0.3">
      <c r="A41" s="21">
        <v>35</v>
      </c>
      <c r="B41" s="21" t="s">
        <v>372</v>
      </c>
      <c r="C41" s="30" t="s">
        <v>373</v>
      </c>
      <c r="D41" s="30" t="s">
        <v>374</v>
      </c>
      <c r="E41" s="30" t="s">
        <v>375</v>
      </c>
      <c r="F41" s="23">
        <v>45299</v>
      </c>
      <c r="G41" s="30" t="s">
        <v>367</v>
      </c>
      <c r="H41" s="30" t="s">
        <v>368</v>
      </c>
      <c r="I41" s="30" t="s">
        <v>369</v>
      </c>
      <c r="J41" s="30" t="s">
        <v>45</v>
      </c>
      <c r="K41" s="37" t="s">
        <v>46</v>
      </c>
      <c r="L41" s="37">
        <v>72</v>
      </c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0" t="s">
        <v>376</v>
      </c>
      <c r="AA41" s="37" t="s">
        <v>47</v>
      </c>
      <c r="AB41" s="30" t="s">
        <v>371</v>
      </c>
      <c r="AC41" s="30">
        <v>5539793102</v>
      </c>
      <c r="AD41" s="37" t="s">
        <v>52</v>
      </c>
      <c r="AE41" s="37">
        <v>39</v>
      </c>
      <c r="AF41" s="37" t="s">
        <v>46</v>
      </c>
      <c r="AG41" s="30" t="s">
        <v>56</v>
      </c>
      <c r="AH41" s="37" t="s">
        <v>56</v>
      </c>
      <c r="AI41" s="37" t="s">
        <v>56</v>
      </c>
      <c r="AJ41" s="37">
        <v>1</v>
      </c>
      <c r="AK41" s="37">
        <v>0</v>
      </c>
      <c r="AL41" s="37">
        <v>0</v>
      </c>
      <c r="AM41" s="37">
        <v>0</v>
      </c>
      <c r="AN41" s="37">
        <v>1</v>
      </c>
      <c r="AO41" s="37">
        <v>0</v>
      </c>
      <c r="AP41" s="37">
        <v>0</v>
      </c>
      <c r="AQ41" s="37">
        <v>0</v>
      </c>
      <c r="AR41" s="30" t="s">
        <v>58</v>
      </c>
      <c r="AS41" s="21" t="s">
        <v>61</v>
      </c>
      <c r="AT41" s="38">
        <v>0</v>
      </c>
      <c r="AU41" s="39" t="s">
        <v>0</v>
      </c>
      <c r="AV41" s="37" t="s">
        <v>59</v>
      </c>
    </row>
    <row r="42" spans="1:48" x14ac:dyDescent="0.3">
      <c r="A42" s="10">
        <v>36</v>
      </c>
      <c r="B42" s="10" t="s">
        <v>377</v>
      </c>
      <c r="C42" s="18" t="s">
        <v>378</v>
      </c>
      <c r="D42" s="18" t="s">
        <v>379</v>
      </c>
      <c r="E42" s="18" t="s">
        <v>380</v>
      </c>
      <c r="F42" s="50">
        <v>45302</v>
      </c>
      <c r="G42" s="18" t="s">
        <v>381</v>
      </c>
      <c r="H42" s="18" t="s">
        <v>382</v>
      </c>
      <c r="I42" s="18" t="s">
        <v>55</v>
      </c>
      <c r="J42" s="18" t="s">
        <v>51</v>
      </c>
      <c r="K42" s="49" t="s">
        <v>40</v>
      </c>
      <c r="L42" s="49">
        <v>60</v>
      </c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18" t="s">
        <v>384</v>
      </c>
      <c r="AA42" s="49" t="s">
        <v>47</v>
      </c>
      <c r="AB42" s="18" t="s">
        <v>383</v>
      </c>
      <c r="AC42" s="18">
        <v>5572702456</v>
      </c>
      <c r="AD42" s="49" t="s">
        <v>89</v>
      </c>
      <c r="AE42" s="49">
        <v>60</v>
      </c>
      <c r="AF42" s="49" t="s">
        <v>46</v>
      </c>
      <c r="AG42" s="18" t="s">
        <v>56</v>
      </c>
      <c r="AH42" s="49" t="s">
        <v>56</v>
      </c>
      <c r="AI42" s="49" t="s">
        <v>56</v>
      </c>
      <c r="AJ42" s="49">
        <v>1</v>
      </c>
      <c r="AK42" s="49">
        <v>0</v>
      </c>
      <c r="AL42" s="49">
        <v>0</v>
      </c>
      <c r="AM42" s="49">
        <v>0</v>
      </c>
      <c r="AN42" s="49">
        <v>0</v>
      </c>
      <c r="AO42" s="49">
        <v>0</v>
      </c>
      <c r="AP42" s="49">
        <v>1</v>
      </c>
      <c r="AQ42" s="49">
        <v>0</v>
      </c>
      <c r="AR42" s="18" t="s">
        <v>385</v>
      </c>
      <c r="AS42" s="49" t="s">
        <v>61</v>
      </c>
      <c r="AT42" s="28">
        <v>550</v>
      </c>
      <c r="AU42" s="10" t="s">
        <v>49</v>
      </c>
      <c r="AV42" s="10" t="s">
        <v>0</v>
      </c>
    </row>
    <row r="43" spans="1:48" x14ac:dyDescent="0.3">
      <c r="A43" s="10">
        <v>37</v>
      </c>
      <c r="B43" s="10" t="s">
        <v>386</v>
      </c>
      <c r="C43" s="18" t="s">
        <v>387</v>
      </c>
      <c r="D43" s="18" t="s">
        <v>388</v>
      </c>
      <c r="E43" s="18" t="s">
        <v>389</v>
      </c>
      <c r="F43" s="50">
        <v>45302</v>
      </c>
      <c r="G43" s="18" t="s">
        <v>390</v>
      </c>
      <c r="H43" s="18" t="s">
        <v>391</v>
      </c>
      <c r="I43" s="18" t="s">
        <v>65</v>
      </c>
      <c r="J43" s="18" t="s">
        <v>51</v>
      </c>
      <c r="K43" s="49" t="s">
        <v>46</v>
      </c>
      <c r="L43" s="49">
        <v>96</v>
      </c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18" t="s">
        <v>392</v>
      </c>
      <c r="AA43" s="49" t="s">
        <v>47</v>
      </c>
      <c r="AB43" s="18" t="s">
        <v>393</v>
      </c>
      <c r="AC43" s="18">
        <v>5554356322</v>
      </c>
      <c r="AD43" s="49" t="s">
        <v>52</v>
      </c>
      <c r="AE43" s="49">
        <v>71</v>
      </c>
      <c r="AF43" s="49" t="s">
        <v>46</v>
      </c>
      <c r="AG43" s="18" t="s">
        <v>56</v>
      </c>
      <c r="AH43" s="49" t="s">
        <v>56</v>
      </c>
      <c r="AI43" s="49" t="s">
        <v>56</v>
      </c>
      <c r="AJ43" s="49">
        <v>1</v>
      </c>
      <c r="AK43" s="49">
        <v>1</v>
      </c>
      <c r="AL43" s="49">
        <v>0</v>
      </c>
      <c r="AM43" s="49">
        <v>0</v>
      </c>
      <c r="AN43" s="49">
        <v>0</v>
      </c>
      <c r="AO43" s="49">
        <v>0</v>
      </c>
      <c r="AP43" s="49">
        <v>0</v>
      </c>
      <c r="AQ43" s="49">
        <v>0</v>
      </c>
      <c r="AR43" s="18" t="s">
        <v>57</v>
      </c>
      <c r="AS43" s="49" t="s">
        <v>53</v>
      </c>
      <c r="AT43" s="28">
        <v>800</v>
      </c>
      <c r="AU43" s="10" t="s">
        <v>49</v>
      </c>
      <c r="AV43" s="10" t="s">
        <v>0</v>
      </c>
    </row>
    <row r="44" spans="1:48" x14ac:dyDescent="0.3">
      <c r="A44" s="21">
        <v>38</v>
      </c>
      <c r="B44" s="21" t="s">
        <v>394</v>
      </c>
      <c r="C44" s="30" t="s">
        <v>54</v>
      </c>
      <c r="D44" s="30" t="s">
        <v>395</v>
      </c>
      <c r="E44" s="30" t="s">
        <v>396</v>
      </c>
      <c r="F44" s="23">
        <v>45302</v>
      </c>
      <c r="G44" s="30" t="s">
        <v>347</v>
      </c>
      <c r="H44" s="40" t="s">
        <v>399</v>
      </c>
      <c r="I44" s="30" t="s">
        <v>397</v>
      </c>
      <c r="J44" s="30" t="s">
        <v>360</v>
      </c>
      <c r="K44" s="37" t="s">
        <v>46</v>
      </c>
      <c r="L44" s="37">
        <v>17</v>
      </c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0" t="s">
        <v>398</v>
      </c>
      <c r="AA44" s="37" t="s">
        <v>47</v>
      </c>
      <c r="AB44" s="30" t="s">
        <v>406</v>
      </c>
      <c r="AC44" s="30">
        <v>2222764723</v>
      </c>
      <c r="AD44" s="37" t="s">
        <v>60</v>
      </c>
      <c r="AE44" s="37">
        <v>38</v>
      </c>
      <c r="AF44" s="37" t="s">
        <v>46</v>
      </c>
      <c r="AG44" s="30" t="s">
        <v>56</v>
      </c>
      <c r="AH44" s="37" t="s">
        <v>56</v>
      </c>
      <c r="AI44" s="37" t="s">
        <v>56</v>
      </c>
      <c r="AJ44" s="37">
        <v>1</v>
      </c>
      <c r="AK44" s="37">
        <v>0</v>
      </c>
      <c r="AL44" s="37">
        <v>0</v>
      </c>
      <c r="AM44" s="37">
        <v>0</v>
      </c>
      <c r="AN44" s="37">
        <v>1</v>
      </c>
      <c r="AO44" s="37">
        <v>0</v>
      </c>
      <c r="AP44" s="37">
        <v>0</v>
      </c>
      <c r="AQ44" s="37">
        <v>0</v>
      </c>
      <c r="AR44" s="30" t="s">
        <v>58</v>
      </c>
      <c r="AS44" s="21" t="s">
        <v>61</v>
      </c>
      <c r="AT44" s="38">
        <v>0</v>
      </c>
      <c r="AU44" s="39" t="s">
        <v>0</v>
      </c>
      <c r="AV44" s="37" t="s">
        <v>59</v>
      </c>
    </row>
    <row r="45" spans="1:48" x14ac:dyDescent="0.3">
      <c r="A45" s="21">
        <v>39</v>
      </c>
      <c r="B45" s="21" t="s">
        <v>400</v>
      </c>
      <c r="C45" s="30" t="s">
        <v>401</v>
      </c>
      <c r="D45" s="30" t="s">
        <v>138</v>
      </c>
      <c r="E45" s="30" t="s">
        <v>402</v>
      </c>
      <c r="F45" s="23">
        <v>45302</v>
      </c>
      <c r="G45" s="30" t="s">
        <v>347</v>
      </c>
      <c r="H45" s="30" t="s">
        <v>403</v>
      </c>
      <c r="I45" s="30" t="s">
        <v>404</v>
      </c>
      <c r="J45" s="30" t="s">
        <v>360</v>
      </c>
      <c r="K45" s="37" t="s">
        <v>40</v>
      </c>
      <c r="L45" s="37">
        <v>13</v>
      </c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0" t="s">
        <v>405</v>
      </c>
      <c r="AA45" s="37" t="s">
        <v>47</v>
      </c>
      <c r="AB45" s="30" t="s">
        <v>407</v>
      </c>
      <c r="AC45" s="30">
        <v>2311515762</v>
      </c>
      <c r="AD45" s="37" t="s">
        <v>408</v>
      </c>
      <c r="AE45" s="37">
        <v>55</v>
      </c>
      <c r="AF45" s="37" t="s">
        <v>46</v>
      </c>
      <c r="AG45" s="30" t="s">
        <v>56</v>
      </c>
      <c r="AH45" s="37" t="s">
        <v>56</v>
      </c>
      <c r="AI45" s="37" t="s">
        <v>56</v>
      </c>
      <c r="AJ45" s="37">
        <v>1</v>
      </c>
      <c r="AK45" s="37">
        <v>0</v>
      </c>
      <c r="AL45" s="37">
        <v>0</v>
      </c>
      <c r="AM45" s="37">
        <v>0</v>
      </c>
      <c r="AN45" s="37">
        <v>1</v>
      </c>
      <c r="AO45" s="37">
        <v>0</v>
      </c>
      <c r="AP45" s="37">
        <v>0</v>
      </c>
      <c r="AQ45" s="37">
        <v>0</v>
      </c>
      <c r="AR45" s="30" t="s">
        <v>58</v>
      </c>
      <c r="AS45" s="21" t="s">
        <v>61</v>
      </c>
      <c r="AT45" s="38">
        <v>0</v>
      </c>
      <c r="AU45" s="39" t="s">
        <v>0</v>
      </c>
      <c r="AV45" s="37" t="s">
        <v>59</v>
      </c>
    </row>
    <row r="46" spans="1:48" x14ac:dyDescent="0.3">
      <c r="A46" s="21">
        <v>40</v>
      </c>
      <c r="B46" s="21" t="s">
        <v>411</v>
      </c>
      <c r="C46" s="30" t="s">
        <v>365</v>
      </c>
      <c r="D46" s="30" t="s">
        <v>409</v>
      </c>
      <c r="E46" s="30" t="s">
        <v>410</v>
      </c>
      <c r="F46" s="23">
        <v>45302</v>
      </c>
      <c r="G46" s="30" t="s">
        <v>412</v>
      </c>
      <c r="H46" s="30" t="s">
        <v>413</v>
      </c>
      <c r="I46" s="30" t="s">
        <v>134</v>
      </c>
      <c r="J46" s="30" t="s">
        <v>45</v>
      </c>
      <c r="K46" s="37" t="s">
        <v>40</v>
      </c>
      <c r="L46" s="37">
        <v>12</v>
      </c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0" t="s">
        <v>414</v>
      </c>
      <c r="AA46" s="37" t="s">
        <v>47</v>
      </c>
      <c r="AB46" s="30" t="s">
        <v>415</v>
      </c>
      <c r="AC46" s="30">
        <v>5585538008</v>
      </c>
      <c r="AD46" s="37" t="s">
        <v>416</v>
      </c>
      <c r="AE46" s="37">
        <v>39</v>
      </c>
      <c r="AF46" s="37" t="s">
        <v>40</v>
      </c>
      <c r="AG46" s="30" t="s">
        <v>417</v>
      </c>
      <c r="AH46" s="37">
        <v>38</v>
      </c>
      <c r="AI46" s="37" t="s">
        <v>46</v>
      </c>
      <c r="AJ46" s="37">
        <v>2</v>
      </c>
      <c r="AK46" s="37">
        <v>1</v>
      </c>
      <c r="AL46" s="37">
        <v>1</v>
      </c>
      <c r="AM46" s="37">
        <v>0</v>
      </c>
      <c r="AN46" s="37">
        <v>1</v>
      </c>
      <c r="AO46" s="37">
        <v>0</v>
      </c>
      <c r="AP46" s="37">
        <v>0</v>
      </c>
      <c r="AQ46" s="37">
        <v>0</v>
      </c>
      <c r="AR46" s="30" t="s">
        <v>418</v>
      </c>
      <c r="AS46" s="37" t="s">
        <v>419</v>
      </c>
      <c r="AT46" s="38">
        <v>0</v>
      </c>
      <c r="AU46" s="39" t="s">
        <v>0</v>
      </c>
      <c r="AV46" s="37" t="s">
        <v>59</v>
      </c>
    </row>
    <row r="47" spans="1:48" x14ac:dyDescent="0.3">
      <c r="A47" s="49">
        <v>41</v>
      </c>
      <c r="B47" s="49" t="s">
        <v>420</v>
      </c>
      <c r="C47" s="18" t="s">
        <v>421</v>
      </c>
      <c r="D47" s="18" t="s">
        <v>422</v>
      </c>
      <c r="E47" s="18" t="s">
        <v>423</v>
      </c>
      <c r="F47" s="50">
        <v>45303</v>
      </c>
      <c r="G47" s="18" t="s">
        <v>424</v>
      </c>
      <c r="H47" s="18" t="s">
        <v>425</v>
      </c>
      <c r="I47" s="18" t="s">
        <v>426</v>
      </c>
      <c r="J47" s="18" t="s">
        <v>51</v>
      </c>
      <c r="K47" s="49" t="s">
        <v>46</v>
      </c>
      <c r="L47" s="49">
        <v>78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 t="s">
        <v>428</v>
      </c>
      <c r="AA47" s="49" t="s">
        <v>47</v>
      </c>
      <c r="AB47" s="18" t="s">
        <v>427</v>
      </c>
      <c r="AC47" s="18">
        <v>5543600746</v>
      </c>
      <c r="AD47" s="49" t="s">
        <v>52</v>
      </c>
      <c r="AE47" s="49">
        <v>44</v>
      </c>
      <c r="AF47" s="49" t="s">
        <v>46</v>
      </c>
      <c r="AG47" s="18" t="s">
        <v>429</v>
      </c>
      <c r="AH47" s="49">
        <v>34</v>
      </c>
      <c r="AI47" s="49" t="s">
        <v>46</v>
      </c>
      <c r="AJ47" s="49">
        <v>2</v>
      </c>
      <c r="AK47" s="49">
        <v>0</v>
      </c>
      <c r="AL47" s="49">
        <v>1</v>
      </c>
      <c r="AM47" s="49">
        <v>0</v>
      </c>
      <c r="AN47" s="49">
        <v>1</v>
      </c>
      <c r="AO47" s="49">
        <v>0</v>
      </c>
      <c r="AP47" s="49">
        <v>1</v>
      </c>
      <c r="AQ47" s="49">
        <v>0</v>
      </c>
      <c r="AR47" s="18" t="s">
        <v>303</v>
      </c>
      <c r="AS47" s="10" t="s">
        <v>225</v>
      </c>
      <c r="AT47" s="28">
        <v>650</v>
      </c>
      <c r="AU47" s="49" t="s">
        <v>49</v>
      </c>
      <c r="AV47" s="49" t="s">
        <v>0</v>
      </c>
    </row>
  </sheetData>
  <mergeCells count="32">
    <mergeCell ref="Z5:Z6"/>
    <mergeCell ref="D2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X5"/>
    <mergeCell ref="Y5:Y6"/>
    <mergeCell ref="AI5:AI6"/>
    <mergeCell ref="AA5:AA6"/>
    <mergeCell ref="AB5:AB6"/>
    <mergeCell ref="AC5:AC6"/>
    <mergeCell ref="AD5:AD6"/>
    <mergeCell ref="AE5:AE6"/>
    <mergeCell ref="AF5:AF6"/>
    <mergeCell ref="AG5:AG6"/>
    <mergeCell ref="AH5:AH6"/>
    <mergeCell ref="AV5:AV6"/>
    <mergeCell ref="AJ5:AJ6"/>
    <mergeCell ref="AK5:AQ5"/>
    <mergeCell ref="AR5:AR6"/>
    <mergeCell ref="AS5:AS6"/>
    <mergeCell ref="AT5:AT6"/>
    <mergeCell ref="AU5:AU6"/>
  </mergeCells>
  <conditionalFormatting sqref="Y18 Y15">
    <cfRule type="expression" dxfId="179" priority="105">
      <formula>$AX15="FGRA"</formula>
    </cfRule>
    <cfRule type="expression" dxfId="178" priority="106">
      <formula>$AX15="NO"</formula>
    </cfRule>
    <cfRule type="expression" dxfId="177" priority="107">
      <formula>$AX15="NMP"</formula>
    </cfRule>
    <cfRule type="expression" dxfId="176" priority="108">
      <formula>$AX15="CECPAM"</formula>
    </cfRule>
  </conditionalFormatting>
  <conditionalFormatting sqref="AT22">
    <cfRule type="expression" dxfId="175" priority="69">
      <formula>$AW22="FGRA"</formula>
    </cfRule>
    <cfRule type="expression" dxfId="174" priority="70">
      <formula>$AW22="NO"</formula>
    </cfRule>
    <cfRule type="expression" dxfId="173" priority="71">
      <formula>$AW22="NMP"</formula>
    </cfRule>
    <cfRule type="expression" dxfId="172" priority="72">
      <formula>$AW22="CECPAM"</formula>
    </cfRule>
  </conditionalFormatting>
  <conditionalFormatting sqref="B19:X19 Z15:AV19">
    <cfRule type="expression" dxfId="171" priority="93">
      <formula>$AU15="FGRA"</formula>
    </cfRule>
    <cfRule type="expression" dxfId="170" priority="94">
      <formula>$AU15="NO"</formula>
    </cfRule>
    <cfRule type="expression" dxfId="169" priority="95">
      <formula>$AU15="NMP"</formula>
    </cfRule>
    <cfRule type="expression" dxfId="168" priority="96">
      <formula>$AU15="CECPAM"</formula>
    </cfRule>
  </conditionalFormatting>
  <conditionalFormatting sqref="Y7">
    <cfRule type="expression" dxfId="167" priority="177">
      <formula>$AX7="FGRA"</formula>
    </cfRule>
    <cfRule type="expression" dxfId="166" priority="178">
      <formula>$AX7="NO"</formula>
    </cfRule>
    <cfRule type="expression" dxfId="165" priority="179">
      <formula>$AX7="NMP"</formula>
    </cfRule>
    <cfRule type="expression" dxfId="164" priority="180">
      <formula>$AX7="CECPAM"</formula>
    </cfRule>
  </conditionalFormatting>
  <conditionalFormatting sqref="AS7:AU7">
    <cfRule type="expression" dxfId="163" priority="173">
      <formula>$AW7="FGRA"</formula>
    </cfRule>
    <cfRule type="expression" dxfId="162" priority="174">
      <formula>$AW7="NO"</formula>
    </cfRule>
    <cfRule type="expression" dxfId="161" priority="175">
      <formula>$AW7="NMP"</formula>
    </cfRule>
    <cfRule type="expression" dxfId="160" priority="176">
      <formula>$AW7="CECPAM"</formula>
    </cfRule>
  </conditionalFormatting>
  <conditionalFormatting sqref="Y8">
    <cfRule type="expression" dxfId="159" priority="169">
      <formula>$AX8="FGRA"</formula>
    </cfRule>
    <cfRule type="expression" dxfId="158" priority="170">
      <formula>$AX8="NO"</formula>
    </cfRule>
    <cfRule type="expression" dxfId="157" priority="171">
      <formula>$AX8="NMP"</formula>
    </cfRule>
    <cfRule type="expression" dxfId="156" priority="172">
      <formula>$AX8="CECPAM"</formula>
    </cfRule>
  </conditionalFormatting>
  <conditionalFormatting sqref="Y31">
    <cfRule type="expression" dxfId="155" priority="13">
      <formula>$AX31="FGRA"</formula>
    </cfRule>
    <cfRule type="expression" dxfId="154" priority="14">
      <formula>$AX31="NO"</formula>
    </cfRule>
    <cfRule type="expression" dxfId="153" priority="15">
      <formula>$AX31="NMP"</formula>
    </cfRule>
    <cfRule type="expression" dxfId="152" priority="16">
      <formula>$AX31="CECPAM"</formula>
    </cfRule>
  </conditionalFormatting>
  <conditionalFormatting sqref="Y9">
    <cfRule type="expression" dxfId="151" priority="165">
      <formula>$AX9="FGRA"</formula>
    </cfRule>
    <cfRule type="expression" dxfId="150" priority="166">
      <formula>$AX9="NO"</formula>
    </cfRule>
    <cfRule type="expression" dxfId="149" priority="167">
      <formula>$AX9="NMP"</formula>
    </cfRule>
    <cfRule type="expression" dxfId="148" priority="168">
      <formula>$AX9="CECPAM"</formula>
    </cfRule>
  </conditionalFormatting>
  <conditionalFormatting sqref="Y10">
    <cfRule type="expression" dxfId="147" priority="161">
      <formula>$AX10="FGRA"</formula>
    </cfRule>
    <cfRule type="expression" dxfId="146" priority="162">
      <formula>$AX10="NO"</formula>
    </cfRule>
    <cfRule type="expression" dxfId="145" priority="163">
      <formula>$AX10="NMP"</formula>
    </cfRule>
    <cfRule type="expression" dxfId="144" priority="164">
      <formula>$AX10="CECPAM"</formula>
    </cfRule>
  </conditionalFormatting>
  <conditionalFormatting sqref="Y11">
    <cfRule type="expression" dxfId="143" priority="157">
      <formula>$AX11="FGRA"</formula>
    </cfRule>
    <cfRule type="expression" dxfId="142" priority="158">
      <formula>$AX11="NO"</formula>
    </cfRule>
    <cfRule type="expression" dxfId="141" priority="159">
      <formula>$AX11="NMP"</formula>
    </cfRule>
    <cfRule type="expression" dxfId="140" priority="160">
      <formula>$AX11="CECPAM"</formula>
    </cfRule>
  </conditionalFormatting>
  <conditionalFormatting sqref="Y12">
    <cfRule type="expression" dxfId="139" priority="153">
      <formula>$AX12="FGRA"</formula>
    </cfRule>
    <cfRule type="expression" dxfId="138" priority="154">
      <formula>$AX12="NO"</formula>
    </cfRule>
    <cfRule type="expression" dxfId="137" priority="155">
      <formula>$AX12="NMP"</formula>
    </cfRule>
    <cfRule type="expression" dxfId="136" priority="156">
      <formula>$AX12="CECPAM"</formula>
    </cfRule>
  </conditionalFormatting>
  <conditionalFormatting sqref="AA12">
    <cfRule type="expression" dxfId="135" priority="149">
      <formula>$BB12="FGRA"</formula>
    </cfRule>
    <cfRule type="expression" dxfId="134" priority="150">
      <formula>$BB12="NO"</formula>
    </cfRule>
    <cfRule type="expression" dxfId="133" priority="151">
      <formula>$BB12="NMP"</formula>
    </cfRule>
    <cfRule type="expression" dxfId="132" priority="152">
      <formula>$BB12="CECPAM"</formula>
    </cfRule>
  </conditionalFormatting>
  <conditionalFormatting sqref="Y13">
    <cfRule type="expression" dxfId="131" priority="145">
      <formula>$AX13="FGRA"</formula>
    </cfRule>
    <cfRule type="expression" dxfId="130" priority="146">
      <formula>$AX13="NO"</formula>
    </cfRule>
    <cfRule type="expression" dxfId="129" priority="147">
      <formula>$AX13="NMP"</formula>
    </cfRule>
    <cfRule type="expression" dxfId="128" priority="148">
      <formula>$AX13="CECPAM"</formula>
    </cfRule>
  </conditionalFormatting>
  <conditionalFormatting sqref="Y14">
    <cfRule type="expression" dxfId="127" priority="141">
      <formula>$AX14="FGRA"</formula>
    </cfRule>
    <cfRule type="expression" dxfId="126" priority="142">
      <formula>$AX14="NO"</formula>
    </cfRule>
    <cfRule type="expression" dxfId="125" priority="143">
      <formula>$AX14="NMP"</formula>
    </cfRule>
    <cfRule type="expression" dxfId="124" priority="144">
      <formula>$AX14="CECPAM"</formula>
    </cfRule>
  </conditionalFormatting>
  <conditionalFormatting sqref="AA14">
    <cfRule type="expression" dxfId="123" priority="137">
      <formula>$BB14="FGRA"</formula>
    </cfRule>
    <cfRule type="expression" dxfId="122" priority="138">
      <formula>$BB14="NO"</formula>
    </cfRule>
    <cfRule type="expression" dxfId="121" priority="139">
      <formula>$BB14="NMP"</formula>
    </cfRule>
    <cfRule type="expression" dxfId="120" priority="140">
      <formula>$BB14="CECPAM"</formula>
    </cfRule>
  </conditionalFormatting>
  <conditionalFormatting sqref="AU15:AV15">
    <cfRule type="expression" dxfId="119" priority="133">
      <formula>$AX15="FGRA"</formula>
    </cfRule>
    <cfRule type="expression" dxfId="118" priority="134">
      <formula>$AX15="NO"</formula>
    </cfRule>
    <cfRule type="expression" dxfId="117" priority="135">
      <formula>$AX15="NMP"</formula>
    </cfRule>
    <cfRule type="expression" dxfId="116" priority="136">
      <formula>$AX15="CECPAM"</formula>
    </cfRule>
  </conditionalFormatting>
  <conditionalFormatting sqref="B15:X15">
    <cfRule type="expression" dxfId="115" priority="129">
      <formula>$AU15="FGRA"</formula>
    </cfRule>
    <cfRule type="expression" dxfId="114" priority="130">
      <formula>$AU15="NO"</formula>
    </cfRule>
    <cfRule type="expression" dxfId="113" priority="131">
      <formula>$AU15="NMP"</formula>
    </cfRule>
    <cfRule type="expression" dxfId="112" priority="132">
      <formula>$AU15="CECPAM"</formula>
    </cfRule>
  </conditionalFormatting>
  <conditionalFormatting sqref="Y16">
    <cfRule type="expression" dxfId="111" priority="121">
      <formula>$AX16="FGRA"</formula>
    </cfRule>
    <cfRule type="expression" dxfId="110" priority="122">
      <formula>$AX16="NO"</formula>
    </cfRule>
    <cfRule type="expression" dxfId="109" priority="123">
      <formula>$AX16="NMP"</formula>
    </cfRule>
    <cfRule type="expression" dxfId="108" priority="124">
      <formula>$AX16="CECPAM"</formula>
    </cfRule>
  </conditionalFormatting>
  <conditionalFormatting sqref="AU16:AV16">
    <cfRule type="expression" dxfId="107" priority="125">
      <formula>$AX15="FGRA"</formula>
    </cfRule>
    <cfRule type="expression" dxfId="106" priority="126">
      <formula>$AX15="NO"</formula>
    </cfRule>
    <cfRule type="expression" dxfId="105" priority="127">
      <formula>$AX15="NMP"</formula>
    </cfRule>
    <cfRule type="expression" dxfId="104" priority="128">
      <formula>$AX15="CECPAM"</formula>
    </cfRule>
  </conditionalFormatting>
  <conditionalFormatting sqref="B16:X16">
    <cfRule type="expression" dxfId="103" priority="117">
      <formula>$AU16="FGRA"</formula>
    </cfRule>
    <cfRule type="expression" dxfId="102" priority="118">
      <formula>$AU16="NO"</formula>
    </cfRule>
    <cfRule type="expression" dxfId="101" priority="119">
      <formula>$AU16="NMP"</formula>
    </cfRule>
    <cfRule type="expression" dxfId="100" priority="120">
      <formula>$AU16="CECPAM"</formula>
    </cfRule>
  </conditionalFormatting>
  <conditionalFormatting sqref="Y17">
    <cfRule type="expression" dxfId="99" priority="113">
      <formula>$AX17="FGRA"</formula>
    </cfRule>
    <cfRule type="expression" dxfId="98" priority="114">
      <formula>$AX17="NO"</formula>
    </cfRule>
    <cfRule type="expression" dxfId="97" priority="115">
      <formula>$AX17="NMP"</formula>
    </cfRule>
    <cfRule type="expression" dxfId="96" priority="116">
      <formula>$AX17="CECPAM"</formula>
    </cfRule>
  </conditionalFormatting>
  <conditionalFormatting sqref="B17:X17">
    <cfRule type="expression" dxfId="95" priority="109">
      <formula>$AU17="FGRA"</formula>
    </cfRule>
    <cfRule type="expression" dxfId="94" priority="110">
      <formula>$AU17="NO"</formula>
    </cfRule>
    <cfRule type="expression" dxfId="93" priority="111">
      <formula>$AU17="NMP"</formula>
    </cfRule>
    <cfRule type="expression" dxfId="92" priority="112">
      <formula>$AU17="CECPAM"</formula>
    </cfRule>
  </conditionalFormatting>
  <conditionalFormatting sqref="B18:X18">
    <cfRule type="expression" dxfId="91" priority="101">
      <formula>$AU18="FGRA"</formula>
    </cfRule>
    <cfRule type="expression" dxfId="90" priority="102">
      <formula>$AU18="NO"</formula>
    </cfRule>
    <cfRule type="expression" dxfId="89" priority="103">
      <formula>$AU18="NMP"</formula>
    </cfRule>
    <cfRule type="expression" dxfId="88" priority="104">
      <formula>$AU18="CECPAM"</formula>
    </cfRule>
  </conditionalFormatting>
  <conditionalFormatting sqref="Y19">
    <cfRule type="expression" dxfId="87" priority="97">
      <formula>$AX19="FGRA"</formula>
    </cfRule>
    <cfRule type="expression" dxfId="86" priority="98">
      <formula>$AX19="NO"</formula>
    </cfRule>
    <cfRule type="expression" dxfId="85" priority="99">
      <formula>$AX19="NMP"</formula>
    </cfRule>
    <cfRule type="expression" dxfId="84" priority="100">
      <formula>$AX19="CECPAM"</formula>
    </cfRule>
  </conditionalFormatting>
  <conditionalFormatting sqref="Y20">
    <cfRule type="expression" dxfId="83" priority="89">
      <formula>$AX20="FGRA"</formula>
    </cfRule>
    <cfRule type="expression" dxfId="82" priority="90">
      <formula>$AX20="NO"</formula>
    </cfRule>
    <cfRule type="expression" dxfId="81" priority="91">
      <formula>$AX20="NMP"</formula>
    </cfRule>
    <cfRule type="expression" dxfId="80" priority="92">
      <formula>$AX20="CECPAM"</formula>
    </cfRule>
  </conditionalFormatting>
  <conditionalFormatting sqref="AT20">
    <cfRule type="expression" dxfId="79" priority="85">
      <formula>$AW20="FGRA"</formula>
    </cfRule>
    <cfRule type="expression" dxfId="78" priority="86">
      <formula>$AW20="NO"</formula>
    </cfRule>
    <cfRule type="expression" dxfId="77" priority="87">
      <formula>$AW20="NMP"</formula>
    </cfRule>
    <cfRule type="expression" dxfId="76" priority="88">
      <formula>$AW20="CECPAM"</formula>
    </cfRule>
  </conditionalFormatting>
  <conditionalFormatting sqref="Y21">
    <cfRule type="expression" dxfId="75" priority="81">
      <formula>$AX21="FGRA"</formula>
    </cfRule>
    <cfRule type="expression" dxfId="74" priority="82">
      <formula>$AX21="NO"</formula>
    </cfRule>
    <cfRule type="expression" dxfId="73" priority="83">
      <formula>$AX21="NMP"</formula>
    </cfRule>
    <cfRule type="expression" dxfId="72" priority="84">
      <formula>$AX21="CECPAM"</formula>
    </cfRule>
  </conditionalFormatting>
  <conditionalFormatting sqref="AV21">
    <cfRule type="expression" dxfId="71" priority="77">
      <formula>$AW21="FGRA"</formula>
    </cfRule>
    <cfRule type="expression" dxfId="70" priority="78">
      <formula>$AW21="NO"</formula>
    </cfRule>
    <cfRule type="expression" dxfId="69" priority="79">
      <formula>$AW21="NMP"</formula>
    </cfRule>
    <cfRule type="expression" dxfId="68" priority="80">
      <formula>$AW21="CECPAM"</formula>
    </cfRule>
  </conditionalFormatting>
  <conditionalFormatting sqref="Y22">
    <cfRule type="expression" dxfId="67" priority="73">
      <formula>$AX22="FGRA"</formula>
    </cfRule>
    <cfRule type="expression" dxfId="66" priority="74">
      <formula>$AX22="NO"</formula>
    </cfRule>
    <cfRule type="expression" dxfId="65" priority="75">
      <formula>$AX22="NMP"</formula>
    </cfRule>
    <cfRule type="expression" dxfId="64" priority="76">
      <formula>$AX22="CECPAM"</formula>
    </cfRule>
  </conditionalFormatting>
  <conditionalFormatting sqref="Y23">
    <cfRule type="expression" dxfId="63" priority="65">
      <formula>$AX23="FGRA"</formula>
    </cfRule>
    <cfRule type="expression" dxfId="62" priority="66">
      <formula>$AX23="NO"</formula>
    </cfRule>
    <cfRule type="expression" dxfId="61" priority="67">
      <formula>$AX23="NMP"</formula>
    </cfRule>
    <cfRule type="expression" dxfId="60" priority="68">
      <formula>$AX23="CECPAM"</formula>
    </cfRule>
  </conditionalFormatting>
  <conditionalFormatting sqref="Y24">
    <cfRule type="expression" dxfId="59" priority="61">
      <formula>$AX24="FGRA"</formula>
    </cfRule>
    <cfRule type="expression" dxfId="58" priority="62">
      <formula>$AX24="NO"</formula>
    </cfRule>
    <cfRule type="expression" dxfId="57" priority="63">
      <formula>$AX24="NMP"</formula>
    </cfRule>
    <cfRule type="expression" dxfId="56" priority="64">
      <formula>$AX24="CECPAM"</formula>
    </cfRule>
  </conditionalFormatting>
  <conditionalFormatting sqref="Y25">
    <cfRule type="expression" dxfId="55" priority="57">
      <formula>$AX25="FGRA"</formula>
    </cfRule>
    <cfRule type="expression" dxfId="54" priority="58">
      <formula>$AX25="NO"</formula>
    </cfRule>
    <cfRule type="expression" dxfId="53" priority="59">
      <formula>$AX25="NMP"</formula>
    </cfRule>
    <cfRule type="expression" dxfId="52" priority="60">
      <formula>$AX25="CECPAM"</formula>
    </cfRule>
  </conditionalFormatting>
  <conditionalFormatting sqref="Y26">
    <cfRule type="expression" dxfId="51" priority="53">
      <formula>$AX26="FGRA"</formula>
    </cfRule>
    <cfRule type="expression" dxfId="50" priority="54">
      <formula>$AX26="NO"</formula>
    </cfRule>
    <cfRule type="expression" dxfId="49" priority="55">
      <formula>$AX26="NMP"</formula>
    </cfRule>
    <cfRule type="expression" dxfId="48" priority="56">
      <formula>$AX26="CECPAM"</formula>
    </cfRule>
  </conditionalFormatting>
  <conditionalFormatting sqref="Y27">
    <cfRule type="expression" dxfId="47" priority="45">
      <formula>$AX27="FGRA"</formula>
    </cfRule>
    <cfRule type="expression" dxfId="46" priority="46">
      <formula>$AX27="NO"</formula>
    </cfRule>
    <cfRule type="expression" dxfId="45" priority="47">
      <formula>$AX27="NMP"</formula>
    </cfRule>
    <cfRule type="expression" dxfId="44" priority="48">
      <formula>$AX27="CECPAM"</formula>
    </cfRule>
  </conditionalFormatting>
  <conditionalFormatting sqref="AA27">
    <cfRule type="expression" dxfId="43" priority="49">
      <formula>$BA50="FGRA"</formula>
    </cfRule>
    <cfRule type="expression" dxfId="42" priority="50">
      <formula>$BA50="NO"</formula>
    </cfRule>
    <cfRule type="expression" dxfId="41" priority="51">
      <formula>$BA50="NMP"</formula>
    </cfRule>
    <cfRule type="expression" dxfId="40" priority="52">
      <formula>$BA50="CECPAM"</formula>
    </cfRule>
  </conditionalFormatting>
  <conditionalFormatting sqref="Y28">
    <cfRule type="expression" dxfId="39" priority="41">
      <formula>$AX28="FGRA"</formula>
    </cfRule>
    <cfRule type="expression" dxfId="38" priority="42">
      <formula>$AX28="NO"</formula>
    </cfRule>
    <cfRule type="expression" dxfId="37" priority="43">
      <formula>$AX28="NMP"</formula>
    </cfRule>
    <cfRule type="expression" dxfId="36" priority="44">
      <formula>$AX28="CECPAM"</formula>
    </cfRule>
  </conditionalFormatting>
  <conditionalFormatting sqref="AA28">
    <cfRule type="expression" dxfId="35" priority="37">
      <formula>$BB28="FGRA"</formula>
    </cfRule>
    <cfRule type="expression" dxfId="34" priority="38">
      <formula>$BB28="NO"</formula>
    </cfRule>
    <cfRule type="expression" dxfId="33" priority="39">
      <formula>$BB28="NMP"</formula>
    </cfRule>
    <cfRule type="expression" dxfId="32" priority="40">
      <formula>$BB28="CECPAM"</formula>
    </cfRule>
  </conditionalFormatting>
  <conditionalFormatting sqref="Y29">
    <cfRule type="expression" dxfId="31" priority="33">
      <formula>$AX29="FGRA"</formula>
    </cfRule>
    <cfRule type="expression" dxfId="30" priority="34">
      <formula>$AX29="NO"</formula>
    </cfRule>
    <cfRule type="expression" dxfId="29" priority="35">
      <formula>$AX29="NMP"</formula>
    </cfRule>
    <cfRule type="expression" dxfId="28" priority="36">
      <formula>$AX29="CECPAM"</formula>
    </cfRule>
  </conditionalFormatting>
  <conditionalFormatting sqref="AA29">
    <cfRule type="expression" dxfId="27" priority="29">
      <formula>$BB29="FGRA"</formula>
    </cfRule>
    <cfRule type="expression" dxfId="26" priority="30">
      <formula>$BB29="NO"</formula>
    </cfRule>
    <cfRule type="expression" dxfId="25" priority="31">
      <formula>$BB29="NMP"</formula>
    </cfRule>
    <cfRule type="expression" dxfId="24" priority="32">
      <formula>$BB29="CECPAM"</formula>
    </cfRule>
  </conditionalFormatting>
  <conditionalFormatting sqref="Y30">
    <cfRule type="expression" dxfId="23" priority="25">
      <formula>$AX30="FGRA"</formula>
    </cfRule>
    <cfRule type="expression" dxfId="22" priority="26">
      <formula>$AX30="NO"</formula>
    </cfRule>
    <cfRule type="expression" dxfId="21" priority="27">
      <formula>$AX30="NMP"</formula>
    </cfRule>
    <cfRule type="expression" dxfId="20" priority="28">
      <formula>$AX30="CECPAM"</formula>
    </cfRule>
  </conditionalFormatting>
  <conditionalFormatting sqref="AA30">
    <cfRule type="expression" dxfId="19" priority="21">
      <formula>$BB30="FGRA"</formula>
    </cfRule>
    <cfRule type="expression" dxfId="18" priority="22">
      <formula>$BB30="NO"</formula>
    </cfRule>
    <cfRule type="expression" dxfId="17" priority="23">
      <formula>$BB30="NMP"</formula>
    </cfRule>
    <cfRule type="expression" dxfId="16" priority="24">
      <formula>$BB30="CECPAM"</formula>
    </cfRule>
  </conditionalFormatting>
  <conditionalFormatting sqref="AA31">
    <cfRule type="expression" dxfId="15" priority="17">
      <formula>$BB30="FGRA"</formula>
    </cfRule>
    <cfRule type="expression" dxfId="14" priority="18">
      <formula>$BB30="NO"</formula>
    </cfRule>
    <cfRule type="expression" dxfId="13" priority="19">
      <formula>$BB30="NMP"</formula>
    </cfRule>
    <cfRule type="expression" dxfId="12" priority="20">
      <formula>$BB30="CECPAM"</formula>
    </cfRule>
  </conditionalFormatting>
  <conditionalFormatting sqref="Y32">
    <cfRule type="expression" dxfId="11" priority="9">
      <formula>$AX32="FGRA"</formula>
    </cfRule>
    <cfRule type="expression" dxfId="10" priority="10">
      <formula>$AX32="NO"</formula>
    </cfRule>
    <cfRule type="expression" dxfId="9" priority="11">
      <formula>$AX32="NMP"</formula>
    </cfRule>
    <cfRule type="expression" dxfId="8" priority="12">
      <formula>$AX32="CECPAM"</formula>
    </cfRule>
  </conditionalFormatting>
  <conditionalFormatting sqref="Y33">
    <cfRule type="expression" dxfId="7" priority="5">
      <formula>$AX33="FGRA"</formula>
    </cfRule>
    <cfRule type="expression" dxfId="6" priority="6">
      <formula>$AX33="NO"</formula>
    </cfRule>
    <cfRule type="expression" dxfId="5" priority="7">
      <formula>$AX33="NMP"</formula>
    </cfRule>
    <cfRule type="expression" dxfId="4" priority="8">
      <formula>$AX33="CECPAM"</formula>
    </cfRule>
  </conditionalFormatting>
  <conditionalFormatting sqref="AA33">
    <cfRule type="expression" dxfId="3" priority="1">
      <formula>$BB33="FGRA"</formula>
    </cfRule>
    <cfRule type="expression" dxfId="2" priority="2">
      <formula>$BB33="NO"</formula>
    </cfRule>
    <cfRule type="expression" dxfId="1" priority="3">
      <formula>$BB33="NMP"</formula>
    </cfRule>
    <cfRule type="expression" dxfId="0" priority="4">
      <formula>$BB33="CECPAM"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CECPAM</dc:creator>
  <cp:lastModifiedBy>Info</cp:lastModifiedBy>
  <dcterms:created xsi:type="dcterms:W3CDTF">2024-01-09T19:13:22Z</dcterms:created>
  <dcterms:modified xsi:type="dcterms:W3CDTF">2024-01-31T22:29:06Z</dcterms:modified>
</cp:coreProperties>
</file>