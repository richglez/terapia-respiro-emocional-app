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E:\Documentos\PROYECTO CECPAM\Documentos\"/>
    </mc:Choice>
  </mc:AlternateContent>
  <xr:revisionPtr revIDLastSave="0" documentId="13_ncr:1_{0BD2DF26-7221-4AB8-A968-09E7D9B1425B}" xr6:coauthVersionLast="47" xr6:coauthVersionMax="47" xr10:uidLastSave="{00000000-0000-0000-0000-000000000000}"/>
  <bookViews>
    <workbookView xWindow="-120" yWindow="-120" windowWidth="29040" windowHeight="15720" tabRatio="788" firstSheet="21" activeTab="38" xr2:uid="{00000000-000D-0000-FFFF-FFFF00000000}"/>
  </bookViews>
  <sheets>
    <sheet name="Leonor" sheetId="52" r:id="rId1"/>
    <sheet name="Carlos José" sheetId="36" r:id="rId2"/>
    <sheet name="Mar" sheetId="43" r:id="rId3"/>
    <sheet name="Hortensia" sheetId="42" r:id="rId4"/>
    <sheet name="Carmen" sheetId="40" r:id="rId5"/>
    <sheet name="Adrian" sheetId="14" r:id="rId6"/>
    <sheet name="Mariana" sheetId="18" r:id="rId7"/>
    <sheet name="Rosa Ma" sheetId="37" r:id="rId8"/>
    <sheet name="Leonardo" sheetId="53" r:id="rId9"/>
    <sheet name="Emma" sheetId="56" r:id="rId10"/>
    <sheet name="Alfredo" sheetId="49" r:id="rId11"/>
    <sheet name="Roberto" sheetId="35" r:id="rId12"/>
    <sheet name="Ángela " sheetId="48" r:id="rId13"/>
    <sheet name="JoMa" sheetId="15" r:id="rId14"/>
    <sheet name="Salvador" sheetId="16" r:id="rId15"/>
    <sheet name="Diego" sheetId="17" r:id="rId16"/>
    <sheet name="Joshua" sheetId="19" r:id="rId17"/>
    <sheet name="Santamaría" sheetId="20" r:id="rId18"/>
    <sheet name="Yoel" sheetId="38" r:id="rId19"/>
    <sheet name="Manos que sanan" sheetId="39" r:id="rId20"/>
    <sheet name="Isaac" sheetId="50" r:id="rId21"/>
    <sheet name="Ana Luisa" sheetId="33" r:id="rId22"/>
    <sheet name="Martín" sheetId="47" r:id="rId23"/>
    <sheet name="Estela" sheetId="46" r:id="rId24"/>
    <sheet name="Concepción" sheetId="54" r:id="rId25"/>
    <sheet name="Matesa" sheetId="21" r:id="rId26"/>
    <sheet name="Manuel" sheetId="22" r:id="rId27"/>
    <sheet name="Leo" sheetId="23" r:id="rId28"/>
    <sheet name="Magit" sheetId="24" r:id="rId29"/>
    <sheet name="Esteban" sheetId="25" r:id="rId30"/>
    <sheet name="Gil" sheetId="26" r:id="rId31"/>
    <sheet name="Ma Elena" sheetId="27" r:id="rId32"/>
    <sheet name="Rosario" sheetId="28" r:id="rId33"/>
    <sheet name="Isa" sheetId="29" r:id="rId34"/>
    <sheet name="Arturo" sheetId="30" r:id="rId35"/>
    <sheet name="Mayorga" sheetId="31" r:id="rId36"/>
    <sheet name="Valdemar" sheetId="32" r:id="rId37"/>
    <sheet name="Silvia" sheetId="34" r:id="rId38"/>
    <sheet name="Cecilia" sheetId="41" r:id="rId39"/>
    <sheet name="Toño" sheetId="45" r:id="rId40"/>
    <sheet name="Marichuy" sheetId="51" r:id="rId41"/>
    <sheet name="Ricardo" sheetId="55" r:id="rId42"/>
    <sheet name="Rosa" sheetId="58" r:id="rId43"/>
    <sheet name="Amparo" sheetId="57" r:id="rId44"/>
  </sheets>
  <definedNames>
    <definedName name="_xlnm.Print_Area" localSheetId="5">Adrian!$B$1:$I$168</definedName>
    <definedName name="Calendario10Año">Adrian!$B$127</definedName>
    <definedName name="Calendario10Mes">Adrian!$C$127</definedName>
    <definedName name="Calendario10MesOpción">MATCH(Calendario10Mes,Meses,0)</definedName>
    <definedName name="Calendario11Año">Adrian!$B$141</definedName>
    <definedName name="Calendario11Mes">Adrian!$C$141</definedName>
    <definedName name="Calendario11MesOpción">MATCH(Calendario11Mes,Meses,0)</definedName>
    <definedName name="Calendario12Año">Adrian!$B$155</definedName>
    <definedName name="Calendario12Mes">Adrian!$C$155</definedName>
    <definedName name="Calendario12MesOpción">MATCH(Calendario12Mes,Meses,0)</definedName>
    <definedName name="Calendario1Año">Adrian!$B$1</definedName>
    <definedName name="Calendario1Mes">Adrian!$C$1</definedName>
    <definedName name="Calendario1MesOpción">MATCH(Calendario1Mes,Meses,0)</definedName>
    <definedName name="Calendario2Año">Adrian!$B$15</definedName>
    <definedName name="Calendario2Mes">Adrian!$C$15</definedName>
    <definedName name="Calendario2MesOpción">MATCH(Calendario2Mes,Meses,0)</definedName>
    <definedName name="Calendario3Año">Adrian!$B$29</definedName>
    <definedName name="Calendario3Mes">Adrian!$C$29</definedName>
    <definedName name="Calendario3MesOpción">MATCH(Calendario3Mes,Meses,0)</definedName>
    <definedName name="Calendario4Año">Adrian!$B$43</definedName>
    <definedName name="Calendario4Mes">Adrian!$C$43</definedName>
    <definedName name="Calendario4MesOpción">MATCH(Calendario4Mes,Meses,0)</definedName>
    <definedName name="Calendario5Año">Adrian!$B$57</definedName>
    <definedName name="Calendario5Mes">Adrian!$C$57</definedName>
    <definedName name="Calendario5MesOpción">MATCH(Calendario5Mes,Meses,0)</definedName>
    <definedName name="Calendario6Año">Adrian!$B$71</definedName>
    <definedName name="Calendario6Mes">Adrian!$C$71</definedName>
    <definedName name="Calendario6MesOpción">MATCH(Calendario6Mes,Meses,0)</definedName>
    <definedName name="Calendario7Año">Adrian!$B$85</definedName>
    <definedName name="Calendario7Mes">Adrian!$C$85</definedName>
    <definedName name="Calendario7MesOpción">MATCH(Calendario7Mes,Meses,0)</definedName>
    <definedName name="Calendario8Año">Adrian!$B$99</definedName>
    <definedName name="Calendario8Mes">Adrian!$C$99</definedName>
    <definedName name="Calendario8MesOpción">MATCH(Calendario8Mes,Meses,0)</definedName>
    <definedName name="Calendario9Año">Adrian!$B$113</definedName>
    <definedName name="Calendario9Mes">Adrian!$C$113</definedName>
    <definedName name="Calendario9MesOpción">MATCH(Calendario9Mes,Meses,0)</definedName>
    <definedName name="ColumnTitleRegion1..H12.1">Adrian!$B$2</definedName>
    <definedName name="ColumnTitleRegion10..H54.1">Adrian!$B$44</definedName>
    <definedName name="ColumnTitleRegion11..C56.1">Adrian!$B$44</definedName>
    <definedName name="ColumnTitleRegion12..D56.1">Adrian!$D$55</definedName>
    <definedName name="ColumnTitleRegion13..H68.1">Adrian!$B$58</definedName>
    <definedName name="ColumnTitleRegion14..C70.1">Adrian!$B$58</definedName>
    <definedName name="ColumnTitleRegion15..D70.1">Adrian!$D$69</definedName>
    <definedName name="ColumnTitleRegion16..H82.1">Adrian!$B$72</definedName>
    <definedName name="ColumnTitleRegion17..C84.1">Adrian!$B$72</definedName>
    <definedName name="ColumnTitleRegion18..D84.1">Adrian!$D$83</definedName>
    <definedName name="ColumnTitleRegion19..H96.1">Adrian!$B$86</definedName>
    <definedName name="ColumnTitleRegion2..C14.1">Adrian!$B$2</definedName>
    <definedName name="ColumnTitleRegion20..C98.1">Adrian!$B$86</definedName>
    <definedName name="ColumnTitleRegion21..D98.1">Adrian!$D$97</definedName>
    <definedName name="ColumnTitleRegion22..H110.1">Adrian!$B$100</definedName>
    <definedName name="ColumnTitleRegion23..C112.1">Adrian!$B$100</definedName>
    <definedName name="ColumnTitleRegion24..D112.1">Adrian!$D$111</definedName>
    <definedName name="ColumnTitleRegion25..H124.1">Adrian!$B$114</definedName>
    <definedName name="ColumnTitleRegion26..C126.1">Adrian!$B$114</definedName>
    <definedName name="ColumnTitleRegion27..D126.1">Adrian!$D$125</definedName>
    <definedName name="ColumnTitleRegion28..H138.1">Adrian!$B$128</definedName>
    <definedName name="ColumnTitleRegion29..C140.1">Adrian!$B$128</definedName>
    <definedName name="ColumnTitleRegion3..D14.1">Adrian!$D$13</definedName>
    <definedName name="ColumnTitleRegion30..D140.1">Adrian!$D$139</definedName>
    <definedName name="ColumnTitleRegion31..H152.1">Adrian!$B$142</definedName>
    <definedName name="ColumnTitleRegion32..C154.1">Adrian!$B$142</definedName>
    <definedName name="ColumnTitleRegion33..D154.1">Adrian!$D$153</definedName>
    <definedName name="ColumnTitleRegion34..H166.1">Adrian!$B$156</definedName>
    <definedName name="ColumnTitleRegion35..C168.1">Adrian!$B$156</definedName>
    <definedName name="ColumnTitleRegion36..D168.1">Adrian!$D$167</definedName>
    <definedName name="ColumnTitleRegion4..H26.1">Adrian!$B$16</definedName>
    <definedName name="ColumnTitleRegion5..C28.1">Adrian!$B$16</definedName>
    <definedName name="ColumnTitleRegion6..D28.1">Adrian!$D$27</definedName>
    <definedName name="ColumnTitleRegion7..H40.1">Adrian!$B$30</definedName>
    <definedName name="ColumnTitleRegion8..C42.1">Adrian!$B$30</definedName>
    <definedName name="ColumnTitleRegion9..D42.1">Adrian!$D$41</definedName>
    <definedName name="DíaDeLaSemanaOpción">MATCH(InicioDeSemana,DíasDeLaSemana,0)+10</definedName>
    <definedName name="Días">{0,1,2,3,4,5,6}</definedName>
    <definedName name="DíasDeLaSemana">{"LUNES","MARTES","MIÉRCOLES","JUEVES","VIERNES","SÁBADO","DOMINGO"}</definedName>
    <definedName name="InicioDeSemana">Adrian!$B$2</definedName>
    <definedName name="Meses">{"enero","febrero","marzo","abril","mayo","junio","julio","agosto","septiembre","octubre","noviembre","diciembre"}</definedName>
    <definedName name="WeekStartValue">IF(InicioDeSemana="LUNES",2,1)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22" i="58" l="1"/>
  <c r="I22" i="55" l="1"/>
  <c r="J22" i="55" s="1"/>
  <c r="A1" i="58" l="1"/>
  <c r="A1" i="57"/>
  <c r="A1" i="56" l="1"/>
  <c r="K20" i="30" l="1"/>
  <c r="A1" i="55" l="1"/>
  <c r="A1" i="54" l="1"/>
  <c r="A1" i="53" l="1"/>
  <c r="A1" i="52" l="1"/>
  <c r="B1" i="51" l="1"/>
  <c r="A1" i="50" l="1"/>
  <c r="A1" i="49"/>
  <c r="B1" i="48" l="1"/>
  <c r="B1" i="47" l="1"/>
  <c r="B1" i="46"/>
  <c r="B1" i="45" l="1"/>
  <c r="B1" i="43"/>
  <c r="B1" i="42" l="1"/>
  <c r="B1" i="41" l="1"/>
  <c r="B1" i="40"/>
  <c r="B1" i="39"/>
  <c r="B1" i="38"/>
  <c r="B1" i="37"/>
  <c r="B1" i="36"/>
  <c r="B1" i="35"/>
  <c r="B1" i="34"/>
  <c r="B1" i="33"/>
  <c r="B1" i="32"/>
  <c r="B1" i="31"/>
  <c r="B1" i="30"/>
  <c r="B1" i="29"/>
  <c r="B1" i="28"/>
  <c r="B1" i="27"/>
  <c r="B1" i="26"/>
  <c r="B1" i="25"/>
  <c r="B1" i="24"/>
  <c r="B1" i="23"/>
  <c r="B1" i="22"/>
  <c r="B1" i="21"/>
  <c r="B1" i="20"/>
  <c r="B1" i="19"/>
  <c r="B1" i="18"/>
  <c r="B1" i="17"/>
  <c r="B1" i="16"/>
  <c r="B1" i="15" l="1"/>
  <c r="B1" i="14" l="1"/>
  <c r="A15" i="58" l="1"/>
  <c r="A13" i="58" a="1"/>
  <c r="A5" i="58" a="1"/>
  <c r="A7" i="58" a="1"/>
  <c r="A11" i="58" a="1"/>
  <c r="A9" i="58" a="1"/>
  <c r="A3" i="58" a="1"/>
  <c r="B15" i="58"/>
  <c r="A15" i="57"/>
  <c r="A11" i="57" a="1"/>
  <c r="B15" i="57"/>
  <c r="A13" i="57" a="1"/>
  <c r="A3" i="57" a="1"/>
  <c r="A9" i="57" a="1"/>
  <c r="A5" i="57" a="1"/>
  <c r="A7" i="57" a="1"/>
  <c r="A15" i="56"/>
  <c r="A7" i="56" a="1"/>
  <c r="A9" i="56" a="1"/>
  <c r="B15" i="56"/>
  <c r="A5" i="56" a="1"/>
  <c r="A3" i="56" a="1"/>
  <c r="A11" i="56" a="1"/>
  <c r="A13" i="56" a="1"/>
  <c r="A15" i="55"/>
  <c r="A11" i="55" a="1"/>
  <c r="A7" i="55" a="1"/>
  <c r="A5" i="55" a="1"/>
  <c r="A3" i="55" a="1"/>
  <c r="A13" i="55" a="1"/>
  <c r="A9" i="55" a="1"/>
  <c r="B15" i="55"/>
  <c r="A15" i="54"/>
  <c r="A11" i="54" a="1"/>
  <c r="A7" i="54" a="1"/>
  <c r="A3" i="54" a="1"/>
  <c r="A9" i="54" a="1"/>
  <c r="A5" i="54" a="1"/>
  <c r="B15" i="54"/>
  <c r="A13" i="54" a="1"/>
  <c r="A3" i="53" a="1"/>
  <c r="A13" i="53" a="1"/>
  <c r="A9" i="53" a="1"/>
  <c r="A5" i="53" a="1"/>
  <c r="B15" i="53"/>
  <c r="A15" i="53"/>
  <c r="A11" i="53" a="1"/>
  <c r="A7" i="53" a="1"/>
  <c r="A7" i="52" a="1"/>
  <c r="A3" i="52" a="1"/>
  <c r="B15" i="52"/>
  <c r="A13" i="52" a="1"/>
  <c r="A11" i="52" a="1"/>
  <c r="A9" i="52" a="1"/>
  <c r="A5" i="52" a="1"/>
  <c r="A15" i="52"/>
  <c r="B15" i="51"/>
  <c r="B11" i="51" a="1"/>
  <c r="B7" i="51" a="1"/>
  <c r="B3" i="51" a="1"/>
  <c r="B13" i="51" a="1"/>
  <c r="B9" i="51" a="1"/>
  <c r="B5" i="51" a="1"/>
  <c r="C15" i="51"/>
  <c r="B15" i="50"/>
  <c r="A13" i="50" a="1"/>
  <c r="A11" i="50" a="1"/>
  <c r="A15" i="50"/>
  <c r="A9" i="50" a="1"/>
  <c r="A5" i="50" a="1"/>
  <c r="A3" i="50" a="1"/>
  <c r="A7" i="50" a="1"/>
  <c r="B15" i="49"/>
  <c r="A13" i="49" a="1"/>
  <c r="A11" i="49" a="1"/>
  <c r="A9" i="49" a="1"/>
  <c r="A7" i="49" a="1"/>
  <c r="A5" i="49" a="1"/>
  <c r="A3" i="49" a="1"/>
  <c r="A15" i="49"/>
  <c r="C15" i="48"/>
  <c r="B11" i="48" a="1"/>
  <c r="B7" i="48" a="1"/>
  <c r="B3" i="48" a="1"/>
  <c r="B15" i="48"/>
  <c r="B13" i="48" a="1"/>
  <c r="B9" i="48" a="1"/>
  <c r="B5" i="48" a="1"/>
  <c r="B15" i="47"/>
  <c r="B7" i="47" a="1"/>
  <c r="B9" i="47" a="1"/>
  <c r="C15" i="47"/>
  <c r="B3" i="47" a="1"/>
  <c r="B11" i="47" a="1"/>
  <c r="B13" i="47" a="1"/>
  <c r="B5" i="47" a="1"/>
  <c r="B15" i="46"/>
  <c r="B3" i="46" a="1"/>
  <c r="C15" i="46"/>
  <c r="B11" i="46" a="1"/>
  <c r="B5" i="46" a="1"/>
  <c r="B13" i="46" a="1"/>
  <c r="B7" i="46" a="1"/>
  <c r="B9" i="46" a="1"/>
  <c r="B15" i="45"/>
  <c r="B11" i="45" a="1"/>
  <c r="B3" i="45" a="1"/>
  <c r="B13" i="45" a="1"/>
  <c r="B5" i="45" a="1"/>
  <c r="B7" i="45" a="1"/>
  <c r="C15" i="45"/>
  <c r="B9" i="45" a="1"/>
  <c r="B15" i="43"/>
  <c r="B5" i="43" a="1"/>
  <c r="B7" i="43" a="1"/>
  <c r="B13" i="43" a="1"/>
  <c r="B3" i="43" a="1"/>
  <c r="B9" i="43" a="1"/>
  <c r="C15" i="43"/>
  <c r="B11" i="43" a="1"/>
  <c r="B15" i="42"/>
  <c r="B7" i="42" a="1"/>
  <c r="B3" i="42" a="1"/>
  <c r="B9" i="42" a="1"/>
  <c r="B13" i="42" a="1"/>
  <c r="C15" i="42"/>
  <c r="B5" i="42" a="1"/>
  <c r="B11" i="42" a="1"/>
  <c r="B15" i="41"/>
  <c r="B13" i="41" a="1"/>
  <c r="B11" i="41" a="1"/>
  <c r="B9" i="41" a="1"/>
  <c r="B7" i="41" a="1"/>
  <c r="B5" i="41" a="1"/>
  <c r="B3" i="41" a="1"/>
  <c r="C15" i="41"/>
  <c r="B13" i="40" a="1"/>
  <c r="B7" i="40" a="1"/>
  <c r="B9" i="40" a="1"/>
  <c r="B5" i="40" a="1"/>
  <c r="C15" i="40"/>
  <c r="B11" i="40" a="1"/>
  <c r="B3" i="40" a="1"/>
  <c r="B15" i="40"/>
  <c r="B13" i="39" a="1"/>
  <c r="C15" i="39"/>
  <c r="B11" i="39" a="1"/>
  <c r="B15" i="39"/>
  <c r="B7" i="39" a="1"/>
  <c r="B3" i="39" a="1"/>
  <c r="B9" i="39" a="1"/>
  <c r="B5" i="39" a="1"/>
  <c r="C15" i="38"/>
  <c r="B13" i="38" a="1"/>
  <c r="B11" i="38" a="1"/>
  <c r="B9" i="38" a="1"/>
  <c r="B7" i="38" a="1"/>
  <c r="B5" i="38" a="1"/>
  <c r="B3" i="38" a="1"/>
  <c r="B15" i="38"/>
  <c r="C15" i="37"/>
  <c r="B13" i="37" a="1"/>
  <c r="B11" i="37" a="1"/>
  <c r="B9" i="37" a="1"/>
  <c r="B7" i="37" a="1"/>
  <c r="B5" i="37" a="1"/>
  <c r="B3" i="37" a="1"/>
  <c r="B15" i="37"/>
  <c r="B15" i="36"/>
  <c r="C15" i="36"/>
  <c r="B13" i="36" a="1"/>
  <c r="B11" i="36" a="1"/>
  <c r="B9" i="36" a="1"/>
  <c r="B7" i="36" a="1"/>
  <c r="B5" i="36" a="1"/>
  <c r="B3" i="36" a="1"/>
  <c r="B13" i="35" a="1"/>
  <c r="B5" i="35" a="1"/>
  <c r="B9" i="35" a="1"/>
  <c r="B3" i="35" a="1"/>
  <c r="B15" i="35"/>
  <c r="C15" i="35"/>
  <c r="B11" i="35" a="1"/>
  <c r="B7" i="35" a="1"/>
  <c r="C15" i="34"/>
  <c r="B15" i="34"/>
  <c r="B13" i="34" a="1"/>
  <c r="B11" i="34" a="1"/>
  <c r="B9" i="34" a="1"/>
  <c r="B7" i="34" a="1"/>
  <c r="B5" i="34" a="1"/>
  <c r="B3" i="34" a="1"/>
  <c r="B15" i="33"/>
  <c r="C15" i="33"/>
  <c r="B13" i="33" a="1"/>
  <c r="B11" i="33" a="1"/>
  <c r="B9" i="33" a="1"/>
  <c r="B7" i="33" a="1"/>
  <c r="B5" i="33" a="1"/>
  <c r="B3" i="33" a="1"/>
  <c r="C15" i="32"/>
  <c r="B11" i="32" a="1"/>
  <c r="B5" i="32" a="1"/>
  <c r="B9" i="32" a="1"/>
  <c r="B3" i="32" a="1"/>
  <c r="B15" i="32"/>
  <c r="B13" i="32" a="1"/>
  <c r="B7" i="32" a="1"/>
  <c r="C15" i="31"/>
  <c r="B11" i="31" a="1"/>
  <c r="B13" i="31" a="1"/>
  <c r="B9" i="31" a="1"/>
  <c r="B5" i="31" a="1"/>
  <c r="B7" i="31" a="1"/>
  <c r="B3" i="31" a="1"/>
  <c r="B15" i="31"/>
  <c r="B15" i="30"/>
  <c r="B11" i="30" a="1"/>
  <c r="B7" i="30" a="1"/>
  <c r="B3" i="30" a="1"/>
  <c r="C15" i="30"/>
  <c r="B13" i="30" a="1"/>
  <c r="B9" i="30" a="1"/>
  <c r="B5" i="30" a="1"/>
  <c r="B15" i="29"/>
  <c r="C15" i="29"/>
  <c r="B13" i="29" a="1"/>
  <c r="B11" i="29" a="1"/>
  <c r="B9" i="29" a="1"/>
  <c r="B5" i="29" a="1"/>
  <c r="B7" i="29" a="1"/>
  <c r="B3" i="29" a="1"/>
  <c r="B15" i="28"/>
  <c r="B13" i="28" a="1"/>
  <c r="B11" i="28" a="1"/>
  <c r="B9" i="28" a="1"/>
  <c r="B7" i="28" a="1"/>
  <c r="B5" i="28" a="1"/>
  <c r="B3" i="28" a="1"/>
  <c r="C15" i="28"/>
  <c r="C15" i="27"/>
  <c r="B13" i="27" a="1"/>
  <c r="B11" i="27" a="1"/>
  <c r="B9" i="27" a="1"/>
  <c r="B7" i="27" a="1"/>
  <c r="B5" i="27" a="1"/>
  <c r="B3" i="27" a="1"/>
  <c r="B15" i="27"/>
  <c r="B11" i="26" a="1"/>
  <c r="B7" i="26" a="1"/>
  <c r="B15" i="26"/>
  <c r="C15" i="26"/>
  <c r="B13" i="26" a="1"/>
  <c r="B9" i="26" a="1"/>
  <c r="B5" i="26" a="1"/>
  <c r="B3" i="26" a="1"/>
  <c r="B15" i="25"/>
  <c r="C15" i="25"/>
  <c r="B11" i="25" a="1"/>
  <c r="B9" i="25" a="1"/>
  <c r="B7" i="25" a="1"/>
  <c r="B3" i="25" a="1"/>
  <c r="B13" i="25" a="1"/>
  <c r="B5" i="25" a="1"/>
  <c r="B13" i="24" a="1"/>
  <c r="B11" i="24" a="1"/>
  <c r="B9" i="24" a="1"/>
  <c r="B7" i="24" a="1"/>
  <c r="B5" i="24" a="1"/>
  <c r="B3" i="24" a="1"/>
  <c r="C15" i="24"/>
  <c r="B15" i="24"/>
  <c r="C15" i="23"/>
  <c r="B13" i="23" a="1"/>
  <c r="B11" i="23" a="1"/>
  <c r="B9" i="23" a="1"/>
  <c r="B7" i="23" a="1"/>
  <c r="B5" i="23" a="1"/>
  <c r="B3" i="23" a="1"/>
  <c r="B15" i="23"/>
  <c r="B3" i="22" a="1"/>
  <c r="C15" i="22"/>
  <c r="B13" i="22" a="1"/>
  <c r="B11" i="22" a="1"/>
  <c r="B9" i="22" a="1"/>
  <c r="B7" i="22" a="1"/>
  <c r="B5" i="22" a="1"/>
  <c r="B15" i="22"/>
  <c r="C15" i="21"/>
  <c r="B13" i="21" a="1"/>
  <c r="B11" i="21" a="1"/>
  <c r="B9" i="21" a="1"/>
  <c r="B7" i="21" a="1"/>
  <c r="B5" i="21" a="1"/>
  <c r="B3" i="21" a="1"/>
  <c r="B15" i="21"/>
  <c r="B15" i="20"/>
  <c r="B13" i="20" a="1"/>
  <c r="B11" i="20" a="1"/>
  <c r="B9" i="20" a="1"/>
  <c r="B7" i="20" a="1"/>
  <c r="B5" i="20" a="1"/>
  <c r="B3" i="20" a="1"/>
  <c r="C15" i="20"/>
  <c r="C15" i="19"/>
  <c r="B15" i="19"/>
  <c r="B13" i="19" a="1"/>
  <c r="B11" i="19" a="1"/>
  <c r="B9" i="19" a="1"/>
  <c r="B7" i="19" a="1"/>
  <c r="B5" i="19" a="1"/>
  <c r="B3" i="19" a="1"/>
  <c r="B15" i="18"/>
  <c r="B11" i="18" a="1"/>
  <c r="B7" i="18" a="1"/>
  <c r="B13" i="18" a="1"/>
  <c r="B5" i="18" a="1"/>
  <c r="C15" i="18"/>
  <c r="B9" i="18" a="1"/>
  <c r="B3" i="18" a="1"/>
  <c r="B15" i="17"/>
  <c r="B11" i="17" a="1"/>
  <c r="B13" i="17" a="1"/>
  <c r="B9" i="17" a="1"/>
  <c r="B5" i="17" a="1"/>
  <c r="C15" i="17"/>
  <c r="B7" i="17" a="1"/>
  <c r="B3" i="17" a="1"/>
  <c r="B15" i="16"/>
  <c r="B13" i="16" a="1"/>
  <c r="B9" i="16" a="1"/>
  <c r="B5" i="16" a="1"/>
  <c r="C15" i="16"/>
  <c r="B7" i="16" a="1"/>
  <c r="B11" i="16" a="1"/>
  <c r="B3" i="16" a="1"/>
  <c r="B15" i="15"/>
  <c r="C15" i="15"/>
  <c r="B13" i="15" a="1"/>
  <c r="B11" i="15" a="1"/>
  <c r="B9" i="15" a="1"/>
  <c r="B7" i="15" a="1"/>
  <c r="B5" i="15" a="1"/>
  <c r="B3" i="15" a="1"/>
  <c r="B15" i="14"/>
  <c r="C3" i="58" l="1"/>
  <c r="C2" i="58" s="1"/>
  <c r="B3" i="58"/>
  <c r="B2" i="58" s="1"/>
  <c r="G3" i="58"/>
  <c r="G2" i="58" s="1"/>
  <c r="F3" i="58"/>
  <c r="F2" i="58" s="1"/>
  <c r="E3" i="58"/>
  <c r="E2" i="58" s="1"/>
  <c r="D3" i="58"/>
  <c r="D2" i="58" s="1"/>
  <c r="A3" i="58"/>
  <c r="C9" i="58"/>
  <c r="B9" i="58"/>
  <c r="G9" i="58"/>
  <c r="F9" i="58"/>
  <c r="D9" i="58"/>
  <c r="E9" i="58"/>
  <c r="A9" i="58"/>
  <c r="C11" i="58"/>
  <c r="B11" i="58"/>
  <c r="G11" i="58"/>
  <c r="F11" i="58"/>
  <c r="D11" i="58"/>
  <c r="E11" i="58"/>
  <c r="A11" i="58"/>
  <c r="C7" i="58"/>
  <c r="B7" i="58"/>
  <c r="E7" i="58"/>
  <c r="D7" i="58"/>
  <c r="A7" i="58"/>
  <c r="G7" i="58"/>
  <c r="F7" i="58"/>
  <c r="C5" i="58"/>
  <c r="B5" i="58"/>
  <c r="A5" i="58"/>
  <c r="F5" i="58"/>
  <c r="D5" i="58"/>
  <c r="G5" i="58"/>
  <c r="E5" i="58"/>
  <c r="B13" i="58"/>
  <c r="A13" i="58"/>
  <c r="E5" i="57"/>
  <c r="C5" i="57"/>
  <c r="A5" i="57"/>
  <c r="G5" i="57"/>
  <c r="D5" i="57"/>
  <c r="F5" i="57"/>
  <c r="B5" i="57"/>
  <c r="E9" i="57"/>
  <c r="C9" i="57"/>
  <c r="A9" i="57"/>
  <c r="G9" i="57"/>
  <c r="D9" i="57"/>
  <c r="B9" i="57"/>
  <c r="F9" i="57"/>
  <c r="E7" i="57"/>
  <c r="C7" i="57"/>
  <c r="A7" i="57"/>
  <c r="D7" i="57"/>
  <c r="B7" i="57"/>
  <c r="G7" i="57"/>
  <c r="F7" i="57"/>
  <c r="E3" i="57"/>
  <c r="E2" i="57" s="1"/>
  <c r="C3" i="57"/>
  <c r="C2" i="57" s="1"/>
  <c r="A3" i="57"/>
  <c r="G3" i="57"/>
  <c r="G2" i="57" s="1"/>
  <c r="F3" i="57"/>
  <c r="F2" i="57" s="1"/>
  <c r="B3" i="57"/>
  <c r="B2" i="57" s="1"/>
  <c r="D3" i="57"/>
  <c r="D2" i="57" s="1"/>
  <c r="A13" i="57"/>
  <c r="B13" i="57"/>
  <c r="E11" i="57"/>
  <c r="C11" i="57"/>
  <c r="A11" i="57"/>
  <c r="G11" i="57"/>
  <c r="F11" i="57"/>
  <c r="D11" i="57"/>
  <c r="B11" i="57"/>
  <c r="E11" i="56"/>
  <c r="C11" i="56"/>
  <c r="F11" i="56"/>
  <c r="B11" i="56"/>
  <c r="A11" i="56"/>
  <c r="G11" i="56"/>
  <c r="D11" i="56"/>
  <c r="B13" i="56"/>
  <c r="A13" i="56"/>
  <c r="E3" i="56"/>
  <c r="E2" i="56" s="1"/>
  <c r="C3" i="56"/>
  <c r="C2" i="56" s="1"/>
  <c r="F3" i="56"/>
  <c r="F2" i="56" s="1"/>
  <c r="B3" i="56"/>
  <c r="B2" i="56" s="1"/>
  <c r="A3" i="56"/>
  <c r="G3" i="56"/>
  <c r="G2" i="56" s="1"/>
  <c r="D3" i="56"/>
  <c r="D2" i="56" s="1"/>
  <c r="E5" i="56"/>
  <c r="C5" i="56"/>
  <c r="F5" i="56"/>
  <c r="D5" i="56"/>
  <c r="A5" i="56"/>
  <c r="G5" i="56"/>
  <c r="B5" i="56"/>
  <c r="E9" i="56"/>
  <c r="C9" i="56"/>
  <c r="B9" i="56"/>
  <c r="F9" i="56"/>
  <c r="D9" i="56"/>
  <c r="A9" i="56"/>
  <c r="G9" i="56"/>
  <c r="E7" i="56"/>
  <c r="C7" i="56"/>
  <c r="G7" i="56"/>
  <c r="F7" i="56"/>
  <c r="B7" i="56"/>
  <c r="A7" i="56"/>
  <c r="D7" i="56"/>
  <c r="E9" i="55"/>
  <c r="A9" i="55"/>
  <c r="C9" i="55"/>
  <c r="B9" i="55"/>
  <c r="F9" i="55"/>
  <c r="D9" i="55"/>
  <c r="G9" i="55"/>
  <c r="E7" i="55"/>
  <c r="A7" i="55"/>
  <c r="F7" i="55"/>
  <c r="C7" i="55"/>
  <c r="G7" i="55"/>
  <c r="B7" i="55"/>
  <c r="D7" i="55"/>
  <c r="A13" i="55"/>
  <c r="B13" i="55"/>
  <c r="E11" i="55"/>
  <c r="A11" i="55"/>
  <c r="F11" i="55"/>
  <c r="D11" i="55"/>
  <c r="C11" i="55"/>
  <c r="G11" i="55"/>
  <c r="B11" i="55"/>
  <c r="D5" i="55"/>
  <c r="G5" i="55"/>
  <c r="F5" i="55"/>
  <c r="B5" i="55"/>
  <c r="E5" i="55"/>
  <c r="A5" i="55"/>
  <c r="C5" i="55"/>
  <c r="D3" i="55"/>
  <c r="D2" i="55" s="1"/>
  <c r="G3" i="55"/>
  <c r="G2" i="55" s="1"/>
  <c r="F3" i="55"/>
  <c r="F2" i="55" s="1"/>
  <c r="B3" i="55"/>
  <c r="B2" i="55" s="1"/>
  <c r="E3" i="55"/>
  <c r="E2" i="55" s="1"/>
  <c r="A3" i="55"/>
  <c r="C3" i="55"/>
  <c r="C2" i="55" s="1"/>
  <c r="G7" i="54"/>
  <c r="C7" i="54"/>
  <c r="F7" i="54"/>
  <c r="B7" i="54"/>
  <c r="E7" i="54"/>
  <c r="A7" i="54"/>
  <c r="D7" i="54"/>
  <c r="G3" i="54"/>
  <c r="G2" i="54" s="1"/>
  <c r="C3" i="54"/>
  <c r="C2" i="54" s="1"/>
  <c r="B3" i="54"/>
  <c r="B2" i="54" s="1"/>
  <c r="F3" i="54"/>
  <c r="F2" i="54" s="1"/>
  <c r="E3" i="54"/>
  <c r="E2" i="54" s="1"/>
  <c r="A3" i="54"/>
  <c r="D3" i="54"/>
  <c r="D2" i="54" s="1"/>
  <c r="G5" i="54"/>
  <c r="C5" i="54"/>
  <c r="B5" i="54"/>
  <c r="F5" i="54"/>
  <c r="E5" i="54"/>
  <c r="A5" i="54"/>
  <c r="D5" i="54"/>
  <c r="G11" i="54"/>
  <c r="C11" i="54"/>
  <c r="F11" i="54"/>
  <c r="B11" i="54"/>
  <c r="E11" i="54"/>
  <c r="A11" i="54"/>
  <c r="D11" i="54"/>
  <c r="B13" i="54"/>
  <c r="A13" i="54"/>
  <c r="G9" i="54"/>
  <c r="C9" i="54"/>
  <c r="F9" i="54"/>
  <c r="B9" i="54"/>
  <c r="E9" i="54"/>
  <c r="A9" i="54"/>
  <c r="D9" i="54"/>
  <c r="F7" i="53"/>
  <c r="B7" i="53"/>
  <c r="E7" i="53"/>
  <c r="C7" i="53"/>
  <c r="G7" i="53"/>
  <c r="A7" i="53"/>
  <c r="D7" i="53"/>
  <c r="F11" i="53"/>
  <c r="B11" i="53"/>
  <c r="E11" i="53"/>
  <c r="D11" i="53"/>
  <c r="C11" i="53"/>
  <c r="G11" i="53"/>
  <c r="A11" i="53"/>
  <c r="F9" i="53"/>
  <c r="B9" i="53"/>
  <c r="C9" i="53"/>
  <c r="A9" i="53"/>
  <c r="E9" i="53"/>
  <c r="D9" i="53"/>
  <c r="G9" i="53"/>
  <c r="B13" i="53"/>
  <c r="A13" i="53"/>
  <c r="F5" i="53"/>
  <c r="B5" i="53"/>
  <c r="C5" i="53"/>
  <c r="G5" i="53"/>
  <c r="E5" i="53"/>
  <c r="D5" i="53"/>
  <c r="A5" i="53"/>
  <c r="F3" i="53"/>
  <c r="F2" i="53" s="1"/>
  <c r="B3" i="53"/>
  <c r="B2" i="53" s="1"/>
  <c r="E3" i="53"/>
  <c r="E2" i="53" s="1"/>
  <c r="D3" i="53"/>
  <c r="D2" i="53" s="1"/>
  <c r="C3" i="53"/>
  <c r="C2" i="53" s="1"/>
  <c r="G3" i="53"/>
  <c r="G2" i="53" s="1"/>
  <c r="A3" i="53"/>
  <c r="F5" i="52"/>
  <c r="B5" i="52"/>
  <c r="E5" i="52"/>
  <c r="A5" i="52"/>
  <c r="C5" i="52"/>
  <c r="D5" i="52"/>
  <c r="G5" i="52"/>
  <c r="B13" i="52"/>
  <c r="A13" i="52"/>
  <c r="F9" i="52"/>
  <c r="B9" i="52"/>
  <c r="D9" i="52"/>
  <c r="C9" i="52"/>
  <c r="E9" i="52"/>
  <c r="A9" i="52"/>
  <c r="G9" i="52"/>
  <c r="F3" i="52"/>
  <c r="F2" i="52" s="1"/>
  <c r="B3" i="52"/>
  <c r="B2" i="52" s="1"/>
  <c r="E3" i="52"/>
  <c r="E2" i="52" s="1"/>
  <c r="D3" i="52"/>
  <c r="D2" i="52" s="1"/>
  <c r="G3" i="52"/>
  <c r="G2" i="52" s="1"/>
  <c r="A3" i="52"/>
  <c r="C3" i="52"/>
  <c r="C2" i="52" s="1"/>
  <c r="F11" i="52"/>
  <c r="B11" i="52"/>
  <c r="C11" i="52"/>
  <c r="E11" i="52"/>
  <c r="A11" i="52"/>
  <c r="G11" i="52"/>
  <c r="D11" i="52"/>
  <c r="F7" i="52"/>
  <c r="B7" i="52"/>
  <c r="D7" i="52"/>
  <c r="C7" i="52"/>
  <c r="E7" i="52"/>
  <c r="A7" i="52"/>
  <c r="G7" i="52"/>
  <c r="H5" i="51"/>
  <c r="D5" i="51"/>
  <c r="C5" i="51"/>
  <c r="G5" i="51"/>
  <c r="B5" i="51"/>
  <c r="F5" i="51"/>
  <c r="E5" i="51"/>
  <c r="H7" i="51"/>
  <c r="D7" i="51"/>
  <c r="F7" i="51"/>
  <c r="E7" i="51"/>
  <c r="C7" i="51"/>
  <c r="G7" i="51"/>
  <c r="B7" i="51"/>
  <c r="H3" i="51"/>
  <c r="H2" i="51" s="1"/>
  <c r="D3" i="51"/>
  <c r="D2" i="51" s="1"/>
  <c r="F3" i="51"/>
  <c r="F2" i="51" s="1"/>
  <c r="E3" i="51"/>
  <c r="E2" i="51" s="1"/>
  <c r="C3" i="51"/>
  <c r="C2" i="51" s="1"/>
  <c r="G3" i="51"/>
  <c r="G2" i="51" s="1"/>
  <c r="B3" i="51"/>
  <c r="H9" i="51"/>
  <c r="D9" i="51"/>
  <c r="C9" i="51"/>
  <c r="G9" i="51"/>
  <c r="B9" i="51"/>
  <c r="F9" i="51"/>
  <c r="E9" i="51"/>
  <c r="H11" i="51"/>
  <c r="D11" i="51"/>
  <c r="F11" i="51"/>
  <c r="E11" i="51"/>
  <c r="C11" i="51"/>
  <c r="G11" i="51"/>
  <c r="B11" i="51"/>
  <c r="C13" i="51"/>
  <c r="B13" i="51"/>
  <c r="G3" i="50"/>
  <c r="G2" i="50" s="1"/>
  <c r="C3" i="50"/>
  <c r="C2" i="50" s="1"/>
  <c r="F3" i="50"/>
  <c r="F2" i="50" s="1"/>
  <c r="B3" i="50"/>
  <c r="B2" i="50" s="1"/>
  <c r="D3" i="50"/>
  <c r="D2" i="50" s="1"/>
  <c r="A3" i="50"/>
  <c r="E3" i="50"/>
  <c r="E2" i="50" s="1"/>
  <c r="D11" i="50"/>
  <c r="G11" i="50"/>
  <c r="C11" i="50"/>
  <c r="F11" i="50"/>
  <c r="B11" i="50"/>
  <c r="E11" i="50"/>
  <c r="A11" i="50"/>
  <c r="G7" i="50"/>
  <c r="C7" i="50"/>
  <c r="B7" i="50"/>
  <c r="F7" i="50"/>
  <c r="D7" i="50"/>
  <c r="A7" i="50"/>
  <c r="E7" i="50"/>
  <c r="G5" i="50"/>
  <c r="C5" i="50"/>
  <c r="B5" i="50"/>
  <c r="F5" i="50"/>
  <c r="D5" i="50"/>
  <c r="A5" i="50"/>
  <c r="E5" i="50"/>
  <c r="B13" i="50"/>
  <c r="A13" i="50"/>
  <c r="G9" i="50"/>
  <c r="C9" i="50"/>
  <c r="B9" i="50"/>
  <c r="F9" i="50"/>
  <c r="D9" i="50"/>
  <c r="A9" i="50"/>
  <c r="E9" i="50"/>
  <c r="D3" i="49"/>
  <c r="D2" i="49" s="1"/>
  <c r="B3" i="49"/>
  <c r="B2" i="49" s="1"/>
  <c r="A3" i="49"/>
  <c r="G3" i="49"/>
  <c r="G2" i="49" s="1"/>
  <c r="C3" i="49"/>
  <c r="C2" i="49" s="1"/>
  <c r="F3" i="49"/>
  <c r="F2" i="49" s="1"/>
  <c r="E3" i="49"/>
  <c r="E2" i="49" s="1"/>
  <c r="A11" i="49"/>
  <c r="D11" i="49"/>
  <c r="F11" i="49"/>
  <c r="B11" i="49"/>
  <c r="E11" i="49"/>
  <c r="G11" i="49"/>
  <c r="C11" i="49"/>
  <c r="D5" i="49"/>
  <c r="B5" i="49"/>
  <c r="A5" i="49"/>
  <c r="G5" i="49"/>
  <c r="C5" i="49"/>
  <c r="F5" i="49"/>
  <c r="E5" i="49"/>
  <c r="B13" i="49"/>
  <c r="A13" i="49"/>
  <c r="D9" i="49"/>
  <c r="B9" i="49"/>
  <c r="A9" i="49"/>
  <c r="G9" i="49"/>
  <c r="C9" i="49"/>
  <c r="F9" i="49"/>
  <c r="E9" i="49"/>
  <c r="D7" i="49"/>
  <c r="B7" i="49"/>
  <c r="A7" i="49"/>
  <c r="G7" i="49"/>
  <c r="C7" i="49"/>
  <c r="F7" i="49"/>
  <c r="E7" i="49"/>
  <c r="H9" i="48"/>
  <c r="G9" i="48"/>
  <c r="C9" i="48"/>
  <c r="F9" i="48"/>
  <c r="B9" i="48"/>
  <c r="E9" i="48"/>
  <c r="D9" i="48"/>
  <c r="E7" i="48"/>
  <c r="H7" i="48"/>
  <c r="G7" i="48"/>
  <c r="C7" i="48"/>
  <c r="F7" i="48"/>
  <c r="B7" i="48"/>
  <c r="D7" i="48"/>
  <c r="E3" i="48"/>
  <c r="E2" i="48" s="1"/>
  <c r="D3" i="48"/>
  <c r="D2" i="48" s="1"/>
  <c r="G3" i="48"/>
  <c r="G2" i="48" s="1"/>
  <c r="C3" i="48"/>
  <c r="C2" i="48" s="1"/>
  <c r="F3" i="48"/>
  <c r="F2" i="48" s="1"/>
  <c r="B3" i="48"/>
  <c r="H3" i="48"/>
  <c r="H2" i="48" s="1"/>
  <c r="C13" i="48"/>
  <c r="B13" i="48"/>
  <c r="E11" i="48"/>
  <c r="D11" i="48"/>
  <c r="G11" i="48"/>
  <c r="C11" i="48"/>
  <c r="F11" i="48"/>
  <c r="B11" i="48"/>
  <c r="H11" i="48"/>
  <c r="D5" i="48"/>
  <c r="G5" i="48"/>
  <c r="C5" i="48"/>
  <c r="F5" i="48"/>
  <c r="B5" i="48"/>
  <c r="E5" i="48"/>
  <c r="H5" i="48"/>
  <c r="B13" i="47"/>
  <c r="C13" i="47"/>
  <c r="G11" i="47"/>
  <c r="D11" i="47"/>
  <c r="F11" i="47"/>
  <c r="C11" i="47"/>
  <c r="B11" i="47"/>
  <c r="H11" i="47"/>
  <c r="E11" i="47"/>
  <c r="G3" i="47"/>
  <c r="G2" i="47" s="1"/>
  <c r="D3" i="47"/>
  <c r="D2" i="47" s="1"/>
  <c r="F3" i="47"/>
  <c r="F2" i="47" s="1"/>
  <c r="C3" i="47"/>
  <c r="C2" i="47" s="1"/>
  <c r="B3" i="47"/>
  <c r="E3" i="47"/>
  <c r="E2" i="47" s="1"/>
  <c r="H3" i="47"/>
  <c r="H2" i="47" s="1"/>
  <c r="G9" i="47"/>
  <c r="D9" i="47"/>
  <c r="C9" i="47"/>
  <c r="H9" i="47"/>
  <c r="F9" i="47"/>
  <c r="E9" i="47"/>
  <c r="B9" i="47"/>
  <c r="G5" i="47"/>
  <c r="D5" i="47"/>
  <c r="F5" i="47"/>
  <c r="E5" i="47"/>
  <c r="C5" i="47"/>
  <c r="H5" i="47"/>
  <c r="B5" i="47"/>
  <c r="G7" i="47"/>
  <c r="D7" i="47"/>
  <c r="H7" i="47"/>
  <c r="F7" i="47"/>
  <c r="E7" i="47"/>
  <c r="C7" i="47"/>
  <c r="B7" i="47"/>
  <c r="D7" i="46"/>
  <c r="C7" i="46"/>
  <c r="H7" i="46"/>
  <c r="G7" i="46"/>
  <c r="B7" i="46"/>
  <c r="F7" i="46"/>
  <c r="E7" i="46"/>
  <c r="C13" i="46"/>
  <c r="B13" i="46"/>
  <c r="D5" i="46"/>
  <c r="C5" i="46"/>
  <c r="F5" i="46"/>
  <c r="E5" i="46"/>
  <c r="B5" i="46"/>
  <c r="H5" i="46"/>
  <c r="G5" i="46"/>
  <c r="D11" i="46"/>
  <c r="C11" i="46"/>
  <c r="B11" i="46"/>
  <c r="H11" i="46"/>
  <c r="G11" i="46"/>
  <c r="F11" i="46"/>
  <c r="E11" i="46"/>
  <c r="D3" i="46"/>
  <c r="D2" i="46" s="1"/>
  <c r="C3" i="46"/>
  <c r="C2" i="46" s="1"/>
  <c r="B3" i="46"/>
  <c r="G3" i="46"/>
  <c r="G2" i="46" s="1"/>
  <c r="H3" i="46"/>
  <c r="H2" i="46" s="1"/>
  <c r="F3" i="46"/>
  <c r="F2" i="46" s="1"/>
  <c r="E3" i="46"/>
  <c r="E2" i="46" s="1"/>
  <c r="D9" i="46"/>
  <c r="C9" i="46"/>
  <c r="H9" i="46"/>
  <c r="G9" i="46"/>
  <c r="E9" i="46"/>
  <c r="F9" i="46"/>
  <c r="B9" i="46"/>
  <c r="G9" i="45"/>
  <c r="C9" i="45"/>
  <c r="H9" i="45"/>
  <c r="B9" i="45"/>
  <c r="F9" i="45"/>
  <c r="E9" i="45"/>
  <c r="D9" i="45"/>
  <c r="G7" i="45"/>
  <c r="C7" i="45"/>
  <c r="F7" i="45"/>
  <c r="E7" i="45"/>
  <c r="D7" i="45"/>
  <c r="B7" i="45"/>
  <c r="H7" i="45"/>
  <c r="G5" i="45"/>
  <c r="C5" i="45"/>
  <c r="D5" i="45"/>
  <c r="B5" i="45"/>
  <c r="H5" i="45"/>
  <c r="F5" i="45"/>
  <c r="E5" i="45"/>
  <c r="C13" i="45"/>
  <c r="B13" i="45"/>
  <c r="G3" i="45"/>
  <c r="G2" i="45" s="1"/>
  <c r="C3" i="45"/>
  <c r="C2" i="45" s="1"/>
  <c r="E3" i="45"/>
  <c r="E2" i="45" s="1"/>
  <c r="H3" i="45"/>
  <c r="H2" i="45" s="1"/>
  <c r="F3" i="45"/>
  <c r="F2" i="45" s="1"/>
  <c r="B3" i="45"/>
  <c r="D3" i="45"/>
  <c r="D2" i="45" s="1"/>
  <c r="G11" i="45"/>
  <c r="C11" i="45"/>
  <c r="E11" i="45"/>
  <c r="H11" i="45"/>
  <c r="F11" i="45"/>
  <c r="D11" i="45"/>
  <c r="B11" i="45"/>
  <c r="G11" i="43"/>
  <c r="F11" i="43"/>
  <c r="D11" i="43"/>
  <c r="C11" i="43"/>
  <c r="B11" i="43"/>
  <c r="H11" i="43"/>
  <c r="E11" i="43"/>
  <c r="G9" i="43"/>
  <c r="F9" i="43"/>
  <c r="D9" i="43"/>
  <c r="H9" i="43"/>
  <c r="C9" i="43"/>
  <c r="E9" i="43"/>
  <c r="B9" i="43"/>
  <c r="G3" i="43"/>
  <c r="G2" i="43" s="1"/>
  <c r="F3" i="43"/>
  <c r="F2" i="43" s="1"/>
  <c r="D3" i="43"/>
  <c r="D2" i="43" s="1"/>
  <c r="E3" i="43"/>
  <c r="E2" i="43" s="1"/>
  <c r="C3" i="43"/>
  <c r="C2" i="43" s="1"/>
  <c r="B3" i="43"/>
  <c r="H3" i="43"/>
  <c r="H2" i="43" s="1"/>
  <c r="C13" i="43"/>
  <c r="B13" i="43"/>
  <c r="G7" i="43"/>
  <c r="F7" i="43"/>
  <c r="D7" i="43"/>
  <c r="B7" i="43"/>
  <c r="H7" i="43"/>
  <c r="E7" i="43"/>
  <c r="C7" i="43"/>
  <c r="G5" i="43"/>
  <c r="F5" i="43"/>
  <c r="D5" i="43"/>
  <c r="H5" i="43"/>
  <c r="B5" i="43"/>
  <c r="E5" i="43"/>
  <c r="C5" i="43"/>
  <c r="C11" i="42"/>
  <c r="B11" i="42"/>
  <c r="H11" i="42"/>
  <c r="G11" i="42"/>
  <c r="F11" i="42"/>
  <c r="E11" i="42"/>
  <c r="D11" i="42"/>
  <c r="C5" i="42"/>
  <c r="B5" i="42"/>
  <c r="H5" i="42"/>
  <c r="F5" i="42"/>
  <c r="D5" i="42"/>
  <c r="E5" i="42"/>
  <c r="G5" i="42"/>
  <c r="C13" i="42"/>
  <c r="B13" i="42"/>
  <c r="C9" i="42"/>
  <c r="B9" i="42"/>
  <c r="H9" i="42"/>
  <c r="F9" i="42"/>
  <c r="D9" i="42"/>
  <c r="G9" i="42"/>
  <c r="E9" i="42"/>
  <c r="C3" i="42"/>
  <c r="C2" i="42" s="1"/>
  <c r="B3" i="42"/>
  <c r="H3" i="42"/>
  <c r="H2" i="42" s="1"/>
  <c r="E3" i="42"/>
  <c r="E2" i="42" s="1"/>
  <c r="F3" i="42"/>
  <c r="F2" i="42" s="1"/>
  <c r="D3" i="42"/>
  <c r="D2" i="42" s="1"/>
  <c r="G3" i="42"/>
  <c r="G2" i="42" s="1"/>
  <c r="C7" i="42"/>
  <c r="B7" i="42"/>
  <c r="H7" i="42"/>
  <c r="G7" i="42"/>
  <c r="F7" i="42"/>
  <c r="E7" i="42"/>
  <c r="D7" i="42"/>
  <c r="G3" i="41"/>
  <c r="G2" i="41" s="1"/>
  <c r="C3" i="41"/>
  <c r="C2" i="41" s="1"/>
  <c r="F3" i="41"/>
  <c r="F2" i="41" s="1"/>
  <c r="B3" i="41"/>
  <c r="D3" i="41"/>
  <c r="D2" i="41" s="1"/>
  <c r="H3" i="41"/>
  <c r="H2" i="41" s="1"/>
  <c r="E3" i="41"/>
  <c r="E2" i="41" s="1"/>
  <c r="G11" i="41"/>
  <c r="C11" i="41"/>
  <c r="F11" i="41"/>
  <c r="B11" i="41"/>
  <c r="D11" i="41"/>
  <c r="H11" i="41"/>
  <c r="E11" i="41"/>
  <c r="G9" i="41"/>
  <c r="C9" i="41"/>
  <c r="F9" i="41"/>
  <c r="B9" i="41"/>
  <c r="D9" i="41"/>
  <c r="H9" i="41"/>
  <c r="E9" i="41"/>
  <c r="G5" i="41"/>
  <c r="C5" i="41"/>
  <c r="F5" i="41"/>
  <c r="B5" i="41"/>
  <c r="D5" i="41"/>
  <c r="H5" i="41"/>
  <c r="E5" i="41"/>
  <c r="C13" i="41"/>
  <c r="B13" i="41"/>
  <c r="G7" i="41"/>
  <c r="C7" i="41"/>
  <c r="F7" i="41"/>
  <c r="B7" i="41"/>
  <c r="D7" i="41"/>
  <c r="H7" i="41"/>
  <c r="E7" i="41"/>
  <c r="G3" i="40"/>
  <c r="G2" i="40" s="1"/>
  <c r="C3" i="40"/>
  <c r="C2" i="40" s="1"/>
  <c r="F3" i="40"/>
  <c r="F2" i="40" s="1"/>
  <c r="B3" i="40"/>
  <c r="E3" i="40"/>
  <c r="E2" i="40" s="1"/>
  <c r="H3" i="40"/>
  <c r="H2" i="40" s="1"/>
  <c r="D3" i="40"/>
  <c r="D2" i="40" s="1"/>
  <c r="G9" i="40"/>
  <c r="C9" i="40"/>
  <c r="F9" i="40"/>
  <c r="B9" i="40"/>
  <c r="E9" i="40"/>
  <c r="H9" i="40"/>
  <c r="D9" i="40"/>
  <c r="G11" i="40"/>
  <c r="C11" i="40"/>
  <c r="F11" i="40"/>
  <c r="B11" i="40"/>
  <c r="E11" i="40"/>
  <c r="H11" i="40"/>
  <c r="D11" i="40"/>
  <c r="G7" i="40"/>
  <c r="C7" i="40"/>
  <c r="E7" i="40"/>
  <c r="F7" i="40"/>
  <c r="B7" i="40"/>
  <c r="H7" i="40"/>
  <c r="D7" i="40"/>
  <c r="G5" i="40"/>
  <c r="C5" i="40"/>
  <c r="F5" i="40"/>
  <c r="B5" i="40"/>
  <c r="E5" i="40"/>
  <c r="H5" i="40"/>
  <c r="D5" i="40"/>
  <c r="C13" i="40"/>
  <c r="B13" i="40"/>
  <c r="F9" i="39"/>
  <c r="B9" i="39"/>
  <c r="H9" i="39"/>
  <c r="D9" i="39"/>
  <c r="G9" i="39"/>
  <c r="C9" i="39"/>
  <c r="E9" i="39"/>
  <c r="F11" i="39"/>
  <c r="B11" i="39"/>
  <c r="H11" i="39"/>
  <c r="D11" i="39"/>
  <c r="G11" i="39"/>
  <c r="C11" i="39"/>
  <c r="E11" i="39"/>
  <c r="F5" i="39"/>
  <c r="B5" i="39"/>
  <c r="H5" i="39"/>
  <c r="D5" i="39"/>
  <c r="G5" i="39"/>
  <c r="C5" i="39"/>
  <c r="E5" i="39"/>
  <c r="F3" i="39"/>
  <c r="F2" i="39" s="1"/>
  <c r="B3" i="39"/>
  <c r="H3" i="39"/>
  <c r="H2" i="39" s="1"/>
  <c r="D3" i="39"/>
  <c r="D2" i="39" s="1"/>
  <c r="G3" i="39"/>
  <c r="G2" i="39" s="1"/>
  <c r="C3" i="39"/>
  <c r="C2" i="39" s="1"/>
  <c r="E3" i="39"/>
  <c r="E2" i="39" s="1"/>
  <c r="F7" i="39"/>
  <c r="B7" i="39"/>
  <c r="H7" i="39"/>
  <c r="D7" i="39"/>
  <c r="G7" i="39"/>
  <c r="C7" i="39"/>
  <c r="E7" i="39"/>
  <c r="B13" i="39"/>
  <c r="C13" i="39"/>
  <c r="F3" i="38"/>
  <c r="F2" i="38" s="1"/>
  <c r="B3" i="38"/>
  <c r="G3" i="38"/>
  <c r="G2" i="38" s="1"/>
  <c r="E3" i="38"/>
  <c r="E2" i="38" s="1"/>
  <c r="C3" i="38"/>
  <c r="C2" i="38" s="1"/>
  <c r="H3" i="38"/>
  <c r="H2" i="38" s="1"/>
  <c r="D3" i="38"/>
  <c r="D2" i="38" s="1"/>
  <c r="F11" i="38"/>
  <c r="B11" i="38"/>
  <c r="G11" i="38"/>
  <c r="E11" i="38"/>
  <c r="C11" i="38"/>
  <c r="H11" i="38"/>
  <c r="D11" i="38"/>
  <c r="F9" i="38"/>
  <c r="B9" i="38"/>
  <c r="G9" i="38"/>
  <c r="E9" i="38"/>
  <c r="C9" i="38"/>
  <c r="H9" i="38"/>
  <c r="D9" i="38"/>
  <c r="F5" i="38"/>
  <c r="B5" i="38"/>
  <c r="E5" i="38"/>
  <c r="G5" i="38"/>
  <c r="H5" i="38"/>
  <c r="D5" i="38"/>
  <c r="C5" i="38"/>
  <c r="B13" i="38"/>
  <c r="C13" i="38"/>
  <c r="F7" i="38"/>
  <c r="B7" i="38"/>
  <c r="C7" i="38"/>
  <c r="E7" i="38"/>
  <c r="H7" i="38"/>
  <c r="D7" i="38"/>
  <c r="G7" i="38"/>
  <c r="F3" i="37"/>
  <c r="F2" i="37" s="1"/>
  <c r="B3" i="37"/>
  <c r="E3" i="37"/>
  <c r="E2" i="37" s="1"/>
  <c r="C3" i="37"/>
  <c r="C2" i="37" s="1"/>
  <c r="H3" i="37"/>
  <c r="H2" i="37" s="1"/>
  <c r="D3" i="37"/>
  <c r="D2" i="37" s="1"/>
  <c r="G3" i="37"/>
  <c r="G2" i="37" s="1"/>
  <c r="F11" i="37"/>
  <c r="B11" i="37"/>
  <c r="E11" i="37"/>
  <c r="C11" i="37"/>
  <c r="H11" i="37"/>
  <c r="D11" i="37"/>
  <c r="G11" i="37"/>
  <c r="F5" i="37"/>
  <c r="B5" i="37"/>
  <c r="E5" i="37"/>
  <c r="G5" i="37"/>
  <c r="C5" i="37"/>
  <c r="H5" i="37"/>
  <c r="D5" i="37"/>
  <c r="B13" i="37"/>
  <c r="C13" i="37"/>
  <c r="F9" i="37"/>
  <c r="B9" i="37"/>
  <c r="E9" i="37"/>
  <c r="C9" i="37"/>
  <c r="H9" i="37"/>
  <c r="D9" i="37"/>
  <c r="G9" i="37"/>
  <c r="F7" i="37"/>
  <c r="B7" i="37"/>
  <c r="E7" i="37"/>
  <c r="G7" i="37"/>
  <c r="H7" i="37"/>
  <c r="D7" i="37"/>
  <c r="C7" i="37"/>
  <c r="H5" i="36"/>
  <c r="D5" i="36"/>
  <c r="C5" i="36"/>
  <c r="G5" i="36"/>
  <c r="F5" i="36"/>
  <c r="B5" i="36"/>
  <c r="E5" i="36"/>
  <c r="C13" i="36"/>
  <c r="B13" i="36"/>
  <c r="H11" i="36"/>
  <c r="D11" i="36"/>
  <c r="G11" i="36"/>
  <c r="C11" i="36"/>
  <c r="F11" i="36"/>
  <c r="B11" i="36"/>
  <c r="E11" i="36"/>
  <c r="H7" i="36"/>
  <c r="D7" i="36"/>
  <c r="G7" i="36"/>
  <c r="C7" i="36"/>
  <c r="F7" i="36"/>
  <c r="B7" i="36"/>
  <c r="E7" i="36"/>
  <c r="H3" i="36"/>
  <c r="H2" i="36" s="1"/>
  <c r="D3" i="36"/>
  <c r="D2" i="36" s="1"/>
  <c r="G3" i="36"/>
  <c r="G2" i="36" s="1"/>
  <c r="C3" i="36"/>
  <c r="C2" i="36" s="1"/>
  <c r="F3" i="36"/>
  <c r="F2" i="36" s="1"/>
  <c r="B3" i="36"/>
  <c r="E3" i="36"/>
  <c r="E2" i="36" s="1"/>
  <c r="H9" i="36"/>
  <c r="D9" i="36"/>
  <c r="C9" i="36"/>
  <c r="G9" i="36"/>
  <c r="F9" i="36"/>
  <c r="B9" i="36"/>
  <c r="E9" i="36"/>
  <c r="F7" i="35"/>
  <c r="B7" i="35"/>
  <c r="E7" i="35"/>
  <c r="H7" i="35"/>
  <c r="D7" i="35"/>
  <c r="G7" i="35"/>
  <c r="C7" i="35"/>
  <c r="F11" i="35"/>
  <c r="B11" i="35"/>
  <c r="H11" i="35"/>
  <c r="D11" i="35"/>
  <c r="G11" i="35"/>
  <c r="C11" i="35"/>
  <c r="E11" i="35"/>
  <c r="F9" i="35"/>
  <c r="B9" i="35"/>
  <c r="E9" i="35"/>
  <c r="H9" i="35"/>
  <c r="D9" i="35"/>
  <c r="G9" i="35"/>
  <c r="C9" i="35"/>
  <c r="F5" i="35"/>
  <c r="B5" i="35"/>
  <c r="E5" i="35"/>
  <c r="H5" i="35"/>
  <c r="D5" i="35"/>
  <c r="G5" i="35"/>
  <c r="C5" i="35"/>
  <c r="F3" i="35"/>
  <c r="F2" i="35" s="1"/>
  <c r="B3" i="35"/>
  <c r="E3" i="35"/>
  <c r="E2" i="35" s="1"/>
  <c r="H3" i="35"/>
  <c r="H2" i="35" s="1"/>
  <c r="D3" i="35"/>
  <c r="D2" i="35" s="1"/>
  <c r="G3" i="35"/>
  <c r="G2" i="35" s="1"/>
  <c r="C3" i="35"/>
  <c r="C2" i="35" s="1"/>
  <c r="B13" i="35"/>
  <c r="C13" i="35"/>
  <c r="G3" i="34"/>
  <c r="G2" i="34" s="1"/>
  <c r="C3" i="34"/>
  <c r="C2" i="34" s="1"/>
  <c r="F3" i="34"/>
  <c r="F2" i="34" s="1"/>
  <c r="B3" i="34"/>
  <c r="H3" i="34"/>
  <c r="H2" i="34" s="1"/>
  <c r="E3" i="34"/>
  <c r="E2" i="34" s="1"/>
  <c r="D3" i="34"/>
  <c r="D2" i="34" s="1"/>
  <c r="G5" i="34"/>
  <c r="C5" i="34"/>
  <c r="F5" i="34"/>
  <c r="B5" i="34"/>
  <c r="H5" i="34"/>
  <c r="E5" i="34"/>
  <c r="D5" i="34"/>
  <c r="C13" i="34"/>
  <c r="B13" i="34"/>
  <c r="G11" i="34"/>
  <c r="C11" i="34"/>
  <c r="F11" i="34"/>
  <c r="B11" i="34"/>
  <c r="H11" i="34"/>
  <c r="E11" i="34"/>
  <c r="D11" i="34"/>
  <c r="G7" i="34"/>
  <c r="C7" i="34"/>
  <c r="F7" i="34"/>
  <c r="B7" i="34"/>
  <c r="H7" i="34"/>
  <c r="E7" i="34"/>
  <c r="D7" i="34"/>
  <c r="G9" i="34"/>
  <c r="C9" i="34"/>
  <c r="F9" i="34"/>
  <c r="B9" i="34"/>
  <c r="H9" i="34"/>
  <c r="E9" i="34"/>
  <c r="D9" i="34"/>
  <c r="G5" i="33"/>
  <c r="C5" i="33"/>
  <c r="F5" i="33"/>
  <c r="B5" i="33"/>
  <c r="E5" i="33"/>
  <c r="H5" i="33"/>
  <c r="D5" i="33"/>
  <c r="C13" i="33"/>
  <c r="B13" i="33"/>
  <c r="G11" i="33"/>
  <c r="C11" i="33"/>
  <c r="F11" i="33"/>
  <c r="B11" i="33"/>
  <c r="D11" i="33"/>
  <c r="E11" i="33"/>
  <c r="H11" i="33"/>
  <c r="G7" i="33"/>
  <c r="C7" i="33"/>
  <c r="F7" i="33"/>
  <c r="B7" i="33"/>
  <c r="E7" i="33"/>
  <c r="H7" i="33"/>
  <c r="D7" i="33"/>
  <c r="G3" i="33"/>
  <c r="G2" i="33" s="1"/>
  <c r="C3" i="33"/>
  <c r="C2" i="33" s="1"/>
  <c r="F3" i="33"/>
  <c r="F2" i="33" s="1"/>
  <c r="B3" i="33"/>
  <c r="E3" i="33"/>
  <c r="E2" i="33" s="1"/>
  <c r="H3" i="33"/>
  <c r="H2" i="33" s="1"/>
  <c r="D3" i="33"/>
  <c r="D2" i="33" s="1"/>
  <c r="G9" i="33"/>
  <c r="C9" i="33"/>
  <c r="B9" i="33"/>
  <c r="F9" i="33"/>
  <c r="E9" i="33"/>
  <c r="H9" i="33"/>
  <c r="D9" i="33"/>
  <c r="F7" i="32"/>
  <c r="B7" i="32"/>
  <c r="H7" i="32"/>
  <c r="D7" i="32"/>
  <c r="G7" i="32"/>
  <c r="C7" i="32"/>
  <c r="E7" i="32"/>
  <c r="B13" i="32"/>
  <c r="C13" i="32"/>
  <c r="F5" i="32"/>
  <c r="B5" i="32"/>
  <c r="E5" i="32"/>
  <c r="H5" i="32"/>
  <c r="D5" i="32"/>
  <c r="G5" i="32"/>
  <c r="C5" i="32"/>
  <c r="F9" i="32"/>
  <c r="B9" i="32"/>
  <c r="E9" i="32"/>
  <c r="H9" i="32"/>
  <c r="D9" i="32"/>
  <c r="G9" i="32"/>
  <c r="C9" i="32"/>
  <c r="F11" i="32"/>
  <c r="B11" i="32"/>
  <c r="E11" i="32"/>
  <c r="H11" i="32"/>
  <c r="D11" i="32"/>
  <c r="G11" i="32"/>
  <c r="C11" i="32"/>
  <c r="F3" i="32"/>
  <c r="F2" i="32" s="1"/>
  <c r="B3" i="32"/>
  <c r="E3" i="32"/>
  <c r="E2" i="32" s="1"/>
  <c r="H3" i="32"/>
  <c r="H2" i="32" s="1"/>
  <c r="D3" i="32"/>
  <c r="D2" i="32" s="1"/>
  <c r="G3" i="32"/>
  <c r="G2" i="32" s="1"/>
  <c r="C3" i="32"/>
  <c r="C2" i="32" s="1"/>
  <c r="G3" i="31"/>
  <c r="G2" i="31" s="1"/>
  <c r="C3" i="31"/>
  <c r="C2" i="31" s="1"/>
  <c r="D3" i="31"/>
  <c r="D2" i="31" s="1"/>
  <c r="H3" i="31"/>
  <c r="H2" i="31" s="1"/>
  <c r="B3" i="31"/>
  <c r="F3" i="31"/>
  <c r="F2" i="31" s="1"/>
  <c r="E3" i="31"/>
  <c r="E2" i="31" s="1"/>
  <c r="C13" i="31"/>
  <c r="B13" i="31"/>
  <c r="G9" i="31"/>
  <c r="C9" i="31"/>
  <c r="B9" i="31"/>
  <c r="F9" i="31"/>
  <c r="E9" i="31"/>
  <c r="D9" i="31"/>
  <c r="H9" i="31"/>
  <c r="G7" i="31"/>
  <c r="C7" i="31"/>
  <c r="D7" i="31"/>
  <c r="H7" i="31"/>
  <c r="B7" i="31"/>
  <c r="F7" i="31"/>
  <c r="E7" i="31"/>
  <c r="G11" i="31"/>
  <c r="C11" i="31"/>
  <c r="E11" i="31"/>
  <c r="D11" i="31"/>
  <c r="H11" i="31"/>
  <c r="B11" i="31"/>
  <c r="F11" i="31"/>
  <c r="G5" i="31"/>
  <c r="C5" i="31"/>
  <c r="B5" i="31"/>
  <c r="H5" i="31"/>
  <c r="F5" i="31"/>
  <c r="E5" i="31"/>
  <c r="D5" i="31"/>
  <c r="G3" i="30"/>
  <c r="G2" i="30" s="1"/>
  <c r="C3" i="30"/>
  <c r="C2" i="30" s="1"/>
  <c r="B3" i="30"/>
  <c r="F3" i="30"/>
  <c r="F2" i="30" s="1"/>
  <c r="E3" i="30"/>
  <c r="E2" i="30" s="1"/>
  <c r="D3" i="30"/>
  <c r="D2" i="30" s="1"/>
  <c r="H3" i="30"/>
  <c r="H2" i="30" s="1"/>
  <c r="G9" i="30"/>
  <c r="C9" i="30"/>
  <c r="D9" i="30"/>
  <c r="H9" i="30"/>
  <c r="B9" i="30"/>
  <c r="F9" i="30"/>
  <c r="E9" i="30"/>
  <c r="G7" i="30"/>
  <c r="C7" i="30"/>
  <c r="F7" i="30"/>
  <c r="H7" i="30"/>
  <c r="E7" i="30"/>
  <c r="D7" i="30"/>
  <c r="B7" i="30"/>
  <c r="C13" i="30"/>
  <c r="B13" i="30"/>
  <c r="G11" i="30"/>
  <c r="C11" i="30"/>
  <c r="B11" i="30"/>
  <c r="F11" i="30"/>
  <c r="E11" i="30"/>
  <c r="D11" i="30"/>
  <c r="H11" i="30"/>
  <c r="G5" i="30"/>
  <c r="C5" i="30"/>
  <c r="D5" i="30"/>
  <c r="E5" i="30"/>
  <c r="H5" i="30"/>
  <c r="B5" i="30"/>
  <c r="F5" i="30"/>
  <c r="H7" i="29"/>
  <c r="D7" i="29"/>
  <c r="G7" i="29"/>
  <c r="C7" i="29"/>
  <c r="F7" i="29"/>
  <c r="B7" i="29"/>
  <c r="E7" i="29"/>
  <c r="C13" i="29"/>
  <c r="B13" i="29"/>
  <c r="H3" i="29"/>
  <c r="H2" i="29" s="1"/>
  <c r="D3" i="29"/>
  <c r="D2" i="29" s="1"/>
  <c r="G3" i="29"/>
  <c r="G2" i="29" s="1"/>
  <c r="C3" i="29"/>
  <c r="C2" i="29" s="1"/>
  <c r="F3" i="29"/>
  <c r="F2" i="29" s="1"/>
  <c r="B3" i="29"/>
  <c r="E3" i="29"/>
  <c r="E2" i="29" s="1"/>
  <c r="H5" i="29"/>
  <c r="D5" i="29"/>
  <c r="G5" i="29"/>
  <c r="C5" i="29"/>
  <c r="F5" i="29"/>
  <c r="B5" i="29"/>
  <c r="E5" i="29"/>
  <c r="H11" i="29"/>
  <c r="D11" i="29"/>
  <c r="G11" i="29"/>
  <c r="C11" i="29"/>
  <c r="F11" i="29"/>
  <c r="B11" i="29"/>
  <c r="E11" i="29"/>
  <c r="H9" i="29"/>
  <c r="D9" i="29"/>
  <c r="G9" i="29"/>
  <c r="C9" i="29"/>
  <c r="F9" i="29"/>
  <c r="B9" i="29"/>
  <c r="E9" i="29"/>
  <c r="H3" i="28"/>
  <c r="H2" i="28" s="1"/>
  <c r="D3" i="28"/>
  <c r="D2" i="28" s="1"/>
  <c r="G3" i="28"/>
  <c r="G2" i="28" s="1"/>
  <c r="C3" i="28"/>
  <c r="C2" i="28" s="1"/>
  <c r="B3" i="28"/>
  <c r="F3" i="28"/>
  <c r="F2" i="28" s="1"/>
  <c r="E3" i="28"/>
  <c r="E2" i="28" s="1"/>
  <c r="H11" i="28"/>
  <c r="D11" i="28"/>
  <c r="G11" i="28"/>
  <c r="C11" i="28"/>
  <c r="B11" i="28"/>
  <c r="F11" i="28"/>
  <c r="E11" i="28"/>
  <c r="H5" i="28"/>
  <c r="D5" i="28"/>
  <c r="G5" i="28"/>
  <c r="C5" i="28"/>
  <c r="B5" i="28"/>
  <c r="F5" i="28"/>
  <c r="E5" i="28"/>
  <c r="C13" i="28"/>
  <c r="B13" i="28"/>
  <c r="H9" i="28"/>
  <c r="D9" i="28"/>
  <c r="G9" i="28"/>
  <c r="C9" i="28"/>
  <c r="B9" i="28"/>
  <c r="F9" i="28"/>
  <c r="E9" i="28"/>
  <c r="H7" i="28"/>
  <c r="D7" i="28"/>
  <c r="G7" i="28"/>
  <c r="C7" i="28"/>
  <c r="B7" i="28"/>
  <c r="F7" i="28"/>
  <c r="E7" i="28"/>
  <c r="F3" i="27"/>
  <c r="F2" i="27" s="1"/>
  <c r="B3" i="27"/>
  <c r="E3" i="27"/>
  <c r="E2" i="27" s="1"/>
  <c r="C3" i="27"/>
  <c r="C2" i="27" s="1"/>
  <c r="H3" i="27"/>
  <c r="H2" i="27" s="1"/>
  <c r="G3" i="27"/>
  <c r="G2" i="27" s="1"/>
  <c r="D3" i="27"/>
  <c r="D2" i="27" s="1"/>
  <c r="F11" i="27"/>
  <c r="B11" i="27"/>
  <c r="E11" i="27"/>
  <c r="C11" i="27"/>
  <c r="H11" i="27"/>
  <c r="G11" i="27"/>
  <c r="D11" i="27"/>
  <c r="F9" i="27"/>
  <c r="B9" i="27"/>
  <c r="E9" i="27"/>
  <c r="C9" i="27"/>
  <c r="H9" i="27"/>
  <c r="G9" i="27"/>
  <c r="D9" i="27"/>
  <c r="F5" i="27"/>
  <c r="B5" i="27"/>
  <c r="E5" i="27"/>
  <c r="C5" i="27"/>
  <c r="H5" i="27"/>
  <c r="G5" i="27"/>
  <c r="D5" i="27"/>
  <c r="B13" i="27"/>
  <c r="C13" i="27"/>
  <c r="F7" i="27"/>
  <c r="B7" i="27"/>
  <c r="E7" i="27"/>
  <c r="C7" i="27"/>
  <c r="H7" i="27"/>
  <c r="G7" i="27"/>
  <c r="D7" i="27"/>
  <c r="G5" i="26"/>
  <c r="C5" i="26"/>
  <c r="D5" i="26"/>
  <c r="F5" i="26"/>
  <c r="B5" i="26"/>
  <c r="E5" i="26"/>
  <c r="H5" i="26"/>
  <c r="G3" i="26"/>
  <c r="G2" i="26" s="1"/>
  <c r="C3" i="26"/>
  <c r="C2" i="26" s="1"/>
  <c r="E3" i="26"/>
  <c r="E2" i="26" s="1"/>
  <c r="F3" i="26"/>
  <c r="F2" i="26" s="1"/>
  <c r="B3" i="26"/>
  <c r="H3" i="26"/>
  <c r="H2" i="26" s="1"/>
  <c r="D3" i="26"/>
  <c r="D2" i="26" s="1"/>
  <c r="D9" i="26"/>
  <c r="G9" i="26"/>
  <c r="C9" i="26"/>
  <c r="H9" i="26"/>
  <c r="F9" i="26"/>
  <c r="B9" i="26"/>
  <c r="E9" i="26"/>
  <c r="G7" i="26"/>
  <c r="C7" i="26"/>
  <c r="D7" i="26"/>
  <c r="F7" i="26"/>
  <c r="B7" i="26"/>
  <c r="E7" i="26"/>
  <c r="H7" i="26"/>
  <c r="C13" i="26"/>
  <c r="B13" i="26"/>
  <c r="G11" i="26"/>
  <c r="C11" i="26"/>
  <c r="E11" i="26"/>
  <c r="F11" i="26"/>
  <c r="B11" i="26"/>
  <c r="H11" i="26"/>
  <c r="D11" i="26"/>
  <c r="B13" i="25"/>
  <c r="C13" i="25"/>
  <c r="H11" i="25"/>
  <c r="D11" i="25"/>
  <c r="F11" i="25"/>
  <c r="B11" i="25"/>
  <c r="E11" i="25"/>
  <c r="G11" i="25"/>
  <c r="C11" i="25"/>
  <c r="H9" i="25"/>
  <c r="D9" i="25"/>
  <c r="F9" i="25"/>
  <c r="B9" i="25"/>
  <c r="E9" i="25"/>
  <c r="C9" i="25"/>
  <c r="G9" i="25"/>
  <c r="H3" i="25"/>
  <c r="H2" i="25" s="1"/>
  <c r="D3" i="25"/>
  <c r="D2" i="25" s="1"/>
  <c r="F3" i="25"/>
  <c r="F2" i="25" s="1"/>
  <c r="B3" i="25"/>
  <c r="E3" i="25"/>
  <c r="E2" i="25" s="1"/>
  <c r="C3" i="25"/>
  <c r="C2" i="25" s="1"/>
  <c r="G3" i="25"/>
  <c r="G2" i="25" s="1"/>
  <c r="H5" i="25"/>
  <c r="D5" i="25"/>
  <c r="F5" i="25"/>
  <c r="B5" i="25"/>
  <c r="E5" i="25"/>
  <c r="G5" i="25"/>
  <c r="C5" i="25"/>
  <c r="H7" i="25"/>
  <c r="D7" i="25"/>
  <c r="F7" i="25"/>
  <c r="B7" i="25"/>
  <c r="G7" i="25"/>
  <c r="E7" i="25"/>
  <c r="C7" i="25"/>
  <c r="G7" i="24"/>
  <c r="C7" i="24"/>
  <c r="F7" i="24"/>
  <c r="B7" i="24"/>
  <c r="H7" i="24"/>
  <c r="E7" i="24"/>
  <c r="D7" i="24"/>
  <c r="G9" i="24"/>
  <c r="C9" i="24"/>
  <c r="F9" i="24"/>
  <c r="B9" i="24"/>
  <c r="E9" i="24"/>
  <c r="D9" i="24"/>
  <c r="H9" i="24"/>
  <c r="G3" i="24"/>
  <c r="G2" i="24" s="1"/>
  <c r="C3" i="24"/>
  <c r="C2" i="24" s="1"/>
  <c r="F3" i="24"/>
  <c r="F2" i="24" s="1"/>
  <c r="B3" i="24"/>
  <c r="D3" i="24"/>
  <c r="D2" i="24" s="1"/>
  <c r="H3" i="24"/>
  <c r="H2" i="24" s="1"/>
  <c r="E3" i="24"/>
  <c r="E2" i="24" s="1"/>
  <c r="G11" i="24"/>
  <c r="C11" i="24"/>
  <c r="F11" i="24"/>
  <c r="B11" i="24"/>
  <c r="E11" i="24"/>
  <c r="D11" i="24"/>
  <c r="H11" i="24"/>
  <c r="G5" i="24"/>
  <c r="C5" i="24"/>
  <c r="F5" i="24"/>
  <c r="B5" i="24"/>
  <c r="E5" i="24"/>
  <c r="D5" i="24"/>
  <c r="H5" i="24"/>
  <c r="C13" i="24"/>
  <c r="B13" i="24"/>
  <c r="G3" i="23"/>
  <c r="G2" i="23" s="1"/>
  <c r="C3" i="23"/>
  <c r="C2" i="23" s="1"/>
  <c r="F3" i="23"/>
  <c r="F2" i="23" s="1"/>
  <c r="B3" i="23"/>
  <c r="E3" i="23"/>
  <c r="E2" i="23" s="1"/>
  <c r="D3" i="23"/>
  <c r="D2" i="23" s="1"/>
  <c r="H3" i="23"/>
  <c r="H2" i="23" s="1"/>
  <c r="G11" i="23"/>
  <c r="C11" i="23"/>
  <c r="F11" i="23"/>
  <c r="B11" i="23"/>
  <c r="E11" i="23"/>
  <c r="D11" i="23"/>
  <c r="H11" i="23"/>
  <c r="G9" i="23"/>
  <c r="C9" i="23"/>
  <c r="F9" i="23"/>
  <c r="B9" i="23"/>
  <c r="E9" i="23"/>
  <c r="H9" i="23"/>
  <c r="D9" i="23"/>
  <c r="G5" i="23"/>
  <c r="C5" i="23"/>
  <c r="B5" i="23"/>
  <c r="F5" i="23"/>
  <c r="E5" i="23"/>
  <c r="H5" i="23"/>
  <c r="D5" i="23"/>
  <c r="C13" i="23"/>
  <c r="B13" i="23"/>
  <c r="G7" i="23"/>
  <c r="C7" i="23"/>
  <c r="F7" i="23"/>
  <c r="B7" i="23"/>
  <c r="E7" i="23"/>
  <c r="D7" i="23"/>
  <c r="H7" i="23"/>
  <c r="F11" i="22"/>
  <c r="B11" i="22"/>
  <c r="E11" i="22"/>
  <c r="D11" i="22"/>
  <c r="C11" i="22"/>
  <c r="H11" i="22"/>
  <c r="G11" i="22"/>
  <c r="F5" i="22"/>
  <c r="B5" i="22"/>
  <c r="E5" i="22"/>
  <c r="D5" i="22"/>
  <c r="C5" i="22"/>
  <c r="H5" i="22"/>
  <c r="G5" i="22"/>
  <c r="B13" i="22"/>
  <c r="C13" i="22"/>
  <c r="F7" i="22"/>
  <c r="B7" i="22"/>
  <c r="E7" i="22"/>
  <c r="D7" i="22"/>
  <c r="C7" i="22"/>
  <c r="H7" i="22"/>
  <c r="G7" i="22"/>
  <c r="F9" i="22"/>
  <c r="B9" i="22"/>
  <c r="E9" i="22"/>
  <c r="D9" i="22"/>
  <c r="C9" i="22"/>
  <c r="H9" i="22"/>
  <c r="G9" i="22"/>
  <c r="F3" i="22"/>
  <c r="F2" i="22" s="1"/>
  <c r="B3" i="22"/>
  <c r="E3" i="22"/>
  <c r="E2" i="22" s="1"/>
  <c r="D3" i="22"/>
  <c r="D2" i="22" s="1"/>
  <c r="C3" i="22"/>
  <c r="C2" i="22" s="1"/>
  <c r="H3" i="22"/>
  <c r="H2" i="22" s="1"/>
  <c r="G3" i="22"/>
  <c r="G2" i="22" s="1"/>
  <c r="G3" i="21"/>
  <c r="G2" i="21" s="1"/>
  <c r="C3" i="21"/>
  <c r="C2" i="21" s="1"/>
  <c r="F3" i="21"/>
  <c r="F2" i="21" s="1"/>
  <c r="B3" i="21"/>
  <c r="E3" i="21"/>
  <c r="E2" i="21" s="1"/>
  <c r="H3" i="21"/>
  <c r="H2" i="21" s="1"/>
  <c r="D3" i="21"/>
  <c r="D2" i="21" s="1"/>
  <c r="G11" i="21"/>
  <c r="C11" i="21"/>
  <c r="F11" i="21"/>
  <c r="B11" i="21"/>
  <c r="E11" i="21"/>
  <c r="H11" i="21"/>
  <c r="D11" i="21"/>
  <c r="G9" i="21"/>
  <c r="C9" i="21"/>
  <c r="F9" i="21"/>
  <c r="B9" i="21"/>
  <c r="E9" i="21"/>
  <c r="H9" i="21"/>
  <c r="D9" i="21"/>
  <c r="G5" i="21"/>
  <c r="C5" i="21"/>
  <c r="F5" i="21"/>
  <c r="B5" i="21"/>
  <c r="E5" i="21"/>
  <c r="H5" i="21"/>
  <c r="D5" i="21"/>
  <c r="C13" i="21"/>
  <c r="B13" i="21"/>
  <c r="G7" i="21"/>
  <c r="C7" i="21"/>
  <c r="F7" i="21"/>
  <c r="B7" i="21"/>
  <c r="E7" i="21"/>
  <c r="H7" i="21"/>
  <c r="D7" i="21"/>
  <c r="H3" i="20"/>
  <c r="H2" i="20" s="1"/>
  <c r="D3" i="20"/>
  <c r="D2" i="20" s="1"/>
  <c r="G3" i="20"/>
  <c r="G2" i="20" s="1"/>
  <c r="C3" i="20"/>
  <c r="C2" i="20" s="1"/>
  <c r="F3" i="20"/>
  <c r="F2" i="20" s="1"/>
  <c r="E3" i="20"/>
  <c r="E2" i="20" s="1"/>
  <c r="B3" i="20"/>
  <c r="H11" i="20"/>
  <c r="D11" i="20"/>
  <c r="G11" i="20"/>
  <c r="C11" i="20"/>
  <c r="E11" i="20"/>
  <c r="B11" i="20"/>
  <c r="F11" i="20"/>
  <c r="H9" i="20"/>
  <c r="D9" i="20"/>
  <c r="G9" i="20"/>
  <c r="C9" i="20"/>
  <c r="E9" i="20"/>
  <c r="B9" i="20"/>
  <c r="F9" i="20"/>
  <c r="H5" i="20"/>
  <c r="D5" i="20"/>
  <c r="G5" i="20"/>
  <c r="C5" i="20"/>
  <c r="E5" i="20"/>
  <c r="B5" i="20"/>
  <c r="F5" i="20"/>
  <c r="C13" i="20"/>
  <c r="B13" i="20"/>
  <c r="H7" i="20"/>
  <c r="D7" i="20"/>
  <c r="G7" i="20"/>
  <c r="C7" i="20"/>
  <c r="E7" i="20"/>
  <c r="F7" i="20"/>
  <c r="B7" i="20"/>
  <c r="G3" i="19"/>
  <c r="G2" i="19" s="1"/>
  <c r="C3" i="19"/>
  <c r="C2" i="19" s="1"/>
  <c r="F3" i="19"/>
  <c r="F2" i="19" s="1"/>
  <c r="B3" i="19"/>
  <c r="E3" i="19"/>
  <c r="E2" i="19" s="1"/>
  <c r="D3" i="19"/>
  <c r="D2" i="19" s="1"/>
  <c r="H3" i="19"/>
  <c r="H2" i="19" s="1"/>
  <c r="G5" i="19"/>
  <c r="C5" i="19"/>
  <c r="F5" i="19"/>
  <c r="B5" i="19"/>
  <c r="E5" i="19"/>
  <c r="D5" i="19"/>
  <c r="H5" i="19"/>
  <c r="C13" i="19"/>
  <c r="B13" i="19"/>
  <c r="G11" i="19"/>
  <c r="C11" i="19"/>
  <c r="F11" i="19"/>
  <c r="B11" i="19"/>
  <c r="E11" i="19"/>
  <c r="D11" i="19"/>
  <c r="H11" i="19"/>
  <c r="G7" i="19"/>
  <c r="C7" i="19"/>
  <c r="F7" i="19"/>
  <c r="B7" i="19"/>
  <c r="E7" i="19"/>
  <c r="H7" i="19"/>
  <c r="D7" i="19"/>
  <c r="G9" i="19"/>
  <c r="C9" i="19"/>
  <c r="F9" i="19"/>
  <c r="B9" i="19"/>
  <c r="E9" i="19"/>
  <c r="D9" i="19"/>
  <c r="H9" i="19"/>
  <c r="H3" i="18"/>
  <c r="H2" i="18" s="1"/>
  <c r="D3" i="18"/>
  <c r="D2" i="18" s="1"/>
  <c r="G3" i="18"/>
  <c r="G2" i="18" s="1"/>
  <c r="C3" i="18"/>
  <c r="C2" i="18" s="1"/>
  <c r="F3" i="18"/>
  <c r="F2" i="18" s="1"/>
  <c r="B3" i="18"/>
  <c r="E3" i="18"/>
  <c r="E2" i="18" s="1"/>
  <c r="H9" i="18"/>
  <c r="D9" i="18"/>
  <c r="G9" i="18"/>
  <c r="C9" i="18"/>
  <c r="F9" i="18"/>
  <c r="B9" i="18"/>
  <c r="E9" i="18"/>
  <c r="H7" i="18"/>
  <c r="D7" i="18"/>
  <c r="G7" i="18"/>
  <c r="C7" i="18"/>
  <c r="E7" i="18"/>
  <c r="F7" i="18"/>
  <c r="B7" i="18"/>
  <c r="H11" i="18"/>
  <c r="D11" i="18"/>
  <c r="E11" i="18"/>
  <c r="G11" i="18"/>
  <c r="C11" i="18"/>
  <c r="F11" i="18"/>
  <c r="B11" i="18"/>
  <c r="C13" i="18"/>
  <c r="B13" i="18"/>
  <c r="H5" i="18"/>
  <c r="D5" i="18"/>
  <c r="G5" i="18"/>
  <c r="C5" i="18"/>
  <c r="E5" i="18"/>
  <c r="F5" i="18"/>
  <c r="B5" i="18"/>
  <c r="H9" i="17"/>
  <c r="D9" i="17"/>
  <c r="G9" i="17"/>
  <c r="B9" i="17"/>
  <c r="E9" i="17"/>
  <c r="F9" i="17"/>
  <c r="C9" i="17"/>
  <c r="H7" i="17"/>
  <c r="D7" i="17"/>
  <c r="E7" i="17"/>
  <c r="B7" i="17"/>
  <c r="C7" i="17"/>
  <c r="G7" i="17"/>
  <c r="F7" i="17"/>
  <c r="B13" i="17"/>
  <c r="C13" i="17"/>
  <c r="H11" i="17"/>
  <c r="D11" i="17"/>
  <c r="E11" i="17"/>
  <c r="G11" i="17"/>
  <c r="B11" i="17"/>
  <c r="F11" i="17"/>
  <c r="C11" i="17"/>
  <c r="H3" i="17"/>
  <c r="H2" i="17" s="1"/>
  <c r="D3" i="17"/>
  <c r="D2" i="17" s="1"/>
  <c r="E3" i="17"/>
  <c r="E2" i="17" s="1"/>
  <c r="B3" i="17"/>
  <c r="F3" i="17"/>
  <c r="F2" i="17" s="1"/>
  <c r="C3" i="17"/>
  <c r="C2" i="17" s="1"/>
  <c r="G3" i="17"/>
  <c r="G2" i="17" s="1"/>
  <c r="H5" i="17"/>
  <c r="D5" i="17"/>
  <c r="G5" i="17"/>
  <c r="B5" i="17"/>
  <c r="E5" i="17"/>
  <c r="C5" i="17"/>
  <c r="F5" i="17"/>
  <c r="H3" i="16"/>
  <c r="H2" i="16" s="1"/>
  <c r="D3" i="16"/>
  <c r="D2" i="16" s="1"/>
  <c r="E3" i="16"/>
  <c r="E2" i="16" s="1"/>
  <c r="C3" i="16"/>
  <c r="C2" i="16" s="1"/>
  <c r="G3" i="16"/>
  <c r="G2" i="16" s="1"/>
  <c r="B3" i="16"/>
  <c r="F3" i="16"/>
  <c r="F2" i="16" s="1"/>
  <c r="H5" i="16"/>
  <c r="D5" i="16"/>
  <c r="G5" i="16"/>
  <c r="B5" i="16"/>
  <c r="F5" i="16"/>
  <c r="E5" i="16"/>
  <c r="C5" i="16"/>
  <c r="H11" i="16"/>
  <c r="D11" i="16"/>
  <c r="E11" i="16"/>
  <c r="C11" i="16"/>
  <c r="G11" i="16"/>
  <c r="B11" i="16"/>
  <c r="F11" i="16"/>
  <c r="H9" i="16"/>
  <c r="D9" i="16"/>
  <c r="G9" i="16"/>
  <c r="B9" i="16"/>
  <c r="F9" i="16"/>
  <c r="E9" i="16"/>
  <c r="C9" i="16"/>
  <c r="H7" i="16"/>
  <c r="D7" i="16"/>
  <c r="E7" i="16"/>
  <c r="C7" i="16"/>
  <c r="G7" i="16"/>
  <c r="B7" i="16"/>
  <c r="F7" i="16"/>
  <c r="B13" i="16"/>
  <c r="C13" i="16"/>
  <c r="G3" i="15"/>
  <c r="G2" i="15" s="1"/>
  <c r="C3" i="15"/>
  <c r="C2" i="15" s="1"/>
  <c r="B3" i="15"/>
  <c r="D3" i="15"/>
  <c r="D2" i="15" s="1"/>
  <c r="F3" i="15"/>
  <c r="F2" i="15" s="1"/>
  <c r="H3" i="15"/>
  <c r="H2" i="15" s="1"/>
  <c r="E3" i="15"/>
  <c r="E2" i="15" s="1"/>
  <c r="G11" i="15"/>
  <c r="C11" i="15"/>
  <c r="F11" i="15"/>
  <c r="B11" i="15"/>
  <c r="E11" i="15"/>
  <c r="H11" i="15"/>
  <c r="D11" i="15"/>
  <c r="G5" i="15"/>
  <c r="C5" i="15"/>
  <c r="F5" i="15"/>
  <c r="B5" i="15"/>
  <c r="H5" i="15"/>
  <c r="E5" i="15"/>
  <c r="D5" i="15"/>
  <c r="C13" i="15"/>
  <c r="B13" i="15"/>
  <c r="G7" i="15"/>
  <c r="C7" i="15"/>
  <c r="F7" i="15"/>
  <c r="B7" i="15"/>
  <c r="H7" i="15"/>
  <c r="E7" i="15"/>
  <c r="D7" i="15"/>
  <c r="G9" i="15"/>
  <c r="C9" i="15"/>
  <c r="F9" i="15"/>
  <c r="B9" i="15"/>
  <c r="E9" i="15"/>
  <c r="H9" i="15"/>
  <c r="D9" i="15"/>
  <c r="B3" i="14" a="1"/>
  <c r="B3" i="14" s="1"/>
  <c r="B5" i="14" a="1"/>
  <c r="H5" i="14" s="1"/>
  <c r="B7" i="14" a="1"/>
  <c r="E7" i="14" s="1"/>
  <c r="B9" i="14" a="1"/>
  <c r="G9" i="14" s="1"/>
  <c r="B11" i="14" a="1"/>
  <c r="G11" i="14" s="1"/>
  <c r="B13" i="14" a="1"/>
  <c r="B13" i="14" s="1"/>
  <c r="C15" i="14"/>
  <c r="B25" i="15" s="1" a="1"/>
  <c r="A19" i="58" l="1" a="1"/>
  <c r="A25" i="58" a="1"/>
  <c r="A29" i="58"/>
  <c r="A21" i="58" a="1"/>
  <c r="A23" i="58" a="1"/>
  <c r="B29" i="58"/>
  <c r="A27" i="58" a="1"/>
  <c r="A17" i="58" a="1"/>
  <c r="B29" i="57"/>
  <c r="A29" i="57"/>
  <c r="A25" i="57" a="1"/>
  <c r="A19" i="57" a="1"/>
  <c r="A21" i="57" a="1"/>
  <c r="A17" i="57" a="1"/>
  <c r="A23" i="57" a="1"/>
  <c r="A27" i="57" a="1"/>
  <c r="A27" i="56" a="1"/>
  <c r="A27" i="56" s="1"/>
  <c r="B29" i="56"/>
  <c r="A23" i="56" a="1"/>
  <c r="A17" i="56" a="1"/>
  <c r="A19" i="56" a="1"/>
  <c r="A25" i="56" a="1"/>
  <c r="A21" i="56" a="1"/>
  <c r="A29" i="56"/>
  <c r="A27" i="55" a="1"/>
  <c r="A27" i="55" s="1"/>
  <c r="A25" i="55" a="1"/>
  <c r="E25" i="55" s="1"/>
  <c r="A21" i="55" a="1"/>
  <c r="B29" i="55"/>
  <c r="A19" i="55" a="1"/>
  <c r="A29" i="55"/>
  <c r="A23" i="55" a="1"/>
  <c r="A17" i="55" a="1"/>
  <c r="A19" i="54" a="1"/>
  <c r="C19" i="54" s="1"/>
  <c r="B29" i="54"/>
  <c r="A23" i="54" a="1"/>
  <c r="A27" i="54" a="1"/>
  <c r="A17" i="54" a="1"/>
  <c r="A21" i="54" a="1"/>
  <c r="A25" i="54" a="1"/>
  <c r="A29" i="54"/>
  <c r="A17" i="53" a="1"/>
  <c r="A17" i="53" s="1"/>
  <c r="A16" i="53" s="1"/>
  <c r="A25" i="53" a="1"/>
  <c r="F25" i="53" s="1"/>
  <c r="A19" i="53" a="1"/>
  <c r="A27" i="53" a="1"/>
  <c r="A29" i="53"/>
  <c r="A21" i="53" a="1"/>
  <c r="B29" i="53"/>
  <c r="A23" i="53" a="1"/>
  <c r="A23" i="52" a="1"/>
  <c r="A29" i="52"/>
  <c r="A17" i="52" a="1"/>
  <c r="A25" i="52" a="1"/>
  <c r="A19" i="52" a="1"/>
  <c r="A27" i="52" a="1"/>
  <c r="A21" i="52" a="1"/>
  <c r="B29" i="52"/>
  <c r="B29" i="51"/>
  <c r="B17" i="51" a="1"/>
  <c r="H17" i="51" s="1"/>
  <c r="H16" i="51" s="1"/>
  <c r="B19" i="51" a="1"/>
  <c r="B21" i="51" a="1"/>
  <c r="B23" i="51" a="1"/>
  <c r="B25" i="51" a="1"/>
  <c r="B27" i="51" a="1"/>
  <c r="C29" i="51"/>
  <c r="A27" i="50" a="1"/>
  <c r="A27" i="50" s="1"/>
  <c r="A23" i="50" a="1"/>
  <c r="C23" i="50" s="1"/>
  <c r="A17" i="50" a="1"/>
  <c r="A25" i="50" a="1"/>
  <c r="A29" i="50"/>
  <c r="A19" i="50" a="1"/>
  <c r="B29" i="50"/>
  <c r="A21" i="50" a="1"/>
  <c r="A25" i="49" a="1"/>
  <c r="F25" i="49" s="1"/>
  <c r="A19" i="49" a="1"/>
  <c r="B19" i="49" s="1"/>
  <c r="A27" i="49" a="1"/>
  <c r="B29" i="49"/>
  <c r="A21" i="49" a="1"/>
  <c r="A29" i="49"/>
  <c r="A23" i="49" a="1"/>
  <c r="A17" i="49" a="1"/>
  <c r="B21" i="48" a="1"/>
  <c r="B23" i="48" a="1"/>
  <c r="B17" i="48" a="1"/>
  <c r="B25" i="48" a="1"/>
  <c r="B27" i="48" a="1"/>
  <c r="C29" i="48"/>
  <c r="B19" i="48" a="1"/>
  <c r="B29" i="48"/>
  <c r="B29" i="47"/>
  <c r="B23" i="47" a="1"/>
  <c r="B17" i="47" a="1"/>
  <c r="B19" i="47" a="1"/>
  <c r="B27" i="47" a="1"/>
  <c r="B21" i="47" a="1"/>
  <c r="B25" i="47" a="1"/>
  <c r="C29" i="47"/>
  <c r="B23" i="46" a="1"/>
  <c r="G23" i="46" s="1"/>
  <c r="B19" i="46" a="1"/>
  <c r="B19" i="46" s="1"/>
  <c r="C29" i="46"/>
  <c r="B21" i="46" a="1"/>
  <c r="B27" i="46" a="1"/>
  <c r="B17" i="46" a="1"/>
  <c r="B25" i="46" a="1"/>
  <c r="B29" i="46"/>
  <c r="B29" i="45"/>
  <c r="B23" i="45" a="1"/>
  <c r="C29" i="45"/>
  <c r="B19" i="45" a="1"/>
  <c r="B27" i="45" a="1"/>
  <c r="B21" i="45" a="1"/>
  <c r="B17" i="45" a="1"/>
  <c r="B25" i="45" a="1"/>
  <c r="B27" i="43" a="1"/>
  <c r="B21" i="43" a="1"/>
  <c r="B29" i="43"/>
  <c r="C29" i="43"/>
  <c r="B23" i="43" a="1"/>
  <c r="B19" i="43" a="1"/>
  <c r="B17" i="43" a="1"/>
  <c r="B25" i="43" a="1"/>
  <c r="B27" i="42" a="1"/>
  <c r="B21" i="42" a="1"/>
  <c r="B29" i="42"/>
  <c r="C29" i="42"/>
  <c r="B19" i="42" a="1"/>
  <c r="B25" i="42" a="1"/>
  <c r="B23" i="42" a="1"/>
  <c r="B17" i="42" a="1"/>
  <c r="B19" i="41" a="1"/>
  <c r="F19" i="41" s="1"/>
  <c r="B27" i="41" a="1"/>
  <c r="C27" i="41" s="1"/>
  <c r="B21" i="41" a="1"/>
  <c r="C29" i="41"/>
  <c r="B29" i="41"/>
  <c r="B23" i="41" a="1"/>
  <c r="B17" i="41" a="1"/>
  <c r="B25" i="41" a="1"/>
  <c r="B17" i="40" a="1"/>
  <c r="B25" i="40" a="1"/>
  <c r="B29" i="40"/>
  <c r="B23" i="40" a="1"/>
  <c r="B21" i="40" a="1"/>
  <c r="C29" i="40"/>
  <c r="B27" i="40" a="1"/>
  <c r="B19" i="40" a="1"/>
  <c r="C29" i="39"/>
  <c r="B23" i="39" a="1"/>
  <c r="B27" i="39" a="1"/>
  <c r="B19" i="39" a="1"/>
  <c r="B17" i="39" a="1"/>
  <c r="B29" i="39"/>
  <c r="B21" i="39" a="1"/>
  <c r="B25" i="39" a="1"/>
  <c r="B17" i="37" a="1"/>
  <c r="E17" i="37" s="1"/>
  <c r="E16" i="37" s="1"/>
  <c r="B19" i="38" a="1"/>
  <c r="C29" i="38"/>
  <c r="B21" i="38" a="1"/>
  <c r="B29" i="38"/>
  <c r="B27" i="38" a="1"/>
  <c r="B23" i="38" a="1"/>
  <c r="B17" i="38" a="1"/>
  <c r="B25" i="38" a="1"/>
  <c r="B25" i="37" a="1"/>
  <c r="F25" i="37" s="1"/>
  <c r="B21" i="36" a="1"/>
  <c r="G21" i="36" s="1"/>
  <c r="B19" i="37" a="1"/>
  <c r="B29" i="37"/>
  <c r="C29" i="37"/>
  <c r="B21" i="37" a="1"/>
  <c r="B27" i="37" a="1"/>
  <c r="B23" i="37" a="1"/>
  <c r="C29" i="36"/>
  <c r="B23" i="36" a="1"/>
  <c r="B29" i="36"/>
  <c r="B17" i="36" a="1"/>
  <c r="B25" i="36" a="1"/>
  <c r="B19" i="36" a="1"/>
  <c r="B27" i="36" a="1"/>
  <c r="B21" i="35" a="1"/>
  <c r="B23" i="35" a="1"/>
  <c r="B17" i="35" a="1"/>
  <c r="B27" i="35" a="1"/>
  <c r="C29" i="35"/>
  <c r="B25" i="35" a="1"/>
  <c r="B29" i="35"/>
  <c r="B19" i="35" a="1"/>
  <c r="B21" i="34" a="1"/>
  <c r="C29" i="34"/>
  <c r="B21" i="33" a="1"/>
  <c r="B21" i="33" s="1"/>
  <c r="B19" i="34" a="1"/>
  <c r="B27" i="34" a="1"/>
  <c r="B29" i="34"/>
  <c r="B23" i="34" a="1"/>
  <c r="B17" i="34" a="1"/>
  <c r="B25" i="34" a="1"/>
  <c r="C29" i="33"/>
  <c r="C29" i="32"/>
  <c r="B23" i="33" a="1"/>
  <c r="B29" i="33"/>
  <c r="B17" i="33" a="1"/>
  <c r="B25" i="33" a="1"/>
  <c r="B19" i="33" a="1"/>
  <c r="B27" i="33" a="1"/>
  <c r="B19" i="32" a="1"/>
  <c r="E19" i="32" s="1"/>
  <c r="B29" i="32"/>
  <c r="B27" i="32" a="1"/>
  <c r="B21" i="32" a="1"/>
  <c r="B17" i="32" a="1"/>
  <c r="B25" i="32" a="1"/>
  <c r="B23" i="32" a="1"/>
  <c r="B25" i="31" a="1"/>
  <c r="B21" i="31" a="1"/>
  <c r="B23" i="31" a="1"/>
  <c r="C29" i="31"/>
  <c r="B17" i="31" a="1"/>
  <c r="B27" i="31" a="1"/>
  <c r="B19" i="31" a="1"/>
  <c r="B29" i="31"/>
  <c r="B21" i="30" a="1"/>
  <c r="B19" i="30" a="1"/>
  <c r="B21" i="29" a="1"/>
  <c r="D21" i="29" s="1"/>
  <c r="B17" i="30" a="1"/>
  <c r="B27" i="30" a="1"/>
  <c r="B25" i="30" a="1"/>
  <c r="C29" i="30"/>
  <c r="B23" i="30" a="1"/>
  <c r="B29" i="30"/>
  <c r="C29" i="29"/>
  <c r="B17" i="28" a="1"/>
  <c r="C17" i="28" s="1"/>
  <c r="C16" i="28" s="1"/>
  <c r="B23" i="29" a="1"/>
  <c r="B27" i="29" a="1"/>
  <c r="B17" i="29" a="1"/>
  <c r="B25" i="29" a="1"/>
  <c r="B19" i="29" a="1"/>
  <c r="B29" i="29"/>
  <c r="B27" i="28" a="1"/>
  <c r="C27" i="28" s="1"/>
  <c r="B19" i="28" a="1"/>
  <c r="B29" i="28"/>
  <c r="B21" i="28" a="1"/>
  <c r="B23" i="28" a="1"/>
  <c r="B25" i="28" a="1"/>
  <c r="C29" i="28"/>
  <c r="B19" i="27" a="1"/>
  <c r="C29" i="27"/>
  <c r="B21" i="27" a="1"/>
  <c r="B29" i="27"/>
  <c r="B27" i="27" a="1"/>
  <c r="B23" i="27" a="1"/>
  <c r="B17" i="27" a="1"/>
  <c r="B25" i="27" a="1"/>
  <c r="B29" i="26"/>
  <c r="B23" i="26" a="1"/>
  <c r="H23" i="26" s="1"/>
  <c r="B17" i="26" a="1"/>
  <c r="B25" i="26" a="1"/>
  <c r="B19" i="26" a="1"/>
  <c r="B27" i="26" a="1"/>
  <c r="B21" i="26" a="1"/>
  <c r="C29" i="26"/>
  <c r="B21" i="25" a="1"/>
  <c r="B21" i="25" s="1"/>
  <c r="C29" i="25"/>
  <c r="B23" i="25" a="1"/>
  <c r="B29" i="25"/>
  <c r="B17" i="25" a="1"/>
  <c r="B25" i="25" a="1"/>
  <c r="B19" i="25" a="1"/>
  <c r="B27" i="25" a="1"/>
  <c r="B17" i="24" a="1"/>
  <c r="F17" i="24" s="1"/>
  <c r="F16" i="24" s="1"/>
  <c r="B19" i="24" a="1"/>
  <c r="F19" i="24" s="1"/>
  <c r="B21" i="24" a="1"/>
  <c r="B23" i="24" a="1"/>
  <c r="B25" i="24" a="1"/>
  <c r="B27" i="24" a="1"/>
  <c r="B29" i="24"/>
  <c r="C29" i="24"/>
  <c r="B19" i="23" a="1"/>
  <c r="B27" i="23" a="1"/>
  <c r="B21" i="23" a="1"/>
  <c r="C29" i="23"/>
  <c r="B29" i="23"/>
  <c r="B23" i="23" a="1"/>
  <c r="B17" i="23" a="1"/>
  <c r="B25" i="23" a="1"/>
  <c r="B19" i="21" a="1"/>
  <c r="F19" i="21" s="1"/>
  <c r="C29" i="22"/>
  <c r="B29" i="22"/>
  <c r="B23" i="22" a="1"/>
  <c r="B21" i="22" a="1"/>
  <c r="B17" i="22" a="1"/>
  <c r="B25" i="22" a="1"/>
  <c r="B19" i="22" a="1"/>
  <c r="B27" i="22" a="1"/>
  <c r="B27" i="21" a="1"/>
  <c r="B27" i="21" s="1"/>
  <c r="B25" i="20" a="1"/>
  <c r="H25" i="20" s="1"/>
  <c r="B21" i="21" a="1"/>
  <c r="C29" i="21"/>
  <c r="B29" i="21"/>
  <c r="B23" i="21" a="1"/>
  <c r="B17" i="21" a="1"/>
  <c r="B25" i="21" a="1"/>
  <c r="C29" i="20"/>
  <c r="B27" i="20" a="1"/>
  <c r="B29" i="20"/>
  <c r="B19" i="20" a="1"/>
  <c r="B17" i="20" a="1"/>
  <c r="B23" i="18" a="1"/>
  <c r="G23" i="18" s="1"/>
  <c r="B21" i="20" a="1"/>
  <c r="B23" i="20" a="1"/>
  <c r="B19" i="19" a="1"/>
  <c r="B27" i="19" a="1"/>
  <c r="B21" i="19" a="1"/>
  <c r="C29" i="19"/>
  <c r="B29" i="19"/>
  <c r="B23" i="19" a="1"/>
  <c r="B21" i="18" a="1"/>
  <c r="H21" i="18" s="1"/>
  <c r="B17" i="19" a="1"/>
  <c r="B25" i="19" a="1"/>
  <c r="B27" i="18" a="1"/>
  <c r="B29" i="18"/>
  <c r="B19" i="18" a="1"/>
  <c r="C29" i="18"/>
  <c r="B25" i="18" a="1"/>
  <c r="B17" i="18" a="1"/>
  <c r="B19" i="17" a="1"/>
  <c r="B27" i="17" a="1"/>
  <c r="B21" i="17" a="1"/>
  <c r="C29" i="17"/>
  <c r="B29" i="17"/>
  <c r="B23" i="17" a="1"/>
  <c r="B17" i="17" a="1"/>
  <c r="B25" i="17" a="1"/>
  <c r="B17" i="16" a="1"/>
  <c r="C17" i="16" s="1"/>
  <c r="C16" i="16" s="1"/>
  <c r="B25" i="16" a="1"/>
  <c r="G25" i="16" s="1"/>
  <c r="B19" i="16" a="1"/>
  <c r="B27" i="16" a="1"/>
  <c r="B21" i="16" a="1"/>
  <c r="B29" i="16"/>
  <c r="C29" i="16"/>
  <c r="B23" i="16" a="1"/>
  <c r="G25" i="15"/>
  <c r="C25" i="15"/>
  <c r="F25" i="15"/>
  <c r="B25" i="15"/>
  <c r="E25" i="15"/>
  <c r="H25" i="15"/>
  <c r="D25" i="15"/>
  <c r="B19" i="15" a="1"/>
  <c r="B27" i="15" a="1"/>
  <c r="B21" i="15" a="1"/>
  <c r="C29" i="15"/>
  <c r="B29" i="15"/>
  <c r="B23" i="15" a="1"/>
  <c r="B17" i="15" a="1"/>
  <c r="F5" i="14"/>
  <c r="B5" i="14"/>
  <c r="D5" i="14"/>
  <c r="C5" i="14"/>
  <c r="F11" i="14"/>
  <c r="D11" i="14"/>
  <c r="E5" i="14"/>
  <c r="G5" i="14"/>
  <c r="H3" i="14"/>
  <c r="H2" i="14" s="1"/>
  <c r="B19" i="14" a="1"/>
  <c r="C19" i="14" s="1"/>
  <c r="E9" i="14"/>
  <c r="B9" i="14"/>
  <c r="C3" i="14"/>
  <c r="C2" i="14" s="1"/>
  <c r="D3" i="14"/>
  <c r="D2" i="14" s="1"/>
  <c r="F9" i="14"/>
  <c r="F3" i="14"/>
  <c r="F2" i="14" s="1"/>
  <c r="E3" i="14"/>
  <c r="E2" i="14" s="1"/>
  <c r="C7" i="14"/>
  <c r="F7" i="14"/>
  <c r="G7" i="14"/>
  <c r="B25" i="14" a="1"/>
  <c r="B25" i="14" s="1"/>
  <c r="B17" i="14" a="1"/>
  <c r="B17" i="14" s="1"/>
  <c r="B16" i="14" s="1"/>
  <c r="B27" i="14" a="1"/>
  <c r="C27" i="14" s="1"/>
  <c r="B23" i="14" a="1"/>
  <c r="B23" i="14" s="1"/>
  <c r="B11" i="14"/>
  <c r="C9" i="14"/>
  <c r="H7" i="14"/>
  <c r="C11" i="14"/>
  <c r="C13" i="14"/>
  <c r="E11" i="14"/>
  <c r="B21" i="14" a="1"/>
  <c r="F21" i="14" s="1"/>
  <c r="H9" i="14"/>
  <c r="D9" i="14"/>
  <c r="H11" i="14"/>
  <c r="D7" i="14"/>
  <c r="B7" i="14"/>
  <c r="G3" i="14"/>
  <c r="G2" i="14" s="1"/>
  <c r="C29" i="14"/>
  <c r="B29" i="14"/>
  <c r="G17" i="58" l="1"/>
  <c r="G16" i="58" s="1"/>
  <c r="F17" i="58"/>
  <c r="F16" i="58" s="1"/>
  <c r="A17" i="58"/>
  <c r="A16" i="58" s="1"/>
  <c r="D17" i="58"/>
  <c r="D16" i="58" s="1"/>
  <c r="B17" i="58"/>
  <c r="B16" i="58" s="1"/>
  <c r="E17" i="58"/>
  <c r="E16" i="58" s="1"/>
  <c r="C17" i="58"/>
  <c r="C16" i="58" s="1"/>
  <c r="B27" i="58"/>
  <c r="A27" i="58"/>
  <c r="A43" i="58"/>
  <c r="A39" i="58" a="1"/>
  <c r="A41" i="58" a="1"/>
  <c r="B43" i="58"/>
  <c r="A31" i="58" a="1"/>
  <c r="A33" i="58" a="1"/>
  <c r="A35" i="58" a="1"/>
  <c r="A37" i="58" a="1"/>
  <c r="G23" i="58"/>
  <c r="F23" i="58"/>
  <c r="D23" i="58"/>
  <c r="E23" i="58"/>
  <c r="B23" i="58"/>
  <c r="C23" i="58"/>
  <c r="A23" i="58"/>
  <c r="G21" i="58"/>
  <c r="F21" i="58"/>
  <c r="E21" i="58"/>
  <c r="B21" i="58"/>
  <c r="D21" i="58"/>
  <c r="C21" i="58"/>
  <c r="A21" i="58"/>
  <c r="G25" i="58"/>
  <c r="F25" i="58"/>
  <c r="A25" i="58"/>
  <c r="E25" i="58"/>
  <c r="D25" i="58"/>
  <c r="C25" i="58"/>
  <c r="B25" i="58"/>
  <c r="G19" i="58"/>
  <c r="F19" i="58"/>
  <c r="C19" i="58"/>
  <c r="B19" i="58"/>
  <c r="A19" i="58"/>
  <c r="E19" i="58"/>
  <c r="D19" i="58"/>
  <c r="A27" i="57"/>
  <c r="B27" i="57"/>
  <c r="A23" i="57"/>
  <c r="G23" i="57"/>
  <c r="E23" i="57"/>
  <c r="F23" i="57"/>
  <c r="C23" i="57"/>
  <c r="B23" i="57"/>
  <c r="D23" i="57"/>
  <c r="A17" i="57"/>
  <c r="A16" i="57" s="1"/>
  <c r="G17" i="57"/>
  <c r="G16" i="57" s="1"/>
  <c r="E17" i="57"/>
  <c r="E16" i="57" s="1"/>
  <c r="F17" i="57"/>
  <c r="F16" i="57" s="1"/>
  <c r="D17" i="57"/>
  <c r="D16" i="57" s="1"/>
  <c r="B17" i="57"/>
  <c r="B16" i="57" s="1"/>
  <c r="C17" i="57"/>
  <c r="C16" i="57" s="1"/>
  <c r="A43" i="57"/>
  <c r="B43" i="57"/>
  <c r="A35" i="57" a="1"/>
  <c r="A31" i="57" a="1"/>
  <c r="A37" i="57" a="1"/>
  <c r="A41" i="57" a="1"/>
  <c r="A33" i="57" a="1"/>
  <c r="A39" i="57" a="1"/>
  <c r="A21" i="57"/>
  <c r="G21" i="57"/>
  <c r="E21" i="57"/>
  <c r="C21" i="57"/>
  <c r="B21" i="57"/>
  <c r="F21" i="57"/>
  <c r="D21" i="57"/>
  <c r="A19" i="57"/>
  <c r="G19" i="57"/>
  <c r="E19" i="57"/>
  <c r="F19" i="57"/>
  <c r="D19" i="57"/>
  <c r="C19" i="57"/>
  <c r="B19" i="57"/>
  <c r="A25" i="57"/>
  <c r="G25" i="57"/>
  <c r="E25" i="57"/>
  <c r="F25" i="57"/>
  <c r="D25" i="57"/>
  <c r="B25" i="57"/>
  <c r="C25" i="57"/>
  <c r="B27" i="56"/>
  <c r="A21" i="56"/>
  <c r="G21" i="56"/>
  <c r="B21" i="56"/>
  <c r="F21" i="56"/>
  <c r="C21" i="56"/>
  <c r="E21" i="56"/>
  <c r="D21" i="56"/>
  <c r="A43" i="56"/>
  <c r="A41" i="56" a="1"/>
  <c r="A33" i="56" a="1"/>
  <c r="A35" i="56" a="1"/>
  <c r="A37" i="56" a="1"/>
  <c r="A39" i="56" a="1"/>
  <c r="B43" i="56"/>
  <c r="A31" i="56" a="1"/>
  <c r="A25" i="56"/>
  <c r="G25" i="56"/>
  <c r="F25" i="56"/>
  <c r="D25" i="56"/>
  <c r="C25" i="56"/>
  <c r="B25" i="56"/>
  <c r="E25" i="56"/>
  <c r="A19" i="56"/>
  <c r="G19" i="56"/>
  <c r="F19" i="56"/>
  <c r="E19" i="56"/>
  <c r="D19" i="56"/>
  <c r="C19" i="56"/>
  <c r="B19" i="56"/>
  <c r="A17" i="56"/>
  <c r="A16" i="56" s="1"/>
  <c r="G17" i="56"/>
  <c r="G16" i="56" s="1"/>
  <c r="F17" i="56"/>
  <c r="F16" i="56" s="1"/>
  <c r="D17" i="56"/>
  <c r="D16" i="56" s="1"/>
  <c r="C17" i="56"/>
  <c r="C16" i="56" s="1"/>
  <c r="B17" i="56"/>
  <c r="B16" i="56" s="1"/>
  <c r="E17" i="56"/>
  <c r="E16" i="56" s="1"/>
  <c r="A23" i="56"/>
  <c r="G23" i="56"/>
  <c r="D23" i="56"/>
  <c r="B23" i="56"/>
  <c r="F23" i="56"/>
  <c r="E23" i="56"/>
  <c r="C23" i="56"/>
  <c r="B25" i="55"/>
  <c r="G25" i="55"/>
  <c r="C25" i="55"/>
  <c r="D25" i="55"/>
  <c r="A25" i="55"/>
  <c r="B27" i="55"/>
  <c r="F25" i="55"/>
  <c r="E19" i="55"/>
  <c r="A19" i="55"/>
  <c r="D19" i="55"/>
  <c r="C19" i="55"/>
  <c r="G19" i="55"/>
  <c r="B19" i="55"/>
  <c r="F19" i="55"/>
  <c r="E17" i="55"/>
  <c r="E16" i="55" s="1"/>
  <c r="A17" i="55"/>
  <c r="A16" i="55" s="1"/>
  <c r="G17" i="55"/>
  <c r="G16" i="55" s="1"/>
  <c r="B17" i="55"/>
  <c r="B16" i="55" s="1"/>
  <c r="F17" i="55"/>
  <c r="F16" i="55" s="1"/>
  <c r="D17" i="55"/>
  <c r="D16" i="55" s="1"/>
  <c r="C17" i="55"/>
  <c r="C16" i="55" s="1"/>
  <c r="E21" i="55"/>
  <c r="A21" i="55"/>
  <c r="G21" i="55"/>
  <c r="B21" i="55"/>
  <c r="F21" i="55"/>
  <c r="D21" i="55"/>
  <c r="C21" i="55"/>
  <c r="E23" i="55"/>
  <c r="A23" i="55"/>
  <c r="D23" i="55"/>
  <c r="C23" i="55"/>
  <c r="G23" i="55"/>
  <c r="B23" i="55"/>
  <c r="F23" i="55"/>
  <c r="B43" i="55"/>
  <c r="A43" i="55"/>
  <c r="A39" i="55" a="1"/>
  <c r="A37" i="55" a="1"/>
  <c r="A35" i="55" a="1"/>
  <c r="A33" i="55" a="1"/>
  <c r="A41" i="55" a="1"/>
  <c r="A31" i="55" a="1"/>
  <c r="G19" i="54"/>
  <c r="D19" i="54"/>
  <c r="E19" i="54"/>
  <c r="B19" i="54"/>
  <c r="F19" i="54"/>
  <c r="A19" i="54"/>
  <c r="F25" i="54"/>
  <c r="C25" i="54"/>
  <c r="G25" i="54"/>
  <c r="B25" i="54"/>
  <c r="E25" i="54"/>
  <c r="A25" i="54"/>
  <c r="D25" i="54"/>
  <c r="G21" i="54"/>
  <c r="C21" i="54"/>
  <c r="F21" i="54"/>
  <c r="B21" i="54"/>
  <c r="E21" i="54"/>
  <c r="A21" i="54"/>
  <c r="D21" i="54"/>
  <c r="A41" i="54" a="1"/>
  <c r="A37" i="54" a="1"/>
  <c r="A33" i="54" a="1"/>
  <c r="B43" i="54"/>
  <c r="A35" i="54" a="1"/>
  <c r="A43" i="54"/>
  <c r="A31" i="54" a="1"/>
  <c r="A39" i="54" a="1"/>
  <c r="G17" i="54"/>
  <c r="G16" i="54" s="1"/>
  <c r="C17" i="54"/>
  <c r="C16" i="54" s="1"/>
  <c r="F17" i="54"/>
  <c r="F16" i="54" s="1"/>
  <c r="B17" i="54"/>
  <c r="B16" i="54" s="1"/>
  <c r="E17" i="54"/>
  <c r="E16" i="54" s="1"/>
  <c r="A17" i="54"/>
  <c r="A16" i="54" s="1"/>
  <c r="D17" i="54"/>
  <c r="D16" i="54" s="1"/>
  <c r="B27" i="54"/>
  <c r="A27" i="54"/>
  <c r="G23" i="54"/>
  <c r="C23" i="54"/>
  <c r="F23" i="54"/>
  <c r="B23" i="54"/>
  <c r="E23" i="54"/>
  <c r="A23" i="54"/>
  <c r="D23" i="54"/>
  <c r="D17" i="53"/>
  <c r="D16" i="53" s="1"/>
  <c r="C17" i="53"/>
  <c r="C16" i="53" s="1"/>
  <c r="E17" i="53"/>
  <c r="E16" i="53" s="1"/>
  <c r="B17" i="53"/>
  <c r="B16" i="53" s="1"/>
  <c r="G17" i="53"/>
  <c r="G16" i="53" s="1"/>
  <c r="F17" i="53"/>
  <c r="F16" i="53" s="1"/>
  <c r="D25" i="53"/>
  <c r="B25" i="53"/>
  <c r="A25" i="53"/>
  <c r="C25" i="53"/>
  <c r="E25" i="53"/>
  <c r="G25" i="53"/>
  <c r="F23" i="53"/>
  <c r="B23" i="53"/>
  <c r="E23" i="53"/>
  <c r="A23" i="53"/>
  <c r="D23" i="53"/>
  <c r="G23" i="53"/>
  <c r="C23" i="53"/>
  <c r="F21" i="53"/>
  <c r="B21" i="53"/>
  <c r="E21" i="53"/>
  <c r="A21" i="53"/>
  <c r="G21" i="53"/>
  <c r="D21" i="53"/>
  <c r="C21" i="53"/>
  <c r="B27" i="53"/>
  <c r="A27" i="53"/>
  <c r="A41" i="53" a="1"/>
  <c r="A37" i="53" a="1"/>
  <c r="B43" i="53"/>
  <c r="A43" i="53"/>
  <c r="A39" i="53" a="1"/>
  <c r="A35" i="53" a="1"/>
  <c r="A33" i="53" a="1"/>
  <c r="A31" i="53" a="1"/>
  <c r="F19" i="53"/>
  <c r="B19" i="53"/>
  <c r="E19" i="53"/>
  <c r="A19" i="53"/>
  <c r="G19" i="53"/>
  <c r="D19" i="53"/>
  <c r="C19" i="53"/>
  <c r="F21" i="52"/>
  <c r="B21" i="52"/>
  <c r="C21" i="52"/>
  <c r="E21" i="52"/>
  <c r="A21" i="52"/>
  <c r="D21" i="52"/>
  <c r="G21" i="52"/>
  <c r="F17" i="52"/>
  <c r="F16" i="52" s="1"/>
  <c r="B17" i="52"/>
  <c r="B16" i="52" s="1"/>
  <c r="G17" i="52"/>
  <c r="G16" i="52" s="1"/>
  <c r="E17" i="52"/>
  <c r="E16" i="52" s="1"/>
  <c r="A17" i="52"/>
  <c r="A16" i="52" s="1"/>
  <c r="D17" i="52"/>
  <c r="D16" i="52" s="1"/>
  <c r="C17" i="52"/>
  <c r="C16" i="52" s="1"/>
  <c r="F25" i="52"/>
  <c r="B25" i="52"/>
  <c r="C25" i="52"/>
  <c r="E25" i="52"/>
  <c r="A25" i="52"/>
  <c r="D25" i="52"/>
  <c r="G25" i="52"/>
  <c r="B27" i="52"/>
  <c r="A27" i="52"/>
  <c r="A43" i="52"/>
  <c r="A37" i="52" a="1"/>
  <c r="A31" i="52" a="1"/>
  <c r="B43" i="52"/>
  <c r="A39" i="52" a="1"/>
  <c r="A33" i="52" a="1"/>
  <c r="A41" i="52" a="1"/>
  <c r="A35" i="52" a="1"/>
  <c r="F19" i="52"/>
  <c r="B19" i="52"/>
  <c r="E19" i="52"/>
  <c r="A19" i="52"/>
  <c r="C19" i="52"/>
  <c r="D19" i="52"/>
  <c r="G19" i="52"/>
  <c r="F23" i="52"/>
  <c r="B23" i="52"/>
  <c r="C23" i="52"/>
  <c r="E23" i="52"/>
  <c r="A23" i="52"/>
  <c r="D23" i="52"/>
  <c r="G23" i="52"/>
  <c r="C17" i="51"/>
  <c r="C16" i="51" s="1"/>
  <c r="G17" i="51"/>
  <c r="G16" i="51" s="1"/>
  <c r="D17" i="51"/>
  <c r="D16" i="51" s="1"/>
  <c r="E17" i="51"/>
  <c r="E16" i="51" s="1"/>
  <c r="B17" i="51"/>
  <c r="B16" i="51" s="1"/>
  <c r="F17" i="51"/>
  <c r="F16" i="51" s="1"/>
  <c r="C27" i="51"/>
  <c r="B27" i="51"/>
  <c r="H25" i="51"/>
  <c r="D25" i="51"/>
  <c r="G25" i="51"/>
  <c r="B25" i="51"/>
  <c r="F25" i="51"/>
  <c r="E25" i="51"/>
  <c r="C25" i="51"/>
  <c r="H19" i="51"/>
  <c r="D19" i="51"/>
  <c r="E19" i="51"/>
  <c r="C19" i="51"/>
  <c r="G19" i="51"/>
  <c r="B19" i="51"/>
  <c r="F19" i="51"/>
  <c r="C43" i="51"/>
  <c r="B41" i="51" a="1"/>
  <c r="B33" i="51" a="1"/>
  <c r="B35" i="51" a="1"/>
  <c r="B37" i="51" a="1"/>
  <c r="B43" i="51"/>
  <c r="B39" i="51" a="1"/>
  <c r="B31" i="51" a="1"/>
  <c r="H23" i="51"/>
  <c r="D23" i="51"/>
  <c r="E23" i="51"/>
  <c r="C23" i="51"/>
  <c r="G23" i="51"/>
  <c r="B23" i="51"/>
  <c r="F23" i="51"/>
  <c r="H21" i="51"/>
  <c r="D21" i="51"/>
  <c r="G21" i="51"/>
  <c r="B21" i="51"/>
  <c r="F21" i="51"/>
  <c r="E21" i="51"/>
  <c r="C21" i="51"/>
  <c r="G23" i="50"/>
  <c r="B23" i="50"/>
  <c r="F23" i="50"/>
  <c r="B27" i="50"/>
  <c r="E23" i="50"/>
  <c r="D23" i="50"/>
  <c r="A23" i="50"/>
  <c r="E25" i="50"/>
  <c r="D25" i="50"/>
  <c r="C25" i="50"/>
  <c r="G25" i="50"/>
  <c r="B25" i="50"/>
  <c r="F25" i="50"/>
  <c r="A25" i="50"/>
  <c r="D21" i="50"/>
  <c r="G21" i="50"/>
  <c r="C21" i="50"/>
  <c r="F21" i="50"/>
  <c r="B21" i="50"/>
  <c r="E21" i="50"/>
  <c r="A21" i="50"/>
  <c r="D17" i="50"/>
  <c r="D16" i="50" s="1"/>
  <c r="G17" i="50"/>
  <c r="G16" i="50" s="1"/>
  <c r="C17" i="50"/>
  <c r="C16" i="50" s="1"/>
  <c r="F17" i="50"/>
  <c r="F16" i="50" s="1"/>
  <c r="B17" i="50"/>
  <c r="B16" i="50" s="1"/>
  <c r="E17" i="50"/>
  <c r="E16" i="50" s="1"/>
  <c r="A17" i="50"/>
  <c r="A16" i="50" s="1"/>
  <c r="A43" i="50"/>
  <c r="A39" i="50" a="1"/>
  <c r="A35" i="50" a="1"/>
  <c r="A31" i="50" a="1"/>
  <c r="A41" i="50" a="1"/>
  <c r="A37" i="50" a="1"/>
  <c r="A33" i="50" a="1"/>
  <c r="B43" i="50"/>
  <c r="D19" i="50"/>
  <c r="G19" i="50"/>
  <c r="C19" i="50"/>
  <c r="F19" i="50"/>
  <c r="B19" i="50"/>
  <c r="E19" i="50"/>
  <c r="A19" i="50"/>
  <c r="G19" i="49"/>
  <c r="G25" i="49"/>
  <c r="A25" i="49"/>
  <c r="F19" i="49"/>
  <c r="D19" i="49"/>
  <c r="E25" i="49"/>
  <c r="A19" i="49"/>
  <c r="C25" i="49"/>
  <c r="B25" i="49"/>
  <c r="C19" i="49"/>
  <c r="E19" i="49"/>
  <c r="D25" i="49"/>
  <c r="D17" i="49"/>
  <c r="D16" i="49" s="1"/>
  <c r="F17" i="49"/>
  <c r="F16" i="49" s="1"/>
  <c r="B17" i="49"/>
  <c r="B16" i="49" s="1"/>
  <c r="E17" i="49"/>
  <c r="E16" i="49" s="1"/>
  <c r="G17" i="49"/>
  <c r="G16" i="49" s="1"/>
  <c r="C17" i="49"/>
  <c r="C16" i="49" s="1"/>
  <c r="A17" i="49"/>
  <c r="A16" i="49" s="1"/>
  <c r="F23" i="49"/>
  <c r="B23" i="49"/>
  <c r="E23" i="49"/>
  <c r="A23" i="49"/>
  <c r="D23" i="49"/>
  <c r="C23" i="49"/>
  <c r="G23" i="49"/>
  <c r="F21" i="49"/>
  <c r="B21" i="49"/>
  <c r="E21" i="49"/>
  <c r="A21" i="49"/>
  <c r="D21" i="49"/>
  <c r="G21" i="49"/>
  <c r="C21" i="49"/>
  <c r="B27" i="49"/>
  <c r="A27" i="49"/>
  <c r="B43" i="49"/>
  <c r="A41" i="49" a="1"/>
  <c r="A39" i="49" a="1"/>
  <c r="A37" i="49" a="1"/>
  <c r="A35" i="49" a="1"/>
  <c r="A33" i="49" a="1"/>
  <c r="A31" i="49" a="1"/>
  <c r="A43" i="49"/>
  <c r="F25" i="48"/>
  <c r="B25" i="48"/>
  <c r="D25" i="48"/>
  <c r="H25" i="48"/>
  <c r="G25" i="48"/>
  <c r="E25" i="48"/>
  <c r="C25" i="48"/>
  <c r="F19" i="48"/>
  <c r="B19" i="48"/>
  <c r="G19" i="48"/>
  <c r="D19" i="48"/>
  <c r="H19" i="48"/>
  <c r="C19" i="48"/>
  <c r="E19" i="48"/>
  <c r="F17" i="48"/>
  <c r="F16" i="48" s="1"/>
  <c r="B17" i="48"/>
  <c r="B16" i="48" s="1"/>
  <c r="D17" i="48"/>
  <c r="D16" i="48" s="1"/>
  <c r="H17" i="48"/>
  <c r="H16" i="48" s="1"/>
  <c r="G17" i="48"/>
  <c r="G16" i="48" s="1"/>
  <c r="E17" i="48"/>
  <c r="E16" i="48" s="1"/>
  <c r="C17" i="48"/>
  <c r="C16" i="48" s="1"/>
  <c r="F23" i="48"/>
  <c r="B23" i="48"/>
  <c r="G23" i="48"/>
  <c r="E23" i="48"/>
  <c r="D23" i="48"/>
  <c r="H23" i="48"/>
  <c r="C23" i="48"/>
  <c r="C43" i="48"/>
  <c r="B33" i="48" a="1"/>
  <c r="B41" i="48" a="1"/>
  <c r="B43" i="48"/>
  <c r="B39" i="48" a="1"/>
  <c r="B35" i="48" a="1"/>
  <c r="B31" i="48" a="1"/>
  <c r="B37" i="48" a="1"/>
  <c r="B27" i="48"/>
  <c r="C27" i="48"/>
  <c r="F21" i="48"/>
  <c r="B21" i="48"/>
  <c r="D21" i="48"/>
  <c r="C21" i="48"/>
  <c r="G21" i="48"/>
  <c r="E21" i="48"/>
  <c r="H21" i="48"/>
  <c r="C25" i="47"/>
  <c r="H25" i="47"/>
  <c r="G25" i="47"/>
  <c r="E25" i="47"/>
  <c r="D25" i="47"/>
  <c r="B25" i="47"/>
  <c r="F25" i="47"/>
  <c r="C21" i="47"/>
  <c r="H21" i="47"/>
  <c r="B21" i="47"/>
  <c r="F21" i="47"/>
  <c r="G21" i="47"/>
  <c r="E21" i="47"/>
  <c r="D21" i="47"/>
  <c r="B43" i="47"/>
  <c r="B41" i="47" a="1"/>
  <c r="B33" i="47" a="1"/>
  <c r="B35" i="47" a="1"/>
  <c r="B37" i="47" a="1"/>
  <c r="C43" i="47"/>
  <c r="B39" i="47" a="1"/>
  <c r="B31" i="47" a="1"/>
  <c r="C27" i="47"/>
  <c r="B27" i="47"/>
  <c r="C19" i="47"/>
  <c r="H19" i="47"/>
  <c r="G19" i="47"/>
  <c r="F19" i="47"/>
  <c r="D19" i="47"/>
  <c r="E19" i="47"/>
  <c r="B19" i="47"/>
  <c r="C17" i="47"/>
  <c r="C16" i="47" s="1"/>
  <c r="H17" i="47"/>
  <c r="H16" i="47" s="1"/>
  <c r="G17" i="47"/>
  <c r="G16" i="47" s="1"/>
  <c r="E17" i="47"/>
  <c r="E16" i="47" s="1"/>
  <c r="D17" i="47"/>
  <c r="D16" i="47" s="1"/>
  <c r="B17" i="47"/>
  <c r="B16" i="47" s="1"/>
  <c r="F17" i="47"/>
  <c r="F16" i="47" s="1"/>
  <c r="C23" i="47"/>
  <c r="H23" i="47"/>
  <c r="E23" i="47"/>
  <c r="B23" i="47"/>
  <c r="G23" i="47"/>
  <c r="F23" i="47"/>
  <c r="D23" i="47"/>
  <c r="C19" i="46"/>
  <c r="D23" i="46"/>
  <c r="C23" i="46"/>
  <c r="H23" i="46"/>
  <c r="D19" i="46"/>
  <c r="F23" i="46"/>
  <c r="E19" i="46"/>
  <c r="E23" i="46"/>
  <c r="F19" i="46"/>
  <c r="B23" i="46"/>
  <c r="G19" i="46"/>
  <c r="H19" i="46"/>
  <c r="H21" i="46"/>
  <c r="G21" i="46"/>
  <c r="C21" i="46"/>
  <c r="B21" i="46"/>
  <c r="F21" i="46"/>
  <c r="E21" i="46"/>
  <c r="D21" i="46"/>
  <c r="H25" i="46"/>
  <c r="G25" i="46"/>
  <c r="D25" i="46"/>
  <c r="C25" i="46"/>
  <c r="B25" i="46"/>
  <c r="F25" i="46"/>
  <c r="E25" i="46"/>
  <c r="H17" i="46"/>
  <c r="H16" i="46" s="1"/>
  <c r="G17" i="46"/>
  <c r="G16" i="46" s="1"/>
  <c r="D17" i="46"/>
  <c r="D16" i="46" s="1"/>
  <c r="C17" i="46"/>
  <c r="C16" i="46" s="1"/>
  <c r="B17" i="46"/>
  <c r="B16" i="46" s="1"/>
  <c r="F17" i="46"/>
  <c r="F16" i="46" s="1"/>
  <c r="E17" i="46"/>
  <c r="E16" i="46" s="1"/>
  <c r="B43" i="46"/>
  <c r="B39" i="46" a="1"/>
  <c r="C43" i="46"/>
  <c r="B31" i="46" a="1"/>
  <c r="B35" i="46" a="1"/>
  <c r="B37" i="46" a="1"/>
  <c r="B41" i="46" a="1"/>
  <c r="B33" i="46" a="1"/>
  <c r="B27" i="46"/>
  <c r="C27" i="46"/>
  <c r="C17" i="45"/>
  <c r="C16" i="45" s="1"/>
  <c r="G17" i="45"/>
  <c r="G16" i="45" s="1"/>
  <c r="B17" i="45"/>
  <c r="B16" i="45" s="1"/>
  <c r="F17" i="45"/>
  <c r="F16" i="45" s="1"/>
  <c r="H17" i="45"/>
  <c r="H16" i="45" s="1"/>
  <c r="E17" i="45"/>
  <c r="E16" i="45" s="1"/>
  <c r="D17" i="45"/>
  <c r="D16" i="45" s="1"/>
  <c r="C25" i="45"/>
  <c r="G25" i="45"/>
  <c r="B25" i="45"/>
  <c r="F25" i="45"/>
  <c r="H25" i="45"/>
  <c r="E25" i="45"/>
  <c r="D25" i="45"/>
  <c r="C21" i="45"/>
  <c r="G21" i="45"/>
  <c r="H21" i="45"/>
  <c r="F21" i="45"/>
  <c r="E21" i="45"/>
  <c r="B21" i="45"/>
  <c r="D21" i="45"/>
  <c r="B37" i="45" a="1"/>
  <c r="B43" i="45"/>
  <c r="B33" i="45" a="1"/>
  <c r="B31" i="45" a="1"/>
  <c r="C43" i="45"/>
  <c r="B39" i="45" a="1"/>
  <c r="B41" i="45" a="1"/>
  <c r="B35" i="45" a="1"/>
  <c r="C27" i="45"/>
  <c r="B27" i="45"/>
  <c r="C19" i="45"/>
  <c r="G19" i="45"/>
  <c r="E19" i="45"/>
  <c r="D19" i="45"/>
  <c r="B19" i="45"/>
  <c r="H19" i="45"/>
  <c r="F19" i="45"/>
  <c r="C23" i="45"/>
  <c r="G23" i="45"/>
  <c r="D23" i="45"/>
  <c r="H23" i="45"/>
  <c r="E23" i="45"/>
  <c r="F23" i="45"/>
  <c r="B23" i="45"/>
  <c r="C25" i="43"/>
  <c r="B25" i="43"/>
  <c r="H25" i="43"/>
  <c r="D25" i="43"/>
  <c r="G25" i="43"/>
  <c r="F25" i="43"/>
  <c r="E25" i="43"/>
  <c r="C17" i="43"/>
  <c r="C16" i="43" s="1"/>
  <c r="B17" i="43"/>
  <c r="B16" i="43" s="1"/>
  <c r="H17" i="43"/>
  <c r="H16" i="43" s="1"/>
  <c r="E17" i="43"/>
  <c r="E16" i="43" s="1"/>
  <c r="G17" i="43"/>
  <c r="G16" i="43" s="1"/>
  <c r="D17" i="43"/>
  <c r="D16" i="43" s="1"/>
  <c r="F17" i="43"/>
  <c r="F16" i="43" s="1"/>
  <c r="C19" i="43"/>
  <c r="B19" i="43"/>
  <c r="H19" i="43"/>
  <c r="G19" i="43"/>
  <c r="F19" i="43"/>
  <c r="E19" i="43"/>
  <c r="D19" i="43"/>
  <c r="C23" i="43"/>
  <c r="B23" i="43"/>
  <c r="H23" i="43"/>
  <c r="F23" i="43"/>
  <c r="E23" i="43"/>
  <c r="D23" i="43"/>
  <c r="G23" i="43"/>
  <c r="B43" i="43"/>
  <c r="B35" i="43" a="1"/>
  <c r="B41" i="43" a="1"/>
  <c r="B31" i="43" a="1"/>
  <c r="C43" i="43"/>
  <c r="B37" i="43" a="1"/>
  <c r="B39" i="43" a="1"/>
  <c r="B33" i="43" a="1"/>
  <c r="C21" i="43"/>
  <c r="B21" i="43"/>
  <c r="H21" i="43"/>
  <c r="E21" i="43"/>
  <c r="F21" i="43"/>
  <c r="G21" i="43"/>
  <c r="D21" i="43"/>
  <c r="C27" i="43"/>
  <c r="B27" i="43"/>
  <c r="G17" i="42"/>
  <c r="G16" i="42" s="1"/>
  <c r="F17" i="42"/>
  <c r="F16" i="42" s="1"/>
  <c r="D17" i="42"/>
  <c r="D16" i="42" s="1"/>
  <c r="C17" i="42"/>
  <c r="C16" i="42" s="1"/>
  <c r="E17" i="42"/>
  <c r="E16" i="42" s="1"/>
  <c r="B17" i="42"/>
  <c r="B16" i="42" s="1"/>
  <c r="H17" i="42"/>
  <c r="H16" i="42" s="1"/>
  <c r="G23" i="42"/>
  <c r="F23" i="42"/>
  <c r="D23" i="42"/>
  <c r="E23" i="42"/>
  <c r="B23" i="42"/>
  <c r="H23" i="42"/>
  <c r="C23" i="42"/>
  <c r="G25" i="42"/>
  <c r="F25" i="42"/>
  <c r="D25" i="42"/>
  <c r="H25" i="42"/>
  <c r="C25" i="42"/>
  <c r="E25" i="42"/>
  <c r="B25" i="42"/>
  <c r="B41" i="42" a="1"/>
  <c r="B31" i="42" a="1"/>
  <c r="B37" i="42" a="1"/>
  <c r="B33" i="42" a="1"/>
  <c r="C43" i="42"/>
  <c r="B43" i="42"/>
  <c r="B35" i="42" a="1"/>
  <c r="B39" i="42" a="1"/>
  <c r="G19" i="42"/>
  <c r="F19" i="42"/>
  <c r="D19" i="42"/>
  <c r="E19" i="42"/>
  <c r="B19" i="42"/>
  <c r="C19" i="42"/>
  <c r="H19" i="42"/>
  <c r="G21" i="42"/>
  <c r="F21" i="42"/>
  <c r="D21" i="42"/>
  <c r="H21" i="42"/>
  <c r="E21" i="42"/>
  <c r="C21" i="42"/>
  <c r="B21" i="42"/>
  <c r="B27" i="42"/>
  <c r="C27" i="42"/>
  <c r="E19" i="41"/>
  <c r="G19" i="41"/>
  <c r="C19" i="41"/>
  <c r="H19" i="41"/>
  <c r="B27" i="41"/>
  <c r="B19" i="41"/>
  <c r="D19" i="41"/>
  <c r="F21" i="36"/>
  <c r="C21" i="36"/>
  <c r="F17" i="37"/>
  <c r="F16" i="37" s="1"/>
  <c r="G25" i="41"/>
  <c r="C25" i="41"/>
  <c r="F25" i="41"/>
  <c r="B25" i="41"/>
  <c r="E25" i="41"/>
  <c r="H25" i="41"/>
  <c r="D25" i="41"/>
  <c r="G21" i="41"/>
  <c r="C21" i="41"/>
  <c r="F21" i="41"/>
  <c r="B21" i="41"/>
  <c r="H21" i="41"/>
  <c r="E21" i="41"/>
  <c r="D21" i="41"/>
  <c r="G17" i="41"/>
  <c r="G16" i="41" s="1"/>
  <c r="C17" i="41"/>
  <c r="C16" i="41" s="1"/>
  <c r="F17" i="41"/>
  <c r="F16" i="41" s="1"/>
  <c r="B17" i="41"/>
  <c r="B16" i="41" s="1"/>
  <c r="H17" i="41"/>
  <c r="H16" i="41" s="1"/>
  <c r="E17" i="41"/>
  <c r="E16" i="41" s="1"/>
  <c r="D17" i="41"/>
  <c r="D16" i="41" s="1"/>
  <c r="G23" i="41"/>
  <c r="C23" i="41"/>
  <c r="F23" i="41"/>
  <c r="B23" i="41"/>
  <c r="H23" i="41"/>
  <c r="E23" i="41"/>
  <c r="D23" i="41"/>
  <c r="B17" i="37"/>
  <c r="B16" i="37" s="1"/>
  <c r="C43" i="41"/>
  <c r="B41" i="41" a="1"/>
  <c r="B39" i="41" a="1"/>
  <c r="B37" i="41" a="1"/>
  <c r="B35" i="41" a="1"/>
  <c r="B33" i="41" a="1"/>
  <c r="B31" i="41" a="1"/>
  <c r="B43" i="41"/>
  <c r="D17" i="37"/>
  <c r="D16" i="37" s="1"/>
  <c r="G19" i="40"/>
  <c r="C19" i="40"/>
  <c r="E19" i="40"/>
  <c r="F19" i="40"/>
  <c r="B19" i="40"/>
  <c r="H19" i="40"/>
  <c r="D19" i="40"/>
  <c r="C27" i="40"/>
  <c r="B27" i="40"/>
  <c r="B41" i="40" a="1"/>
  <c r="B37" i="40" a="1"/>
  <c r="B31" i="40" a="1"/>
  <c r="B35" i="40" a="1"/>
  <c r="C43" i="40"/>
  <c r="B39" i="40" a="1"/>
  <c r="B33" i="40" a="1"/>
  <c r="B43" i="40"/>
  <c r="D21" i="36"/>
  <c r="H17" i="37"/>
  <c r="H16" i="37" s="1"/>
  <c r="G25" i="40"/>
  <c r="C25" i="40"/>
  <c r="E25" i="40"/>
  <c r="F25" i="40"/>
  <c r="B25" i="40"/>
  <c r="D25" i="40"/>
  <c r="H25" i="40"/>
  <c r="G23" i="40"/>
  <c r="C23" i="40"/>
  <c r="F23" i="40"/>
  <c r="B23" i="40"/>
  <c r="E23" i="40"/>
  <c r="H23" i="40"/>
  <c r="D23" i="40"/>
  <c r="B21" i="36"/>
  <c r="H21" i="36"/>
  <c r="G21" i="40"/>
  <c r="C21" i="40"/>
  <c r="E21" i="40"/>
  <c r="F21" i="40"/>
  <c r="B21" i="40"/>
  <c r="D21" i="40"/>
  <c r="H21" i="40"/>
  <c r="G17" i="40"/>
  <c r="G16" i="40" s="1"/>
  <c r="C17" i="40"/>
  <c r="C16" i="40" s="1"/>
  <c r="F17" i="40"/>
  <c r="F16" i="40" s="1"/>
  <c r="B17" i="40"/>
  <c r="B16" i="40" s="1"/>
  <c r="E17" i="40"/>
  <c r="E16" i="40" s="1"/>
  <c r="D17" i="40"/>
  <c r="D16" i="40" s="1"/>
  <c r="H17" i="40"/>
  <c r="H16" i="40" s="1"/>
  <c r="G17" i="37"/>
  <c r="G16" i="37" s="1"/>
  <c r="E21" i="36"/>
  <c r="C17" i="37"/>
  <c r="C16" i="37" s="1"/>
  <c r="F25" i="39"/>
  <c r="B25" i="39"/>
  <c r="E25" i="39"/>
  <c r="H25" i="39"/>
  <c r="D25" i="39"/>
  <c r="G25" i="39"/>
  <c r="C25" i="39"/>
  <c r="F19" i="39"/>
  <c r="B19" i="39"/>
  <c r="E19" i="39"/>
  <c r="H19" i="39"/>
  <c r="D19" i="39"/>
  <c r="G19" i="39"/>
  <c r="C19" i="39"/>
  <c r="E25" i="37"/>
  <c r="F21" i="39"/>
  <c r="B21" i="39"/>
  <c r="H21" i="39"/>
  <c r="D21" i="39"/>
  <c r="G21" i="39"/>
  <c r="C21" i="39"/>
  <c r="E21" i="39"/>
  <c r="B27" i="39"/>
  <c r="C27" i="39"/>
  <c r="F23" i="39"/>
  <c r="B23" i="39"/>
  <c r="E23" i="39"/>
  <c r="H23" i="39"/>
  <c r="D23" i="39"/>
  <c r="G23" i="39"/>
  <c r="C23" i="39"/>
  <c r="B33" i="39" a="1"/>
  <c r="B41" i="39" a="1"/>
  <c r="B37" i="39" a="1"/>
  <c r="B31" i="39" a="1"/>
  <c r="C43" i="39"/>
  <c r="B43" i="39"/>
  <c r="B39" i="39" a="1"/>
  <c r="B35" i="39" a="1"/>
  <c r="F17" i="39"/>
  <c r="F16" i="39" s="1"/>
  <c r="B17" i="39"/>
  <c r="B16" i="39" s="1"/>
  <c r="E17" i="39"/>
  <c r="E16" i="39" s="1"/>
  <c r="H17" i="39"/>
  <c r="H16" i="39" s="1"/>
  <c r="D17" i="39"/>
  <c r="D16" i="39" s="1"/>
  <c r="G17" i="39"/>
  <c r="G16" i="39" s="1"/>
  <c r="C17" i="39"/>
  <c r="C16" i="39" s="1"/>
  <c r="F17" i="38"/>
  <c r="F16" i="38" s="1"/>
  <c r="B17" i="38"/>
  <c r="B16" i="38" s="1"/>
  <c r="C17" i="38"/>
  <c r="C16" i="38" s="1"/>
  <c r="E17" i="38"/>
  <c r="E16" i="38" s="1"/>
  <c r="G17" i="38"/>
  <c r="G16" i="38" s="1"/>
  <c r="H17" i="38"/>
  <c r="H16" i="38" s="1"/>
  <c r="D17" i="38"/>
  <c r="D16" i="38" s="1"/>
  <c r="F21" i="38"/>
  <c r="B21" i="38"/>
  <c r="C21" i="38"/>
  <c r="E21" i="38"/>
  <c r="G21" i="38"/>
  <c r="H21" i="38"/>
  <c r="D21" i="38"/>
  <c r="B25" i="37"/>
  <c r="F23" i="38"/>
  <c r="B23" i="38"/>
  <c r="C23" i="38"/>
  <c r="E23" i="38"/>
  <c r="G23" i="38"/>
  <c r="H23" i="38"/>
  <c r="D23" i="38"/>
  <c r="C27" i="38"/>
  <c r="B27" i="38"/>
  <c r="F19" i="38"/>
  <c r="B19" i="38"/>
  <c r="C19" i="38"/>
  <c r="E19" i="38"/>
  <c r="G19" i="38"/>
  <c r="H19" i="38"/>
  <c r="D19" i="38"/>
  <c r="B43" i="38"/>
  <c r="B41" i="38" a="1"/>
  <c r="B37" i="38" a="1"/>
  <c r="B33" i="38" a="1"/>
  <c r="C43" i="38"/>
  <c r="B39" i="38" a="1"/>
  <c r="B35" i="38" a="1"/>
  <c r="B31" i="38" a="1"/>
  <c r="C25" i="37"/>
  <c r="H25" i="38"/>
  <c r="D25" i="38"/>
  <c r="G25" i="38"/>
  <c r="B25" i="38"/>
  <c r="C25" i="38"/>
  <c r="F25" i="38"/>
  <c r="E25" i="38"/>
  <c r="H25" i="37"/>
  <c r="G25" i="37"/>
  <c r="D25" i="37"/>
  <c r="F19" i="37"/>
  <c r="B19" i="37"/>
  <c r="E19" i="37"/>
  <c r="H19" i="37"/>
  <c r="D19" i="37"/>
  <c r="G19" i="37"/>
  <c r="C19" i="37"/>
  <c r="C43" i="37"/>
  <c r="B43" i="37"/>
  <c r="B39" i="37" a="1"/>
  <c r="B35" i="37" a="1"/>
  <c r="B31" i="37" a="1"/>
  <c r="B37" i="37" a="1"/>
  <c r="B33" i="37" a="1"/>
  <c r="B41" i="37" a="1"/>
  <c r="B27" i="37"/>
  <c r="C27" i="37"/>
  <c r="F21" i="37"/>
  <c r="B21" i="37"/>
  <c r="E21" i="37"/>
  <c r="C21" i="37"/>
  <c r="H21" i="37"/>
  <c r="D21" i="37"/>
  <c r="G21" i="37"/>
  <c r="F23" i="37"/>
  <c r="B23" i="37"/>
  <c r="E23" i="37"/>
  <c r="H23" i="37"/>
  <c r="D23" i="37"/>
  <c r="G23" i="37"/>
  <c r="C23" i="37"/>
  <c r="H19" i="36"/>
  <c r="D19" i="36"/>
  <c r="C19" i="36"/>
  <c r="G19" i="36"/>
  <c r="F19" i="36"/>
  <c r="B19" i="36"/>
  <c r="E19" i="36"/>
  <c r="B43" i="36"/>
  <c r="C43" i="36"/>
  <c r="B41" i="36" a="1"/>
  <c r="B39" i="36" a="1"/>
  <c r="B37" i="36" a="1"/>
  <c r="B35" i="36" a="1"/>
  <c r="B33" i="36" a="1"/>
  <c r="B31" i="36" a="1"/>
  <c r="F21" i="33"/>
  <c r="H25" i="36"/>
  <c r="D25" i="36"/>
  <c r="C25" i="36"/>
  <c r="G25" i="36"/>
  <c r="F25" i="36"/>
  <c r="B25" i="36"/>
  <c r="E25" i="36"/>
  <c r="H17" i="36"/>
  <c r="H16" i="36" s="1"/>
  <c r="D17" i="36"/>
  <c r="D16" i="36" s="1"/>
  <c r="G17" i="36"/>
  <c r="G16" i="36" s="1"/>
  <c r="C17" i="36"/>
  <c r="C16" i="36" s="1"/>
  <c r="F17" i="36"/>
  <c r="F16" i="36" s="1"/>
  <c r="B17" i="36"/>
  <c r="B16" i="36" s="1"/>
  <c r="E17" i="36"/>
  <c r="E16" i="36" s="1"/>
  <c r="C27" i="36"/>
  <c r="B27" i="36"/>
  <c r="H23" i="36"/>
  <c r="D23" i="36"/>
  <c r="G23" i="36"/>
  <c r="C23" i="36"/>
  <c r="F23" i="36"/>
  <c r="B23" i="36"/>
  <c r="E23" i="36"/>
  <c r="H21" i="33"/>
  <c r="C21" i="33"/>
  <c r="D19" i="32"/>
  <c r="D21" i="33"/>
  <c r="F19" i="35"/>
  <c r="B19" i="35"/>
  <c r="E19" i="35"/>
  <c r="H19" i="35"/>
  <c r="D19" i="35"/>
  <c r="G19" i="35"/>
  <c r="C19" i="35"/>
  <c r="B27" i="35"/>
  <c r="C27" i="35"/>
  <c r="F17" i="35"/>
  <c r="F16" i="35" s="1"/>
  <c r="B17" i="35"/>
  <c r="B16" i="35" s="1"/>
  <c r="E17" i="35"/>
  <c r="E16" i="35" s="1"/>
  <c r="H17" i="35"/>
  <c r="H16" i="35" s="1"/>
  <c r="D17" i="35"/>
  <c r="D16" i="35" s="1"/>
  <c r="G17" i="35"/>
  <c r="G16" i="35" s="1"/>
  <c r="C17" i="35"/>
  <c r="C16" i="35" s="1"/>
  <c r="F25" i="35"/>
  <c r="B25" i="35"/>
  <c r="E25" i="35"/>
  <c r="H25" i="35"/>
  <c r="D25" i="35"/>
  <c r="G25" i="35"/>
  <c r="C25" i="35"/>
  <c r="F23" i="35"/>
  <c r="B23" i="35"/>
  <c r="E23" i="35"/>
  <c r="H23" i="35"/>
  <c r="D23" i="35"/>
  <c r="G23" i="35"/>
  <c r="C23" i="35"/>
  <c r="B37" i="35" a="1"/>
  <c r="B31" i="35" a="1"/>
  <c r="B41" i="35" a="1"/>
  <c r="B35" i="35" a="1"/>
  <c r="B43" i="35"/>
  <c r="C43" i="35"/>
  <c r="B39" i="35" a="1"/>
  <c r="B33" i="35" a="1"/>
  <c r="F21" i="35"/>
  <c r="B21" i="35"/>
  <c r="H21" i="35"/>
  <c r="D21" i="35"/>
  <c r="G21" i="35"/>
  <c r="C21" i="35"/>
  <c r="E21" i="35"/>
  <c r="E21" i="33"/>
  <c r="G21" i="33"/>
  <c r="G17" i="34"/>
  <c r="G16" i="34" s="1"/>
  <c r="C17" i="34"/>
  <c r="C16" i="34" s="1"/>
  <c r="F17" i="34"/>
  <c r="F16" i="34" s="1"/>
  <c r="B17" i="34"/>
  <c r="B16" i="34" s="1"/>
  <c r="D17" i="34"/>
  <c r="D16" i="34" s="1"/>
  <c r="H17" i="34"/>
  <c r="H16" i="34" s="1"/>
  <c r="E17" i="34"/>
  <c r="E16" i="34" s="1"/>
  <c r="G23" i="34"/>
  <c r="C23" i="34"/>
  <c r="F23" i="34"/>
  <c r="B23" i="34"/>
  <c r="D23" i="34"/>
  <c r="H23" i="34"/>
  <c r="E23" i="34"/>
  <c r="G19" i="34"/>
  <c r="C19" i="34"/>
  <c r="F19" i="34"/>
  <c r="B19" i="34"/>
  <c r="D19" i="34"/>
  <c r="H19" i="34"/>
  <c r="E19" i="34"/>
  <c r="C43" i="34"/>
  <c r="B41" i="34" a="1"/>
  <c r="B39" i="34" a="1"/>
  <c r="B37" i="34" a="1"/>
  <c r="B35" i="34" a="1"/>
  <c r="B33" i="34" a="1"/>
  <c r="B31" i="34" a="1"/>
  <c r="B43" i="34"/>
  <c r="G25" i="34"/>
  <c r="C25" i="34"/>
  <c r="F25" i="34"/>
  <c r="B25" i="34"/>
  <c r="E25" i="34"/>
  <c r="D25" i="34"/>
  <c r="H25" i="34"/>
  <c r="C27" i="34"/>
  <c r="B27" i="34"/>
  <c r="G21" i="34"/>
  <c r="C21" i="34"/>
  <c r="F21" i="34"/>
  <c r="B21" i="34"/>
  <c r="D21" i="34"/>
  <c r="H21" i="34"/>
  <c r="E21" i="34"/>
  <c r="B19" i="32"/>
  <c r="G19" i="33"/>
  <c r="C19" i="33"/>
  <c r="F19" i="33"/>
  <c r="B19" i="33"/>
  <c r="D19" i="33"/>
  <c r="E19" i="33"/>
  <c r="H19" i="33"/>
  <c r="H19" i="32"/>
  <c r="G25" i="33"/>
  <c r="C25" i="33"/>
  <c r="F25" i="33"/>
  <c r="B25" i="33"/>
  <c r="E25" i="33"/>
  <c r="H25" i="33"/>
  <c r="D25" i="33"/>
  <c r="C43" i="33"/>
  <c r="B43" i="33"/>
  <c r="B41" i="33" a="1"/>
  <c r="B39" i="33" a="1"/>
  <c r="B37" i="33" a="1"/>
  <c r="B35" i="33" a="1"/>
  <c r="B33" i="33" a="1"/>
  <c r="B31" i="33" a="1"/>
  <c r="G17" i="33"/>
  <c r="G16" i="33" s="1"/>
  <c r="C17" i="33"/>
  <c r="C16" i="33" s="1"/>
  <c r="F17" i="33"/>
  <c r="F16" i="33" s="1"/>
  <c r="B17" i="33"/>
  <c r="B16" i="33" s="1"/>
  <c r="E17" i="33"/>
  <c r="E16" i="33" s="1"/>
  <c r="H17" i="33"/>
  <c r="H16" i="33" s="1"/>
  <c r="D17" i="33"/>
  <c r="D16" i="33" s="1"/>
  <c r="G19" i="32"/>
  <c r="F19" i="32"/>
  <c r="C27" i="33"/>
  <c r="B27" i="33"/>
  <c r="G23" i="33"/>
  <c r="C23" i="33"/>
  <c r="F23" i="33"/>
  <c r="B23" i="33"/>
  <c r="E23" i="33"/>
  <c r="H23" i="33"/>
  <c r="D23" i="33"/>
  <c r="C19" i="32"/>
  <c r="F25" i="32"/>
  <c r="B25" i="32"/>
  <c r="H25" i="32"/>
  <c r="D25" i="32"/>
  <c r="G25" i="32"/>
  <c r="C25" i="32"/>
  <c r="E25" i="32"/>
  <c r="F17" i="32"/>
  <c r="F16" i="32" s="1"/>
  <c r="B17" i="32"/>
  <c r="B16" i="32" s="1"/>
  <c r="E17" i="32"/>
  <c r="E16" i="32" s="1"/>
  <c r="H17" i="32"/>
  <c r="H16" i="32" s="1"/>
  <c r="D17" i="32"/>
  <c r="D16" i="32" s="1"/>
  <c r="G17" i="32"/>
  <c r="G16" i="32" s="1"/>
  <c r="C17" i="32"/>
  <c r="C16" i="32" s="1"/>
  <c r="B17" i="28"/>
  <c r="B16" i="28" s="1"/>
  <c r="F21" i="32"/>
  <c r="B21" i="32"/>
  <c r="E21" i="32"/>
  <c r="H21" i="32"/>
  <c r="D21" i="32"/>
  <c r="G21" i="32"/>
  <c r="C21" i="32"/>
  <c r="B27" i="32"/>
  <c r="C27" i="32"/>
  <c r="B43" i="32"/>
  <c r="B41" i="32" a="1"/>
  <c r="B35" i="32" a="1"/>
  <c r="B37" i="32" a="1"/>
  <c r="B31" i="32" a="1"/>
  <c r="C43" i="32"/>
  <c r="B39" i="32" a="1"/>
  <c r="B33" i="32" a="1"/>
  <c r="G17" i="28"/>
  <c r="G16" i="28" s="1"/>
  <c r="H21" i="29"/>
  <c r="F23" i="32"/>
  <c r="B23" i="32"/>
  <c r="E23" i="32"/>
  <c r="H23" i="32"/>
  <c r="D23" i="32"/>
  <c r="G23" i="32"/>
  <c r="C23" i="32"/>
  <c r="D17" i="28"/>
  <c r="D16" i="28" s="1"/>
  <c r="F21" i="29"/>
  <c r="E17" i="28"/>
  <c r="E16" i="28" s="1"/>
  <c r="C21" i="29"/>
  <c r="B41" i="31" a="1"/>
  <c r="B39" i="31" a="1"/>
  <c r="B43" i="31"/>
  <c r="B37" i="31" a="1"/>
  <c r="B35" i="31" a="1"/>
  <c r="B33" i="31" a="1"/>
  <c r="B31" i="31" a="1"/>
  <c r="C43" i="31"/>
  <c r="G19" i="31"/>
  <c r="C19" i="31"/>
  <c r="F19" i="31"/>
  <c r="B19" i="31"/>
  <c r="H19" i="31"/>
  <c r="E19" i="31"/>
  <c r="D19" i="31"/>
  <c r="G23" i="31"/>
  <c r="C23" i="31"/>
  <c r="F23" i="31"/>
  <c r="B23" i="31"/>
  <c r="E23" i="31"/>
  <c r="D23" i="31"/>
  <c r="H23" i="31"/>
  <c r="C27" i="31"/>
  <c r="B27" i="31"/>
  <c r="G21" i="31"/>
  <c r="C21" i="31"/>
  <c r="F21" i="31"/>
  <c r="B21" i="31"/>
  <c r="E21" i="31"/>
  <c r="D21" i="31"/>
  <c r="H21" i="31"/>
  <c r="G17" i="31"/>
  <c r="G16" i="31" s="1"/>
  <c r="C17" i="31"/>
  <c r="C16" i="31" s="1"/>
  <c r="F17" i="31"/>
  <c r="F16" i="31" s="1"/>
  <c r="B17" i="31"/>
  <c r="B16" i="31" s="1"/>
  <c r="E17" i="31"/>
  <c r="E16" i="31" s="1"/>
  <c r="D17" i="31"/>
  <c r="D16" i="31" s="1"/>
  <c r="H17" i="31"/>
  <c r="H16" i="31" s="1"/>
  <c r="G25" i="31"/>
  <c r="C25" i="31"/>
  <c r="F25" i="31"/>
  <c r="B25" i="31"/>
  <c r="E25" i="31"/>
  <c r="D25" i="31"/>
  <c r="H25" i="31"/>
  <c r="F17" i="28"/>
  <c r="F16" i="28" s="1"/>
  <c r="H17" i="28"/>
  <c r="H16" i="28" s="1"/>
  <c r="E21" i="29"/>
  <c r="G21" i="29"/>
  <c r="B21" i="29"/>
  <c r="G23" i="30"/>
  <c r="C23" i="30"/>
  <c r="E23" i="30"/>
  <c r="D23" i="30"/>
  <c r="H23" i="30"/>
  <c r="B23" i="30"/>
  <c r="F23" i="30"/>
  <c r="C43" i="30"/>
  <c r="B41" i="30" a="1"/>
  <c r="B39" i="30" a="1"/>
  <c r="B37" i="30" a="1"/>
  <c r="B35" i="30" a="1"/>
  <c r="B33" i="30" a="1"/>
  <c r="B31" i="30" a="1"/>
  <c r="B43" i="30"/>
  <c r="G17" i="30"/>
  <c r="G16" i="30" s="1"/>
  <c r="C17" i="30"/>
  <c r="C16" i="30" s="1"/>
  <c r="H17" i="30"/>
  <c r="H16" i="30" s="1"/>
  <c r="B17" i="30"/>
  <c r="B16" i="30" s="1"/>
  <c r="D17" i="30"/>
  <c r="D16" i="30" s="1"/>
  <c r="F17" i="30"/>
  <c r="F16" i="30" s="1"/>
  <c r="E17" i="30"/>
  <c r="E16" i="30" s="1"/>
  <c r="G25" i="30"/>
  <c r="C25" i="30"/>
  <c r="D25" i="30"/>
  <c r="H25" i="30"/>
  <c r="B25" i="30"/>
  <c r="F25" i="30"/>
  <c r="E25" i="30"/>
  <c r="G19" i="30"/>
  <c r="C19" i="30"/>
  <c r="F19" i="30"/>
  <c r="E19" i="30"/>
  <c r="D19" i="30"/>
  <c r="H19" i="30"/>
  <c r="B19" i="30"/>
  <c r="C27" i="30"/>
  <c r="B27" i="30"/>
  <c r="G21" i="30"/>
  <c r="C21" i="30"/>
  <c r="D21" i="30"/>
  <c r="H21" i="30"/>
  <c r="B21" i="30"/>
  <c r="F21" i="30"/>
  <c r="E21" i="30"/>
  <c r="C43" i="29"/>
  <c r="B41" i="29" a="1"/>
  <c r="B43" i="29"/>
  <c r="B39" i="29" a="1"/>
  <c r="B37" i="29" a="1"/>
  <c r="B35" i="29" a="1"/>
  <c r="B33" i="29" a="1"/>
  <c r="B31" i="29" a="1"/>
  <c r="H19" i="29"/>
  <c r="D19" i="29"/>
  <c r="G19" i="29"/>
  <c r="C19" i="29"/>
  <c r="F19" i="29"/>
  <c r="B19" i="29"/>
  <c r="E19" i="29"/>
  <c r="H23" i="29"/>
  <c r="D23" i="29"/>
  <c r="G23" i="29"/>
  <c r="C23" i="29"/>
  <c r="F23" i="29"/>
  <c r="B23" i="29"/>
  <c r="E23" i="29"/>
  <c r="B27" i="28"/>
  <c r="G25" i="29"/>
  <c r="D25" i="29"/>
  <c r="H25" i="29"/>
  <c r="C25" i="29"/>
  <c r="F25" i="29"/>
  <c r="B25" i="29"/>
  <c r="E25" i="29"/>
  <c r="H17" i="29"/>
  <c r="H16" i="29" s="1"/>
  <c r="D17" i="29"/>
  <c r="D16" i="29" s="1"/>
  <c r="G17" i="29"/>
  <c r="G16" i="29" s="1"/>
  <c r="C17" i="29"/>
  <c r="C16" i="29" s="1"/>
  <c r="F17" i="29"/>
  <c r="F16" i="29" s="1"/>
  <c r="B17" i="29"/>
  <c r="B16" i="29" s="1"/>
  <c r="E17" i="29"/>
  <c r="E16" i="29" s="1"/>
  <c r="C27" i="29"/>
  <c r="B27" i="29"/>
  <c r="D23" i="26"/>
  <c r="H19" i="28"/>
  <c r="D19" i="28"/>
  <c r="G19" i="28"/>
  <c r="C19" i="28"/>
  <c r="F19" i="28"/>
  <c r="E19" i="28"/>
  <c r="B19" i="28"/>
  <c r="H25" i="28"/>
  <c r="D25" i="28"/>
  <c r="G25" i="28"/>
  <c r="C25" i="28"/>
  <c r="F25" i="28"/>
  <c r="E25" i="28"/>
  <c r="B25" i="28"/>
  <c r="H23" i="28"/>
  <c r="D23" i="28"/>
  <c r="G23" i="28"/>
  <c r="C23" i="28"/>
  <c r="F23" i="28"/>
  <c r="B23" i="28"/>
  <c r="E23" i="28"/>
  <c r="B43" i="28"/>
  <c r="B41" i="28" a="1"/>
  <c r="B37" i="28" a="1"/>
  <c r="B33" i="28" a="1"/>
  <c r="C43" i="28"/>
  <c r="B39" i="28" a="1"/>
  <c r="B35" i="28" a="1"/>
  <c r="B31" i="28" a="1"/>
  <c r="H21" i="28"/>
  <c r="D21" i="28"/>
  <c r="G21" i="28"/>
  <c r="C21" i="28"/>
  <c r="F21" i="28"/>
  <c r="B21" i="28"/>
  <c r="E21" i="28"/>
  <c r="B23" i="26"/>
  <c r="C17" i="24"/>
  <c r="C16" i="24" s="1"/>
  <c r="C23" i="26"/>
  <c r="H25" i="27"/>
  <c r="D25" i="27"/>
  <c r="G25" i="27"/>
  <c r="B25" i="27"/>
  <c r="F25" i="27"/>
  <c r="E25" i="27"/>
  <c r="C25" i="27"/>
  <c r="B43" i="27"/>
  <c r="B41" i="27" a="1"/>
  <c r="B37" i="27" a="1"/>
  <c r="B33" i="27" a="1"/>
  <c r="C43" i="27"/>
  <c r="B31" i="27" a="1"/>
  <c r="B35" i="27" a="1"/>
  <c r="B39" i="27" a="1"/>
  <c r="F17" i="27"/>
  <c r="F16" i="27" s="1"/>
  <c r="B17" i="27"/>
  <c r="B16" i="27" s="1"/>
  <c r="E17" i="27"/>
  <c r="E16" i="27" s="1"/>
  <c r="G17" i="27"/>
  <c r="G16" i="27" s="1"/>
  <c r="D17" i="27"/>
  <c r="D16" i="27" s="1"/>
  <c r="C17" i="27"/>
  <c r="C16" i="27" s="1"/>
  <c r="H17" i="27"/>
  <c r="H16" i="27" s="1"/>
  <c r="F21" i="27"/>
  <c r="B21" i="27"/>
  <c r="E21" i="27"/>
  <c r="G21" i="27"/>
  <c r="D21" i="27"/>
  <c r="C21" i="27"/>
  <c r="H21" i="27"/>
  <c r="F23" i="27"/>
  <c r="B23" i="27"/>
  <c r="E23" i="27"/>
  <c r="G23" i="27"/>
  <c r="D23" i="27"/>
  <c r="C23" i="27"/>
  <c r="H23" i="27"/>
  <c r="E23" i="26"/>
  <c r="G23" i="26"/>
  <c r="C27" i="27"/>
  <c r="B27" i="27"/>
  <c r="F19" i="27"/>
  <c r="B19" i="27"/>
  <c r="E19" i="27"/>
  <c r="G19" i="27"/>
  <c r="D19" i="27"/>
  <c r="C19" i="27"/>
  <c r="H19" i="27"/>
  <c r="E19" i="24"/>
  <c r="D21" i="25"/>
  <c r="C21" i="25"/>
  <c r="F21" i="25"/>
  <c r="G21" i="25"/>
  <c r="B19" i="24"/>
  <c r="E21" i="25"/>
  <c r="H21" i="25"/>
  <c r="D17" i="24"/>
  <c r="D16" i="24" s="1"/>
  <c r="C19" i="24"/>
  <c r="F23" i="26"/>
  <c r="H19" i="24"/>
  <c r="G19" i="24"/>
  <c r="C27" i="26"/>
  <c r="B27" i="26"/>
  <c r="G19" i="26"/>
  <c r="C19" i="26"/>
  <c r="D19" i="26"/>
  <c r="F19" i="26"/>
  <c r="B19" i="26"/>
  <c r="E19" i="26"/>
  <c r="H19" i="26"/>
  <c r="H25" i="26"/>
  <c r="G25" i="26"/>
  <c r="C25" i="26"/>
  <c r="F25" i="26"/>
  <c r="B25" i="26"/>
  <c r="E25" i="26"/>
  <c r="D25" i="26"/>
  <c r="B43" i="26"/>
  <c r="B41" i="26" a="1"/>
  <c r="B39" i="26" a="1"/>
  <c r="C43" i="26"/>
  <c r="B37" i="26" a="1"/>
  <c r="B35" i="26" a="1"/>
  <c r="B33" i="26" a="1"/>
  <c r="B31" i="26" a="1"/>
  <c r="D21" i="26"/>
  <c r="G21" i="26"/>
  <c r="C21" i="26"/>
  <c r="F21" i="26"/>
  <c r="B21" i="26"/>
  <c r="E21" i="26"/>
  <c r="H21" i="26"/>
  <c r="G17" i="26"/>
  <c r="G16" i="26" s="1"/>
  <c r="C17" i="26"/>
  <c r="C16" i="26" s="1"/>
  <c r="D17" i="26"/>
  <c r="D16" i="26" s="1"/>
  <c r="F17" i="26"/>
  <c r="F16" i="26" s="1"/>
  <c r="B17" i="26"/>
  <c r="B16" i="26" s="1"/>
  <c r="E17" i="26"/>
  <c r="E16" i="26" s="1"/>
  <c r="H17" i="26"/>
  <c r="H16" i="26" s="1"/>
  <c r="B17" i="24"/>
  <c r="B16" i="24" s="1"/>
  <c r="C19" i="21"/>
  <c r="E17" i="24"/>
  <c r="E16" i="24" s="1"/>
  <c r="G17" i="24"/>
  <c r="G16" i="24" s="1"/>
  <c r="H17" i="24"/>
  <c r="H16" i="24" s="1"/>
  <c r="H19" i="25"/>
  <c r="D19" i="25"/>
  <c r="F19" i="25"/>
  <c r="B19" i="25"/>
  <c r="E19" i="25"/>
  <c r="G19" i="25"/>
  <c r="C19" i="25"/>
  <c r="H17" i="25"/>
  <c r="H16" i="25" s="1"/>
  <c r="D17" i="25"/>
  <c r="D16" i="25" s="1"/>
  <c r="F17" i="25"/>
  <c r="F16" i="25" s="1"/>
  <c r="B17" i="25"/>
  <c r="B16" i="25" s="1"/>
  <c r="C17" i="25"/>
  <c r="C16" i="25" s="1"/>
  <c r="G17" i="25"/>
  <c r="G16" i="25" s="1"/>
  <c r="E17" i="25"/>
  <c r="E16" i="25" s="1"/>
  <c r="H25" i="25"/>
  <c r="D25" i="25"/>
  <c r="C25" i="25"/>
  <c r="G25" i="25"/>
  <c r="F25" i="25"/>
  <c r="B25" i="25"/>
  <c r="E25" i="25"/>
  <c r="C25" i="20"/>
  <c r="B43" i="25"/>
  <c r="B41" i="25" a="1"/>
  <c r="B37" i="25" a="1"/>
  <c r="B33" i="25" a="1"/>
  <c r="C43" i="25"/>
  <c r="B39" i="25" a="1"/>
  <c r="B35" i="25" a="1"/>
  <c r="B31" i="25" a="1"/>
  <c r="G25" i="20"/>
  <c r="C27" i="25"/>
  <c r="B27" i="25"/>
  <c r="H23" i="25"/>
  <c r="D23" i="25"/>
  <c r="G23" i="25"/>
  <c r="F23" i="25"/>
  <c r="B23" i="25"/>
  <c r="E23" i="25"/>
  <c r="C23" i="25"/>
  <c r="C27" i="21"/>
  <c r="G19" i="21"/>
  <c r="D19" i="24"/>
  <c r="C27" i="24"/>
  <c r="B27" i="24"/>
  <c r="B41" i="24" a="1"/>
  <c r="B37" i="24" a="1"/>
  <c r="B33" i="24" a="1"/>
  <c r="C43" i="24"/>
  <c r="B43" i="24"/>
  <c r="B39" i="24" a="1"/>
  <c r="B31" i="24" a="1"/>
  <c r="B35" i="24" a="1"/>
  <c r="G25" i="24"/>
  <c r="C25" i="24"/>
  <c r="F25" i="24"/>
  <c r="B25" i="24"/>
  <c r="E25" i="24"/>
  <c r="D25" i="24"/>
  <c r="H25" i="24"/>
  <c r="G21" i="24"/>
  <c r="C21" i="24"/>
  <c r="F21" i="24"/>
  <c r="B21" i="24"/>
  <c r="E21" i="24"/>
  <c r="D21" i="24"/>
  <c r="H21" i="24"/>
  <c r="G23" i="24"/>
  <c r="C23" i="24"/>
  <c r="F23" i="24"/>
  <c r="B23" i="24"/>
  <c r="E23" i="24"/>
  <c r="H23" i="24"/>
  <c r="D23" i="24"/>
  <c r="B25" i="20"/>
  <c r="G17" i="23"/>
  <c r="G16" i="23" s="1"/>
  <c r="C17" i="23"/>
  <c r="C16" i="23" s="1"/>
  <c r="F17" i="23"/>
  <c r="F16" i="23" s="1"/>
  <c r="B17" i="23"/>
  <c r="B16" i="23" s="1"/>
  <c r="E17" i="23"/>
  <c r="E16" i="23" s="1"/>
  <c r="H17" i="23"/>
  <c r="H16" i="23" s="1"/>
  <c r="D17" i="23"/>
  <c r="D16" i="23" s="1"/>
  <c r="G21" i="23"/>
  <c r="C21" i="23"/>
  <c r="F21" i="23"/>
  <c r="B21" i="23"/>
  <c r="E21" i="23"/>
  <c r="H21" i="23"/>
  <c r="D21" i="23"/>
  <c r="G25" i="23"/>
  <c r="C25" i="23"/>
  <c r="F25" i="23"/>
  <c r="B25" i="23"/>
  <c r="E25" i="23"/>
  <c r="H25" i="23"/>
  <c r="D25" i="23"/>
  <c r="H19" i="21"/>
  <c r="G23" i="23"/>
  <c r="C23" i="23"/>
  <c r="F23" i="23"/>
  <c r="B23" i="23"/>
  <c r="E23" i="23"/>
  <c r="H23" i="23"/>
  <c r="D23" i="23"/>
  <c r="C27" i="23"/>
  <c r="B27" i="23"/>
  <c r="C43" i="23"/>
  <c r="B41" i="23" a="1"/>
  <c r="B39" i="23" a="1"/>
  <c r="B37" i="23" a="1"/>
  <c r="B35" i="23" a="1"/>
  <c r="B33" i="23" a="1"/>
  <c r="B31" i="23" a="1"/>
  <c r="B43" i="23"/>
  <c r="G19" i="23"/>
  <c r="C19" i="23"/>
  <c r="F19" i="23"/>
  <c r="B19" i="23"/>
  <c r="E19" i="23"/>
  <c r="H19" i="23"/>
  <c r="D19" i="23"/>
  <c r="F25" i="20"/>
  <c r="D25" i="20"/>
  <c r="E19" i="21"/>
  <c r="E25" i="20"/>
  <c r="F23" i="22"/>
  <c r="B23" i="22"/>
  <c r="E23" i="22"/>
  <c r="H23" i="22"/>
  <c r="G23" i="22"/>
  <c r="D23" i="22"/>
  <c r="C23" i="22"/>
  <c r="B19" i="21"/>
  <c r="F25" i="22"/>
  <c r="B25" i="22"/>
  <c r="E25" i="22"/>
  <c r="H25" i="22"/>
  <c r="G25" i="22"/>
  <c r="D25" i="22"/>
  <c r="C25" i="22"/>
  <c r="F19" i="22"/>
  <c r="B19" i="22"/>
  <c r="E19" i="22"/>
  <c r="H19" i="22"/>
  <c r="G19" i="22"/>
  <c r="D19" i="22"/>
  <c r="C19" i="22"/>
  <c r="D19" i="21"/>
  <c r="F17" i="22"/>
  <c r="F16" i="22" s="1"/>
  <c r="B17" i="22"/>
  <c r="B16" i="22" s="1"/>
  <c r="E17" i="22"/>
  <c r="E16" i="22" s="1"/>
  <c r="H17" i="22"/>
  <c r="H16" i="22" s="1"/>
  <c r="G17" i="22"/>
  <c r="G16" i="22" s="1"/>
  <c r="D17" i="22"/>
  <c r="D16" i="22" s="1"/>
  <c r="C17" i="22"/>
  <c r="C16" i="22" s="1"/>
  <c r="B43" i="22"/>
  <c r="B39" i="22" a="1"/>
  <c r="B35" i="22" a="1"/>
  <c r="B33" i="22" a="1"/>
  <c r="B31" i="22" a="1"/>
  <c r="B41" i="22" a="1"/>
  <c r="B37" i="22" a="1"/>
  <c r="C43" i="22"/>
  <c r="B27" i="22"/>
  <c r="C27" i="22"/>
  <c r="F21" i="22"/>
  <c r="B21" i="22"/>
  <c r="E21" i="22"/>
  <c r="H21" i="22"/>
  <c r="G21" i="22"/>
  <c r="D21" i="22"/>
  <c r="C21" i="22"/>
  <c r="G21" i="21"/>
  <c r="C21" i="21"/>
  <c r="F21" i="21"/>
  <c r="B21" i="21"/>
  <c r="E21" i="21"/>
  <c r="H21" i="21"/>
  <c r="D21" i="21"/>
  <c r="B17" i="16"/>
  <c r="B16" i="16" s="1"/>
  <c r="D17" i="16"/>
  <c r="D16" i="16" s="1"/>
  <c r="B23" i="18"/>
  <c r="G25" i="21"/>
  <c r="C25" i="21"/>
  <c r="F25" i="21"/>
  <c r="B25" i="21"/>
  <c r="E25" i="21"/>
  <c r="H25" i="21"/>
  <c r="D25" i="21"/>
  <c r="B43" i="21"/>
  <c r="C43" i="21"/>
  <c r="B41" i="21" a="1"/>
  <c r="B39" i="21" a="1"/>
  <c r="B37" i="21" a="1"/>
  <c r="B35" i="21" a="1"/>
  <c r="B33" i="21" a="1"/>
  <c r="B31" i="21" a="1"/>
  <c r="E17" i="16"/>
  <c r="E16" i="16" s="1"/>
  <c r="H17" i="16"/>
  <c r="H16" i="16" s="1"/>
  <c r="E23" i="18"/>
  <c r="G17" i="21"/>
  <c r="G16" i="21" s="1"/>
  <c r="C17" i="21"/>
  <c r="C16" i="21" s="1"/>
  <c r="F17" i="21"/>
  <c r="F16" i="21" s="1"/>
  <c r="B17" i="21"/>
  <c r="B16" i="21" s="1"/>
  <c r="E17" i="21"/>
  <c r="E16" i="21" s="1"/>
  <c r="H17" i="21"/>
  <c r="H16" i="21" s="1"/>
  <c r="D17" i="21"/>
  <c r="D16" i="21" s="1"/>
  <c r="G17" i="16"/>
  <c r="G16" i="16" s="1"/>
  <c r="F17" i="16"/>
  <c r="F16" i="16" s="1"/>
  <c r="G23" i="21"/>
  <c r="C23" i="21"/>
  <c r="F23" i="21"/>
  <c r="B23" i="21"/>
  <c r="E23" i="21"/>
  <c r="H23" i="21"/>
  <c r="D23" i="21"/>
  <c r="H17" i="20"/>
  <c r="H16" i="20" s="1"/>
  <c r="D17" i="20"/>
  <c r="D16" i="20" s="1"/>
  <c r="G17" i="20"/>
  <c r="G16" i="20" s="1"/>
  <c r="C17" i="20"/>
  <c r="C16" i="20" s="1"/>
  <c r="E17" i="20"/>
  <c r="E16" i="20" s="1"/>
  <c r="F17" i="20"/>
  <c r="F16" i="20" s="1"/>
  <c r="B17" i="20"/>
  <c r="B16" i="20" s="1"/>
  <c r="C21" i="18"/>
  <c r="F23" i="18"/>
  <c r="D23" i="18"/>
  <c r="H19" i="20"/>
  <c r="D19" i="20"/>
  <c r="G19" i="20"/>
  <c r="C19" i="20"/>
  <c r="E19" i="20"/>
  <c r="B19" i="20"/>
  <c r="F19" i="20"/>
  <c r="C23" i="18"/>
  <c r="H23" i="18"/>
  <c r="H23" i="20"/>
  <c r="D23" i="20"/>
  <c r="G23" i="20"/>
  <c r="C23" i="20"/>
  <c r="E23" i="20"/>
  <c r="F23" i="20"/>
  <c r="B23" i="20"/>
  <c r="B43" i="20"/>
  <c r="B41" i="20" a="1"/>
  <c r="B37" i="20" a="1"/>
  <c r="B33" i="20" a="1"/>
  <c r="B39" i="20" a="1"/>
  <c r="B31" i="20" a="1"/>
  <c r="C43" i="20"/>
  <c r="B35" i="20" a="1"/>
  <c r="H21" i="20"/>
  <c r="D21" i="20"/>
  <c r="G21" i="20"/>
  <c r="C21" i="20"/>
  <c r="E21" i="20"/>
  <c r="F21" i="20"/>
  <c r="B21" i="20"/>
  <c r="C27" i="20"/>
  <c r="B27" i="20"/>
  <c r="F21" i="18"/>
  <c r="D21" i="18"/>
  <c r="B21" i="18"/>
  <c r="G21" i="18"/>
  <c r="E21" i="18"/>
  <c r="G17" i="19"/>
  <c r="G16" i="19" s="1"/>
  <c r="C17" i="19"/>
  <c r="C16" i="19" s="1"/>
  <c r="F17" i="19"/>
  <c r="F16" i="19" s="1"/>
  <c r="B17" i="19"/>
  <c r="B16" i="19" s="1"/>
  <c r="H17" i="19"/>
  <c r="H16" i="19" s="1"/>
  <c r="E17" i="19"/>
  <c r="E16" i="19" s="1"/>
  <c r="D17" i="19"/>
  <c r="D16" i="19" s="1"/>
  <c r="G21" i="19"/>
  <c r="C21" i="19"/>
  <c r="F21" i="19"/>
  <c r="B21" i="19"/>
  <c r="H21" i="19"/>
  <c r="E21" i="19"/>
  <c r="D21" i="19"/>
  <c r="G23" i="19"/>
  <c r="C23" i="19"/>
  <c r="F23" i="19"/>
  <c r="B23" i="19"/>
  <c r="D23" i="19"/>
  <c r="H23" i="19"/>
  <c r="E23" i="19"/>
  <c r="C27" i="19"/>
  <c r="B27" i="19"/>
  <c r="C43" i="19"/>
  <c r="B41" i="19" a="1"/>
  <c r="B39" i="19" a="1"/>
  <c r="B37" i="19" a="1"/>
  <c r="B35" i="19" a="1"/>
  <c r="B33" i="19" a="1"/>
  <c r="B31" i="19" a="1"/>
  <c r="B43" i="19"/>
  <c r="G25" i="19"/>
  <c r="C25" i="19"/>
  <c r="F25" i="19"/>
  <c r="B25" i="19"/>
  <c r="E25" i="19"/>
  <c r="D25" i="19"/>
  <c r="H25" i="19"/>
  <c r="G19" i="19"/>
  <c r="C19" i="19"/>
  <c r="F19" i="19"/>
  <c r="B19" i="19"/>
  <c r="D19" i="19"/>
  <c r="H19" i="19"/>
  <c r="E19" i="19"/>
  <c r="C43" i="18"/>
  <c r="B37" i="18" a="1"/>
  <c r="B31" i="18" a="1"/>
  <c r="B43" i="18"/>
  <c r="B39" i="18" a="1"/>
  <c r="B35" i="18" a="1"/>
  <c r="B41" i="18" a="1"/>
  <c r="B33" i="18" a="1"/>
  <c r="H25" i="18"/>
  <c r="D25" i="18"/>
  <c r="G25" i="18"/>
  <c r="C25" i="18"/>
  <c r="F25" i="18"/>
  <c r="B25" i="18"/>
  <c r="E25" i="18"/>
  <c r="H17" i="18"/>
  <c r="H16" i="18" s="1"/>
  <c r="D17" i="18"/>
  <c r="D16" i="18" s="1"/>
  <c r="E17" i="18"/>
  <c r="E16" i="18" s="1"/>
  <c r="G17" i="18"/>
  <c r="G16" i="18" s="1"/>
  <c r="C17" i="18"/>
  <c r="C16" i="18" s="1"/>
  <c r="F17" i="18"/>
  <c r="F16" i="18" s="1"/>
  <c r="B17" i="18"/>
  <c r="B16" i="18" s="1"/>
  <c r="H19" i="18"/>
  <c r="D19" i="18"/>
  <c r="G19" i="18"/>
  <c r="C19" i="18"/>
  <c r="F19" i="18"/>
  <c r="B19" i="18"/>
  <c r="E19" i="18"/>
  <c r="C27" i="18"/>
  <c r="B27" i="18"/>
  <c r="F25" i="16"/>
  <c r="D25" i="16"/>
  <c r="B25" i="16"/>
  <c r="E25" i="17"/>
  <c r="H25" i="17"/>
  <c r="D25" i="17"/>
  <c r="B25" i="17"/>
  <c r="F25" i="17"/>
  <c r="G25" i="17"/>
  <c r="C25" i="17"/>
  <c r="E25" i="16"/>
  <c r="H25" i="16"/>
  <c r="E17" i="17"/>
  <c r="E16" i="17" s="1"/>
  <c r="H17" i="17"/>
  <c r="H16" i="17" s="1"/>
  <c r="D17" i="17"/>
  <c r="D16" i="17" s="1"/>
  <c r="B17" i="17"/>
  <c r="B16" i="17" s="1"/>
  <c r="C17" i="17"/>
  <c r="C16" i="17" s="1"/>
  <c r="G17" i="17"/>
  <c r="G16" i="17" s="1"/>
  <c r="F17" i="17"/>
  <c r="F16" i="17" s="1"/>
  <c r="E21" i="17"/>
  <c r="H21" i="17"/>
  <c r="D21" i="17"/>
  <c r="B21" i="17"/>
  <c r="F21" i="17"/>
  <c r="C21" i="17"/>
  <c r="G21" i="17"/>
  <c r="B43" i="17"/>
  <c r="B39" i="17" a="1"/>
  <c r="B35" i="17" a="1"/>
  <c r="B31" i="17" a="1"/>
  <c r="C43" i="17"/>
  <c r="B33" i="17" a="1"/>
  <c r="B37" i="17" a="1"/>
  <c r="B41" i="17" a="1"/>
  <c r="E23" i="17"/>
  <c r="H23" i="17"/>
  <c r="D23" i="17"/>
  <c r="B23" i="17"/>
  <c r="F23" i="17"/>
  <c r="G23" i="17"/>
  <c r="C23" i="17"/>
  <c r="C27" i="17"/>
  <c r="B27" i="17"/>
  <c r="C25" i="16"/>
  <c r="E19" i="17"/>
  <c r="H19" i="17"/>
  <c r="D19" i="17"/>
  <c r="B19" i="17"/>
  <c r="F19" i="17"/>
  <c r="G19" i="17"/>
  <c r="C19" i="17"/>
  <c r="H19" i="16"/>
  <c r="D19" i="16"/>
  <c r="G19" i="16"/>
  <c r="C19" i="16"/>
  <c r="F19" i="16"/>
  <c r="E19" i="16"/>
  <c r="B19" i="16"/>
  <c r="H23" i="16"/>
  <c r="D23" i="16"/>
  <c r="G23" i="16"/>
  <c r="C23" i="16"/>
  <c r="F23" i="16"/>
  <c r="E23" i="16"/>
  <c r="B23" i="16"/>
  <c r="H21" i="16"/>
  <c r="D21" i="16"/>
  <c r="G21" i="16"/>
  <c r="C21" i="16"/>
  <c r="F21" i="16"/>
  <c r="E21" i="16"/>
  <c r="B21" i="16"/>
  <c r="B43" i="16"/>
  <c r="B41" i="16" a="1"/>
  <c r="B39" i="16" a="1"/>
  <c r="B37" i="16" a="1"/>
  <c r="B35" i="16" a="1"/>
  <c r="B33" i="16" a="1"/>
  <c r="B31" i="16" a="1"/>
  <c r="C43" i="16"/>
  <c r="C27" i="16"/>
  <c r="B27" i="16"/>
  <c r="G19" i="15"/>
  <c r="C19" i="15"/>
  <c r="F19" i="15"/>
  <c r="D19" i="15"/>
  <c r="B19" i="15"/>
  <c r="E19" i="15"/>
  <c r="H19" i="15"/>
  <c r="G21" i="15"/>
  <c r="C21" i="15"/>
  <c r="F21" i="15"/>
  <c r="B21" i="15"/>
  <c r="D21" i="15"/>
  <c r="E21" i="15"/>
  <c r="H21" i="15"/>
  <c r="G17" i="15"/>
  <c r="G16" i="15" s="1"/>
  <c r="C17" i="15"/>
  <c r="C16" i="15" s="1"/>
  <c r="F17" i="15"/>
  <c r="F16" i="15" s="1"/>
  <c r="B17" i="15"/>
  <c r="B16" i="15" s="1"/>
  <c r="D17" i="15"/>
  <c r="D16" i="15" s="1"/>
  <c r="E17" i="15"/>
  <c r="E16" i="15" s="1"/>
  <c r="H17" i="15"/>
  <c r="H16" i="15" s="1"/>
  <c r="B43" i="15"/>
  <c r="C43" i="15"/>
  <c r="B37" i="15" a="1"/>
  <c r="B41" i="15" a="1"/>
  <c r="B39" i="15" a="1"/>
  <c r="B35" i="15" a="1"/>
  <c r="B33" i="15" a="1"/>
  <c r="B31" i="15" a="1"/>
  <c r="G23" i="15"/>
  <c r="C23" i="15"/>
  <c r="F23" i="15"/>
  <c r="B23" i="15"/>
  <c r="H23" i="15"/>
  <c r="E23" i="15"/>
  <c r="D23" i="15"/>
  <c r="C27" i="15"/>
  <c r="B27" i="15"/>
  <c r="F19" i="14"/>
  <c r="H19" i="14"/>
  <c r="G19" i="14"/>
  <c r="B19" i="14"/>
  <c r="E19" i="14"/>
  <c r="D19" i="14"/>
  <c r="B43" i="14"/>
  <c r="G17" i="14"/>
  <c r="G16" i="14" s="1"/>
  <c r="F17" i="14"/>
  <c r="F16" i="14" s="1"/>
  <c r="D17" i="14"/>
  <c r="D16" i="14" s="1"/>
  <c r="D23" i="14"/>
  <c r="B27" i="14"/>
  <c r="H17" i="14"/>
  <c r="H16" i="14" s="1"/>
  <c r="H23" i="14"/>
  <c r="C17" i="14"/>
  <c r="C16" i="14" s="1"/>
  <c r="E17" i="14"/>
  <c r="E16" i="14" s="1"/>
  <c r="B21" i="14"/>
  <c r="C23" i="14"/>
  <c r="E23" i="14"/>
  <c r="G23" i="14"/>
  <c r="E25" i="14"/>
  <c r="F25" i="14"/>
  <c r="G25" i="14"/>
  <c r="F23" i="14"/>
  <c r="H25" i="14"/>
  <c r="D25" i="14"/>
  <c r="C25" i="14"/>
  <c r="C21" i="14"/>
  <c r="D21" i="14"/>
  <c r="E21" i="14"/>
  <c r="B35" i="14" a="1"/>
  <c r="B35" i="14" s="1"/>
  <c r="B41" i="14" a="1"/>
  <c r="C41" i="14" s="1"/>
  <c r="B37" i="14" a="1"/>
  <c r="H37" i="14" s="1"/>
  <c r="B33" i="14" a="1"/>
  <c r="D33" i="14" s="1"/>
  <c r="B31" i="14" a="1"/>
  <c r="G31" i="14" s="1"/>
  <c r="G30" i="14" s="1"/>
  <c r="B39" i="14" a="1"/>
  <c r="H39" i="14" s="1"/>
  <c r="G21" i="14"/>
  <c r="H21" i="14"/>
  <c r="C43" i="14"/>
  <c r="C35" i="58" l="1"/>
  <c r="B35" i="58"/>
  <c r="G35" i="58"/>
  <c r="F35" i="58"/>
  <c r="D35" i="58"/>
  <c r="E35" i="58"/>
  <c r="A35" i="58"/>
  <c r="C33" i="58"/>
  <c r="B33" i="58"/>
  <c r="E33" i="58"/>
  <c r="D33" i="58"/>
  <c r="A33" i="58"/>
  <c r="F33" i="58"/>
  <c r="G33" i="58"/>
  <c r="C31" i="58"/>
  <c r="C30" i="58" s="1"/>
  <c r="B31" i="58"/>
  <c r="B30" i="58" s="1"/>
  <c r="A31" i="58"/>
  <c r="A30" i="58" s="1"/>
  <c r="G31" i="58"/>
  <c r="G30" i="58" s="1"/>
  <c r="F31" i="58"/>
  <c r="F30" i="58" s="1"/>
  <c r="E31" i="58"/>
  <c r="E30" i="58" s="1"/>
  <c r="D31" i="58"/>
  <c r="D30" i="58" s="1"/>
  <c r="B57" i="58"/>
  <c r="A51" i="58" a="1"/>
  <c r="A53" i="58" a="1"/>
  <c r="A57" i="58"/>
  <c r="A45" i="58" a="1"/>
  <c r="A47" i="58" a="1"/>
  <c r="A55" i="58" a="1"/>
  <c r="A49" i="58" a="1"/>
  <c r="B41" i="58"/>
  <c r="A41" i="58"/>
  <c r="C39" i="58"/>
  <c r="B39" i="58"/>
  <c r="A39" i="58"/>
  <c r="F39" i="58"/>
  <c r="D39" i="58"/>
  <c r="E39" i="58"/>
  <c r="G39" i="58"/>
  <c r="C37" i="58"/>
  <c r="B37" i="58"/>
  <c r="F37" i="58"/>
  <c r="G37" i="58"/>
  <c r="E37" i="58"/>
  <c r="D37" i="58"/>
  <c r="A37" i="58"/>
  <c r="A57" i="57"/>
  <c r="A49" i="57" a="1"/>
  <c r="A45" i="57" a="1"/>
  <c r="A51" i="57" a="1"/>
  <c r="B57" i="57"/>
  <c r="A47" i="57" a="1"/>
  <c r="A55" i="57" a="1"/>
  <c r="A53" i="57" a="1"/>
  <c r="E39" i="57"/>
  <c r="C39" i="57"/>
  <c r="A39" i="57"/>
  <c r="G39" i="57"/>
  <c r="F39" i="57"/>
  <c r="D39" i="57"/>
  <c r="B39" i="57"/>
  <c r="E33" i="57"/>
  <c r="C33" i="57"/>
  <c r="A33" i="57"/>
  <c r="F33" i="57"/>
  <c r="D33" i="57"/>
  <c r="B33" i="57"/>
  <c r="G33" i="57"/>
  <c r="A41" i="57"/>
  <c r="B41" i="57"/>
  <c r="E37" i="57"/>
  <c r="C37" i="57"/>
  <c r="A37" i="57"/>
  <c r="G37" i="57"/>
  <c r="F37" i="57"/>
  <c r="B37" i="57"/>
  <c r="D37" i="57"/>
  <c r="E31" i="57"/>
  <c r="E30" i="57" s="1"/>
  <c r="C31" i="57"/>
  <c r="C30" i="57" s="1"/>
  <c r="A31" i="57"/>
  <c r="A30" i="57" s="1"/>
  <c r="F31" i="57"/>
  <c r="F30" i="57" s="1"/>
  <c r="D31" i="57"/>
  <c r="D30" i="57" s="1"/>
  <c r="G31" i="57"/>
  <c r="G30" i="57" s="1"/>
  <c r="B31" i="57"/>
  <c r="B30" i="57" s="1"/>
  <c r="E35" i="57"/>
  <c r="C35" i="57"/>
  <c r="A35" i="57"/>
  <c r="B35" i="57"/>
  <c r="G35" i="57"/>
  <c r="F35" i="57"/>
  <c r="D35" i="57"/>
  <c r="E31" i="56"/>
  <c r="E30" i="56" s="1"/>
  <c r="C31" i="56"/>
  <c r="C30" i="56" s="1"/>
  <c r="F31" i="56"/>
  <c r="F30" i="56" s="1"/>
  <c r="D31" i="56"/>
  <c r="D30" i="56" s="1"/>
  <c r="B31" i="56"/>
  <c r="B30" i="56" s="1"/>
  <c r="G31" i="56"/>
  <c r="G30" i="56" s="1"/>
  <c r="A31" i="56"/>
  <c r="A30" i="56" s="1"/>
  <c r="E39" i="56"/>
  <c r="C39" i="56"/>
  <c r="F39" i="56"/>
  <c r="B39" i="56"/>
  <c r="D39" i="56"/>
  <c r="G39" i="56"/>
  <c r="A39" i="56"/>
  <c r="E37" i="56"/>
  <c r="C37" i="56"/>
  <c r="F37" i="56"/>
  <c r="B37" i="56"/>
  <c r="A37" i="56"/>
  <c r="G37" i="56"/>
  <c r="D37" i="56"/>
  <c r="E35" i="56"/>
  <c r="C35" i="56"/>
  <c r="B35" i="56"/>
  <c r="A35" i="56"/>
  <c r="G35" i="56"/>
  <c r="F35" i="56"/>
  <c r="D35" i="56"/>
  <c r="A47" i="56" a="1"/>
  <c r="A55" i="56" a="1"/>
  <c r="A49" i="56" a="1"/>
  <c r="A51" i="56" a="1"/>
  <c r="A45" i="56" a="1"/>
  <c r="A53" i="56" a="1"/>
  <c r="B57" i="56"/>
  <c r="A57" i="56"/>
  <c r="E33" i="56"/>
  <c r="C33" i="56"/>
  <c r="G33" i="56"/>
  <c r="F33" i="56"/>
  <c r="A33" i="56"/>
  <c r="D33" i="56"/>
  <c r="B33" i="56"/>
  <c r="B41" i="56"/>
  <c r="A41" i="56"/>
  <c r="B41" i="55"/>
  <c r="A41" i="55"/>
  <c r="F39" i="55"/>
  <c r="B39" i="55"/>
  <c r="G39" i="55"/>
  <c r="A39" i="55"/>
  <c r="E39" i="55"/>
  <c r="D39" i="55"/>
  <c r="C39" i="55"/>
  <c r="A55" i="55" a="1"/>
  <c r="A51" i="55" a="1"/>
  <c r="A47" i="55" a="1"/>
  <c r="B57" i="55"/>
  <c r="A57" i="55"/>
  <c r="A53" i="55" a="1"/>
  <c r="A45" i="55" a="1"/>
  <c r="A49" i="55" a="1"/>
  <c r="E33" i="55"/>
  <c r="A33" i="55"/>
  <c r="D33" i="55"/>
  <c r="G33" i="55"/>
  <c r="F33" i="55"/>
  <c r="C33" i="55"/>
  <c r="B33" i="55"/>
  <c r="E31" i="55"/>
  <c r="E30" i="55" s="1"/>
  <c r="A31" i="55"/>
  <c r="A30" i="55" s="1"/>
  <c r="C31" i="55"/>
  <c r="C30" i="55" s="1"/>
  <c r="B31" i="55"/>
  <c r="B30" i="55" s="1"/>
  <c r="G31" i="55"/>
  <c r="G30" i="55" s="1"/>
  <c r="F31" i="55"/>
  <c r="F30" i="55" s="1"/>
  <c r="D31" i="55"/>
  <c r="D30" i="55" s="1"/>
  <c r="E37" i="55"/>
  <c r="A37" i="55"/>
  <c r="D37" i="55"/>
  <c r="G37" i="55"/>
  <c r="F37" i="55"/>
  <c r="C37" i="55"/>
  <c r="B37" i="55"/>
  <c r="E35" i="55"/>
  <c r="A35" i="55"/>
  <c r="D35" i="55"/>
  <c r="G35" i="55"/>
  <c r="F35" i="55"/>
  <c r="C35" i="55"/>
  <c r="B35" i="55"/>
  <c r="F37" i="54"/>
  <c r="B37" i="54"/>
  <c r="G37" i="54"/>
  <c r="A37" i="54"/>
  <c r="E37" i="54"/>
  <c r="D37" i="54"/>
  <c r="C37" i="54"/>
  <c r="F35" i="54"/>
  <c r="B35" i="54"/>
  <c r="D35" i="54"/>
  <c r="C35" i="54"/>
  <c r="G35" i="54"/>
  <c r="A35" i="54"/>
  <c r="E35" i="54"/>
  <c r="B41" i="54"/>
  <c r="A41" i="54"/>
  <c r="A57" i="54"/>
  <c r="A53" i="54" a="1"/>
  <c r="A49" i="54" a="1"/>
  <c r="A45" i="54" a="1"/>
  <c r="A55" i="54" a="1"/>
  <c r="A51" i="54" a="1"/>
  <c r="A47" i="54" a="1"/>
  <c r="B57" i="54"/>
  <c r="F39" i="54"/>
  <c r="B39" i="54"/>
  <c r="D39" i="54"/>
  <c r="C39" i="54"/>
  <c r="G39" i="54"/>
  <c r="A39" i="54"/>
  <c r="E39" i="54"/>
  <c r="F31" i="54"/>
  <c r="F30" i="54" s="1"/>
  <c r="B31" i="54"/>
  <c r="B30" i="54" s="1"/>
  <c r="D31" i="54"/>
  <c r="D30" i="54" s="1"/>
  <c r="C31" i="54"/>
  <c r="C30" i="54" s="1"/>
  <c r="G31" i="54"/>
  <c r="G30" i="54" s="1"/>
  <c r="A31" i="54"/>
  <c r="A30" i="54" s="1"/>
  <c r="E31" i="54"/>
  <c r="E30" i="54" s="1"/>
  <c r="F33" i="54"/>
  <c r="B33" i="54"/>
  <c r="G33" i="54"/>
  <c r="A33" i="54"/>
  <c r="E33" i="54"/>
  <c r="D33" i="54"/>
  <c r="C33" i="54"/>
  <c r="E33" i="53"/>
  <c r="A33" i="53"/>
  <c r="C33" i="53"/>
  <c r="G33" i="53"/>
  <c r="B33" i="53"/>
  <c r="F33" i="53"/>
  <c r="D33" i="53"/>
  <c r="E35" i="53"/>
  <c r="A35" i="53"/>
  <c r="G35" i="53"/>
  <c r="F35" i="53"/>
  <c r="D35" i="53"/>
  <c r="C35" i="53"/>
  <c r="B35" i="53"/>
  <c r="E37" i="53"/>
  <c r="A37" i="53"/>
  <c r="F37" i="53"/>
  <c r="D37" i="53"/>
  <c r="C37" i="53"/>
  <c r="G37" i="53"/>
  <c r="B37" i="53"/>
  <c r="A55" i="53" a="1"/>
  <c r="A51" i="53" a="1"/>
  <c r="A47" i="53" a="1"/>
  <c r="B57" i="53"/>
  <c r="A57" i="53"/>
  <c r="A53" i="53" a="1"/>
  <c r="A49" i="53" a="1"/>
  <c r="A45" i="53" a="1"/>
  <c r="F31" i="53"/>
  <c r="F30" i="53" s="1"/>
  <c r="B31" i="53"/>
  <c r="B30" i="53" s="1"/>
  <c r="E31" i="53"/>
  <c r="E30" i="53" s="1"/>
  <c r="A31" i="53"/>
  <c r="A30" i="53" s="1"/>
  <c r="D31" i="53"/>
  <c r="D30" i="53" s="1"/>
  <c r="C31" i="53"/>
  <c r="C30" i="53" s="1"/>
  <c r="G31" i="53"/>
  <c r="G30" i="53" s="1"/>
  <c r="E39" i="53"/>
  <c r="A39" i="53"/>
  <c r="C39" i="53"/>
  <c r="G39" i="53"/>
  <c r="B39" i="53"/>
  <c r="F39" i="53"/>
  <c r="D39" i="53"/>
  <c r="A41" i="53"/>
  <c r="B41" i="53"/>
  <c r="G39" i="52"/>
  <c r="C39" i="52"/>
  <c r="E39" i="52"/>
  <c r="A39" i="52"/>
  <c r="F39" i="52"/>
  <c r="D39" i="52"/>
  <c r="B39" i="52"/>
  <c r="G35" i="52"/>
  <c r="C35" i="52"/>
  <c r="E35" i="52"/>
  <c r="A35" i="52"/>
  <c r="F35" i="52"/>
  <c r="D35" i="52"/>
  <c r="B35" i="52"/>
  <c r="A41" i="52"/>
  <c r="B41" i="52"/>
  <c r="G31" i="52"/>
  <c r="G30" i="52" s="1"/>
  <c r="C31" i="52"/>
  <c r="C30" i="52" s="1"/>
  <c r="E31" i="52"/>
  <c r="E30" i="52" s="1"/>
  <c r="A31" i="52"/>
  <c r="A30" i="52" s="1"/>
  <c r="F31" i="52"/>
  <c r="F30" i="52" s="1"/>
  <c r="D31" i="52"/>
  <c r="D30" i="52" s="1"/>
  <c r="B31" i="52"/>
  <c r="B30" i="52" s="1"/>
  <c r="A57" i="52"/>
  <c r="B57" i="52"/>
  <c r="A55" i="52" a="1"/>
  <c r="A53" i="52" a="1"/>
  <c r="A51" i="52" a="1"/>
  <c r="A49" i="52" a="1"/>
  <c r="A47" i="52" a="1"/>
  <c r="A45" i="52" a="1"/>
  <c r="G33" i="52"/>
  <c r="C33" i="52"/>
  <c r="E33" i="52"/>
  <c r="A33" i="52"/>
  <c r="F33" i="52"/>
  <c r="D33" i="52"/>
  <c r="B33" i="52"/>
  <c r="G37" i="52"/>
  <c r="C37" i="52"/>
  <c r="E37" i="52"/>
  <c r="A37" i="52"/>
  <c r="F37" i="52"/>
  <c r="D37" i="52"/>
  <c r="B37" i="52"/>
  <c r="C41" i="51"/>
  <c r="B41" i="51"/>
  <c r="G31" i="51"/>
  <c r="G30" i="51" s="1"/>
  <c r="C31" i="51"/>
  <c r="C30" i="51" s="1"/>
  <c r="H31" i="51"/>
  <c r="H30" i="51" s="1"/>
  <c r="B31" i="51"/>
  <c r="B30" i="51" s="1"/>
  <c r="E31" i="51"/>
  <c r="E30" i="51" s="1"/>
  <c r="F31" i="51"/>
  <c r="F30" i="51" s="1"/>
  <c r="D31" i="51"/>
  <c r="D30" i="51" s="1"/>
  <c r="G35" i="51"/>
  <c r="C35" i="51"/>
  <c r="H35" i="51"/>
  <c r="B35" i="51"/>
  <c r="E35" i="51"/>
  <c r="D35" i="51"/>
  <c r="F35" i="51"/>
  <c r="G39" i="51"/>
  <c r="C39" i="51"/>
  <c r="H39" i="51"/>
  <c r="B39" i="51"/>
  <c r="E39" i="51"/>
  <c r="F39" i="51"/>
  <c r="D39" i="51"/>
  <c r="G33" i="51"/>
  <c r="C33" i="51"/>
  <c r="E33" i="51"/>
  <c r="H33" i="51"/>
  <c r="B33" i="51"/>
  <c r="F33" i="51"/>
  <c r="D33" i="51"/>
  <c r="B55" i="51" a="1"/>
  <c r="B51" i="51" a="1"/>
  <c r="B47" i="51" a="1"/>
  <c r="B57" i="51"/>
  <c r="B53" i="51" a="1"/>
  <c r="B49" i="51" a="1"/>
  <c r="B45" i="51" a="1"/>
  <c r="C57" i="51"/>
  <c r="G37" i="51"/>
  <c r="C37" i="51"/>
  <c r="E37" i="51"/>
  <c r="H37" i="51"/>
  <c r="B37" i="51"/>
  <c r="F37" i="51"/>
  <c r="D37" i="51"/>
  <c r="E35" i="50"/>
  <c r="A35" i="50"/>
  <c r="F35" i="50"/>
  <c r="D35" i="50"/>
  <c r="C35" i="50"/>
  <c r="B35" i="50"/>
  <c r="G35" i="50"/>
  <c r="E37" i="50"/>
  <c r="A37" i="50"/>
  <c r="C37" i="50"/>
  <c r="G37" i="50"/>
  <c r="B37" i="50"/>
  <c r="F37" i="50"/>
  <c r="D37" i="50"/>
  <c r="E39" i="50"/>
  <c r="A39" i="50"/>
  <c r="F39" i="50"/>
  <c r="D39" i="50"/>
  <c r="C39" i="50"/>
  <c r="G39" i="50"/>
  <c r="B39" i="50"/>
  <c r="E33" i="50"/>
  <c r="A33" i="50"/>
  <c r="C33" i="50"/>
  <c r="G33" i="50"/>
  <c r="B33" i="50"/>
  <c r="F33" i="50"/>
  <c r="D33" i="50"/>
  <c r="A41" i="50"/>
  <c r="B41" i="50"/>
  <c r="B57" i="50"/>
  <c r="A57" i="50"/>
  <c r="A53" i="50" a="1"/>
  <c r="A49" i="50" a="1"/>
  <c r="A45" i="50" a="1"/>
  <c r="A55" i="50" a="1"/>
  <c r="A47" i="50" a="1"/>
  <c r="A51" i="50" a="1"/>
  <c r="E31" i="50"/>
  <c r="E30" i="50" s="1"/>
  <c r="A31" i="50"/>
  <c r="A30" i="50" s="1"/>
  <c r="F31" i="50"/>
  <c r="F30" i="50" s="1"/>
  <c r="D31" i="50"/>
  <c r="D30" i="50" s="1"/>
  <c r="C31" i="50"/>
  <c r="C30" i="50" s="1"/>
  <c r="G31" i="50"/>
  <c r="G30" i="50" s="1"/>
  <c r="B31" i="50"/>
  <c r="B30" i="50" s="1"/>
  <c r="F37" i="49"/>
  <c r="B37" i="49"/>
  <c r="E37" i="49"/>
  <c r="A37" i="49"/>
  <c r="D37" i="49"/>
  <c r="G37" i="49"/>
  <c r="C37" i="49"/>
  <c r="F31" i="49"/>
  <c r="F30" i="49" s="1"/>
  <c r="B31" i="49"/>
  <c r="B30" i="49" s="1"/>
  <c r="E31" i="49"/>
  <c r="E30" i="49" s="1"/>
  <c r="A31" i="49"/>
  <c r="A30" i="49" s="1"/>
  <c r="D31" i="49"/>
  <c r="D30" i="49" s="1"/>
  <c r="C31" i="49"/>
  <c r="C30" i="49" s="1"/>
  <c r="G31" i="49"/>
  <c r="G30" i="49" s="1"/>
  <c r="F39" i="49"/>
  <c r="B39" i="49"/>
  <c r="E39" i="49"/>
  <c r="A39" i="49"/>
  <c r="D39" i="49"/>
  <c r="C39" i="49"/>
  <c r="G39" i="49"/>
  <c r="F35" i="49"/>
  <c r="B35" i="49"/>
  <c r="E35" i="49"/>
  <c r="A35" i="49"/>
  <c r="D35" i="49"/>
  <c r="C35" i="49"/>
  <c r="G35" i="49"/>
  <c r="A55" i="49" a="1"/>
  <c r="B57" i="49"/>
  <c r="A57" i="49"/>
  <c r="A53" i="49" a="1"/>
  <c r="A51" i="49" a="1"/>
  <c r="A49" i="49" a="1"/>
  <c r="A47" i="49" a="1"/>
  <c r="A45" i="49" a="1"/>
  <c r="F33" i="49"/>
  <c r="B33" i="49"/>
  <c r="E33" i="49"/>
  <c r="A33" i="49"/>
  <c r="D33" i="49"/>
  <c r="G33" i="49"/>
  <c r="C33" i="49"/>
  <c r="B41" i="49"/>
  <c r="A41" i="49"/>
  <c r="F31" i="48"/>
  <c r="F30" i="48" s="1"/>
  <c r="B31" i="48"/>
  <c r="B30" i="48" s="1"/>
  <c r="E31" i="48"/>
  <c r="E30" i="48" s="1"/>
  <c r="H31" i="48"/>
  <c r="H30" i="48" s="1"/>
  <c r="C31" i="48"/>
  <c r="C30" i="48" s="1"/>
  <c r="G31" i="48"/>
  <c r="G30" i="48" s="1"/>
  <c r="D31" i="48"/>
  <c r="D30" i="48" s="1"/>
  <c r="B41" i="48"/>
  <c r="C41" i="48"/>
  <c r="F37" i="48"/>
  <c r="B37" i="48"/>
  <c r="H37" i="48"/>
  <c r="C37" i="48"/>
  <c r="G37" i="48"/>
  <c r="E37" i="48"/>
  <c r="D37" i="48"/>
  <c r="B55" i="48" a="1"/>
  <c r="B51" i="48" a="1"/>
  <c r="B47" i="48" a="1"/>
  <c r="B45" i="48" a="1"/>
  <c r="B49" i="48" a="1"/>
  <c r="C57" i="48"/>
  <c r="B57" i="48"/>
  <c r="B53" i="48" a="1"/>
  <c r="F35" i="48"/>
  <c r="B35" i="48"/>
  <c r="E35" i="48"/>
  <c r="D35" i="48"/>
  <c r="H35" i="48"/>
  <c r="C35" i="48"/>
  <c r="G35" i="48"/>
  <c r="F33" i="48"/>
  <c r="B33" i="48"/>
  <c r="H33" i="48"/>
  <c r="C33" i="48"/>
  <c r="G33" i="48"/>
  <c r="E33" i="48"/>
  <c r="D33" i="48"/>
  <c r="F39" i="48"/>
  <c r="B39" i="48"/>
  <c r="E39" i="48"/>
  <c r="H39" i="48"/>
  <c r="C39" i="48"/>
  <c r="G39" i="48"/>
  <c r="D39" i="48"/>
  <c r="G31" i="47"/>
  <c r="G30" i="47" s="1"/>
  <c r="D31" i="47"/>
  <c r="D30" i="47" s="1"/>
  <c r="F31" i="47"/>
  <c r="F30" i="47" s="1"/>
  <c r="E31" i="47"/>
  <c r="E30" i="47" s="1"/>
  <c r="C31" i="47"/>
  <c r="C30" i="47" s="1"/>
  <c r="B31" i="47"/>
  <c r="B30" i="47" s="1"/>
  <c r="H31" i="47"/>
  <c r="H30" i="47" s="1"/>
  <c r="C41" i="47"/>
  <c r="B41" i="47"/>
  <c r="G39" i="47"/>
  <c r="D39" i="47"/>
  <c r="F39" i="47"/>
  <c r="E39" i="47"/>
  <c r="C39" i="47"/>
  <c r="B39" i="47"/>
  <c r="H39" i="47"/>
  <c r="G37" i="47"/>
  <c r="D37" i="47"/>
  <c r="F37" i="47"/>
  <c r="C37" i="47"/>
  <c r="B37" i="47"/>
  <c r="H37" i="47"/>
  <c r="E37" i="47"/>
  <c r="G35" i="47"/>
  <c r="D35" i="47"/>
  <c r="C35" i="47"/>
  <c r="H35" i="47"/>
  <c r="F35" i="47"/>
  <c r="E35" i="47"/>
  <c r="B35" i="47"/>
  <c r="B49" i="47" a="1"/>
  <c r="B51" i="47" a="1"/>
  <c r="C57" i="47"/>
  <c r="B47" i="47" a="1"/>
  <c r="B57" i="47"/>
  <c r="B45" i="47" a="1"/>
  <c r="B55" i="47" a="1"/>
  <c r="B53" i="47" a="1"/>
  <c r="G33" i="47"/>
  <c r="D33" i="47"/>
  <c r="H33" i="47"/>
  <c r="F33" i="47"/>
  <c r="E33" i="47"/>
  <c r="C33" i="47"/>
  <c r="B33" i="47"/>
  <c r="F33" i="46"/>
  <c r="D33" i="46"/>
  <c r="C33" i="46"/>
  <c r="H33" i="46"/>
  <c r="G33" i="46"/>
  <c r="E33" i="46"/>
  <c r="B33" i="46"/>
  <c r="C41" i="46"/>
  <c r="B41" i="46"/>
  <c r="F37" i="46"/>
  <c r="D37" i="46"/>
  <c r="C37" i="46"/>
  <c r="H37" i="46"/>
  <c r="B37" i="46"/>
  <c r="G37" i="46"/>
  <c r="E37" i="46"/>
  <c r="F39" i="46"/>
  <c r="D39" i="46"/>
  <c r="C39" i="46"/>
  <c r="H39" i="46"/>
  <c r="E39" i="46"/>
  <c r="G39" i="46"/>
  <c r="B39" i="46"/>
  <c r="F35" i="46"/>
  <c r="D35" i="46"/>
  <c r="C35" i="46"/>
  <c r="E35" i="46"/>
  <c r="B35" i="46"/>
  <c r="H35" i="46"/>
  <c r="G35" i="46"/>
  <c r="C57" i="46"/>
  <c r="B53" i="46" a="1"/>
  <c r="B57" i="46"/>
  <c r="B51" i="46" a="1"/>
  <c r="B49" i="46" a="1"/>
  <c r="B45" i="46" a="1"/>
  <c r="B55" i="46" a="1"/>
  <c r="B47" i="46" a="1"/>
  <c r="F31" i="46"/>
  <c r="F30" i="46" s="1"/>
  <c r="D31" i="46"/>
  <c r="D30" i="46" s="1"/>
  <c r="C31" i="46"/>
  <c r="C30" i="46" s="1"/>
  <c r="H31" i="46"/>
  <c r="H30" i="46" s="1"/>
  <c r="G31" i="46"/>
  <c r="G30" i="46" s="1"/>
  <c r="E31" i="46"/>
  <c r="E30" i="46" s="1"/>
  <c r="B31" i="46"/>
  <c r="B30" i="46" s="1"/>
  <c r="G37" i="45"/>
  <c r="C37" i="45"/>
  <c r="B37" i="45"/>
  <c r="H37" i="45"/>
  <c r="F37" i="45"/>
  <c r="D37" i="45"/>
  <c r="E37" i="45"/>
  <c r="G35" i="45"/>
  <c r="C35" i="45"/>
  <c r="H35" i="45"/>
  <c r="F35" i="45"/>
  <c r="D35" i="45"/>
  <c r="B35" i="45"/>
  <c r="E35" i="45"/>
  <c r="G33" i="45"/>
  <c r="C33" i="45"/>
  <c r="F33" i="45"/>
  <c r="E33" i="45"/>
  <c r="D33" i="45"/>
  <c r="B33" i="45"/>
  <c r="H33" i="45"/>
  <c r="C41" i="45"/>
  <c r="B41" i="45"/>
  <c r="G39" i="45"/>
  <c r="C39" i="45"/>
  <c r="B39" i="45"/>
  <c r="F39" i="45"/>
  <c r="H39" i="45"/>
  <c r="E39" i="45"/>
  <c r="D39" i="45"/>
  <c r="B51" i="45" a="1"/>
  <c r="B47" i="45" a="1"/>
  <c r="B45" i="45" a="1"/>
  <c r="C57" i="45"/>
  <c r="B53" i="45" a="1"/>
  <c r="B49" i="45" a="1"/>
  <c r="B57" i="45"/>
  <c r="B55" i="45" a="1"/>
  <c r="G31" i="45"/>
  <c r="G30" i="45" s="1"/>
  <c r="C31" i="45"/>
  <c r="C30" i="45" s="1"/>
  <c r="D31" i="45"/>
  <c r="D30" i="45" s="1"/>
  <c r="H31" i="45"/>
  <c r="H30" i="45" s="1"/>
  <c r="E31" i="45"/>
  <c r="E30" i="45" s="1"/>
  <c r="B31" i="45"/>
  <c r="B30" i="45" s="1"/>
  <c r="F31" i="45"/>
  <c r="F30" i="45" s="1"/>
  <c r="G31" i="43"/>
  <c r="G30" i="43" s="1"/>
  <c r="F31" i="43"/>
  <c r="F30" i="43" s="1"/>
  <c r="D31" i="43"/>
  <c r="D30" i="43" s="1"/>
  <c r="C31" i="43"/>
  <c r="C30" i="43" s="1"/>
  <c r="H31" i="43"/>
  <c r="H30" i="43" s="1"/>
  <c r="B31" i="43"/>
  <c r="B30" i="43" s="1"/>
  <c r="E31" i="43"/>
  <c r="E30" i="43" s="1"/>
  <c r="B41" i="43"/>
  <c r="C41" i="43"/>
  <c r="G35" i="43"/>
  <c r="F35" i="43"/>
  <c r="D35" i="43"/>
  <c r="C35" i="43"/>
  <c r="H35" i="43"/>
  <c r="E35" i="43"/>
  <c r="B35" i="43"/>
  <c r="B55" i="43" a="1"/>
  <c r="B45" i="43" a="1"/>
  <c r="B51" i="43" a="1"/>
  <c r="B53" i="43" a="1"/>
  <c r="B47" i="43" a="1"/>
  <c r="C57" i="43"/>
  <c r="B57" i="43"/>
  <c r="B49" i="43" a="1"/>
  <c r="G33" i="43"/>
  <c r="F33" i="43"/>
  <c r="D33" i="43"/>
  <c r="H33" i="43"/>
  <c r="E33" i="43"/>
  <c r="C33" i="43"/>
  <c r="B33" i="43"/>
  <c r="G39" i="43"/>
  <c r="F39" i="43"/>
  <c r="D39" i="43"/>
  <c r="H39" i="43"/>
  <c r="E39" i="43"/>
  <c r="B39" i="43"/>
  <c r="C39" i="43"/>
  <c r="G37" i="43"/>
  <c r="F37" i="43"/>
  <c r="D37" i="43"/>
  <c r="E37" i="43"/>
  <c r="C37" i="43"/>
  <c r="B37" i="43"/>
  <c r="H37" i="43"/>
  <c r="C37" i="42"/>
  <c r="B37" i="42"/>
  <c r="H37" i="42"/>
  <c r="E37" i="42"/>
  <c r="D37" i="42"/>
  <c r="G37" i="42"/>
  <c r="F37" i="42"/>
  <c r="B57" i="42"/>
  <c r="B55" i="42" a="1"/>
  <c r="B45" i="42" a="1"/>
  <c r="B51" i="42" a="1"/>
  <c r="B47" i="42" a="1"/>
  <c r="B49" i="42" a="1"/>
  <c r="C57" i="42"/>
  <c r="B53" i="42" a="1"/>
  <c r="C31" i="42"/>
  <c r="C30" i="42" s="1"/>
  <c r="B31" i="42"/>
  <c r="B30" i="42" s="1"/>
  <c r="H31" i="42"/>
  <c r="H30" i="42" s="1"/>
  <c r="D31" i="42"/>
  <c r="D30" i="42" s="1"/>
  <c r="G31" i="42"/>
  <c r="G30" i="42" s="1"/>
  <c r="F31" i="42"/>
  <c r="F30" i="42" s="1"/>
  <c r="E31" i="42"/>
  <c r="E30" i="42" s="1"/>
  <c r="C41" i="42"/>
  <c r="B41" i="42"/>
  <c r="C39" i="42"/>
  <c r="B39" i="42"/>
  <c r="H39" i="42"/>
  <c r="G39" i="42"/>
  <c r="F39" i="42"/>
  <c r="E39" i="42"/>
  <c r="D39" i="42"/>
  <c r="C35" i="42"/>
  <c r="B35" i="42"/>
  <c r="H35" i="42"/>
  <c r="G35" i="42"/>
  <c r="F35" i="42"/>
  <c r="E35" i="42"/>
  <c r="D35" i="42"/>
  <c r="C33" i="42"/>
  <c r="B33" i="42"/>
  <c r="H33" i="42"/>
  <c r="G33" i="42"/>
  <c r="F33" i="42"/>
  <c r="E33" i="42"/>
  <c r="D33" i="42"/>
  <c r="G37" i="41"/>
  <c r="C37" i="41"/>
  <c r="F37" i="41"/>
  <c r="B37" i="41"/>
  <c r="E37" i="41"/>
  <c r="D37" i="41"/>
  <c r="H37" i="41"/>
  <c r="C57" i="41"/>
  <c r="B55" i="41" a="1"/>
  <c r="B53" i="41" a="1"/>
  <c r="B51" i="41" a="1"/>
  <c r="B49" i="41" a="1"/>
  <c r="B47" i="41" a="1"/>
  <c r="B45" i="41" a="1"/>
  <c r="B57" i="41"/>
  <c r="G31" i="41"/>
  <c r="G30" i="41" s="1"/>
  <c r="C31" i="41"/>
  <c r="C30" i="41" s="1"/>
  <c r="F31" i="41"/>
  <c r="F30" i="41" s="1"/>
  <c r="B31" i="41"/>
  <c r="B30" i="41" s="1"/>
  <c r="E31" i="41"/>
  <c r="E30" i="41" s="1"/>
  <c r="H31" i="41"/>
  <c r="H30" i="41" s="1"/>
  <c r="D31" i="41"/>
  <c r="D30" i="41" s="1"/>
  <c r="G39" i="41"/>
  <c r="C39" i="41"/>
  <c r="F39" i="41"/>
  <c r="B39" i="41"/>
  <c r="E39" i="41"/>
  <c r="H39" i="41"/>
  <c r="D39" i="41"/>
  <c r="G35" i="41"/>
  <c r="C35" i="41"/>
  <c r="F35" i="41"/>
  <c r="B35" i="41"/>
  <c r="E35" i="41"/>
  <c r="H35" i="41"/>
  <c r="D35" i="41"/>
  <c r="G33" i="41"/>
  <c r="C33" i="41"/>
  <c r="F33" i="41"/>
  <c r="B33" i="41"/>
  <c r="E33" i="41"/>
  <c r="D33" i="41"/>
  <c r="H33" i="41"/>
  <c r="C41" i="41"/>
  <c r="B41" i="41"/>
  <c r="G31" i="40"/>
  <c r="G30" i="40" s="1"/>
  <c r="C31" i="40"/>
  <c r="C30" i="40" s="1"/>
  <c r="E31" i="40"/>
  <c r="E30" i="40" s="1"/>
  <c r="F31" i="40"/>
  <c r="F30" i="40" s="1"/>
  <c r="B31" i="40"/>
  <c r="B30" i="40" s="1"/>
  <c r="D31" i="40"/>
  <c r="D30" i="40" s="1"/>
  <c r="H31" i="40"/>
  <c r="H30" i="40" s="1"/>
  <c r="G39" i="40"/>
  <c r="C39" i="40"/>
  <c r="F39" i="40"/>
  <c r="B39" i="40"/>
  <c r="E39" i="40"/>
  <c r="D39" i="40"/>
  <c r="H39" i="40"/>
  <c r="G37" i="40"/>
  <c r="C37" i="40"/>
  <c r="E37" i="40"/>
  <c r="F37" i="40"/>
  <c r="B37" i="40"/>
  <c r="H37" i="40"/>
  <c r="D37" i="40"/>
  <c r="G33" i="40"/>
  <c r="C33" i="40"/>
  <c r="F33" i="40"/>
  <c r="B33" i="40"/>
  <c r="E33" i="40"/>
  <c r="H33" i="40"/>
  <c r="D33" i="40"/>
  <c r="B47" i="40" a="1"/>
  <c r="C57" i="40"/>
  <c r="B55" i="40" a="1"/>
  <c r="B53" i="40" a="1"/>
  <c r="B51" i="40" a="1"/>
  <c r="B49" i="40" a="1"/>
  <c r="B45" i="40" a="1"/>
  <c r="B57" i="40"/>
  <c r="C41" i="40"/>
  <c r="B41" i="40"/>
  <c r="G35" i="40"/>
  <c r="C35" i="40"/>
  <c r="F35" i="40"/>
  <c r="B35" i="40"/>
  <c r="E35" i="40"/>
  <c r="H35" i="40"/>
  <c r="D35" i="40"/>
  <c r="F33" i="39"/>
  <c r="B33" i="39"/>
  <c r="E33" i="39"/>
  <c r="H33" i="39"/>
  <c r="D33" i="39"/>
  <c r="G33" i="39"/>
  <c r="C33" i="39"/>
  <c r="F35" i="39"/>
  <c r="B35" i="39"/>
  <c r="E35" i="39"/>
  <c r="H35" i="39"/>
  <c r="D35" i="39"/>
  <c r="G35" i="39"/>
  <c r="C35" i="39"/>
  <c r="F31" i="39"/>
  <c r="F30" i="39" s="1"/>
  <c r="B31" i="39"/>
  <c r="B30" i="39" s="1"/>
  <c r="E31" i="39"/>
  <c r="E30" i="39" s="1"/>
  <c r="H31" i="39"/>
  <c r="H30" i="39" s="1"/>
  <c r="D31" i="39"/>
  <c r="D30" i="39" s="1"/>
  <c r="G31" i="39"/>
  <c r="G30" i="39" s="1"/>
  <c r="C31" i="39"/>
  <c r="C30" i="39" s="1"/>
  <c r="B57" i="39"/>
  <c r="B53" i="39" a="1"/>
  <c r="B49" i="39" a="1"/>
  <c r="B45" i="39" a="1"/>
  <c r="B55" i="39" a="1"/>
  <c r="B51" i="39" a="1"/>
  <c r="B47" i="39" a="1"/>
  <c r="C57" i="39"/>
  <c r="F39" i="39"/>
  <c r="B39" i="39"/>
  <c r="E39" i="39"/>
  <c r="H39" i="39"/>
  <c r="C39" i="39"/>
  <c r="G39" i="39"/>
  <c r="D39" i="39"/>
  <c r="F37" i="39"/>
  <c r="B37" i="39"/>
  <c r="H37" i="39"/>
  <c r="C37" i="39"/>
  <c r="G37" i="39"/>
  <c r="E37" i="39"/>
  <c r="D37" i="39"/>
  <c r="B41" i="39"/>
  <c r="C41" i="39"/>
  <c r="B57" i="38"/>
  <c r="B45" i="38" a="1"/>
  <c r="B55" i="38" a="1"/>
  <c r="B51" i="38" a="1"/>
  <c r="B47" i="38" a="1"/>
  <c r="B53" i="38" a="1"/>
  <c r="C57" i="38"/>
  <c r="B49" i="38" a="1"/>
  <c r="H31" i="38"/>
  <c r="H30" i="38" s="1"/>
  <c r="D31" i="38"/>
  <c r="D30" i="38" s="1"/>
  <c r="C31" i="38"/>
  <c r="C30" i="38" s="1"/>
  <c r="G31" i="38"/>
  <c r="G30" i="38" s="1"/>
  <c r="B31" i="38"/>
  <c r="B30" i="38" s="1"/>
  <c r="F31" i="38"/>
  <c r="F30" i="38" s="1"/>
  <c r="E31" i="38"/>
  <c r="E30" i="38" s="1"/>
  <c r="H33" i="38"/>
  <c r="D33" i="38"/>
  <c r="F33" i="38"/>
  <c r="E33" i="38"/>
  <c r="B33" i="38"/>
  <c r="C33" i="38"/>
  <c r="G33" i="38"/>
  <c r="H35" i="38"/>
  <c r="D35" i="38"/>
  <c r="C35" i="38"/>
  <c r="E35" i="38"/>
  <c r="G35" i="38"/>
  <c r="B35" i="38"/>
  <c r="F35" i="38"/>
  <c r="H37" i="38"/>
  <c r="D37" i="38"/>
  <c r="F37" i="38"/>
  <c r="E37" i="38"/>
  <c r="B37" i="38"/>
  <c r="C37" i="38"/>
  <c r="G37" i="38"/>
  <c r="H39" i="38"/>
  <c r="D39" i="38"/>
  <c r="C39" i="38"/>
  <c r="G39" i="38"/>
  <c r="B39" i="38"/>
  <c r="E39" i="38"/>
  <c r="F39" i="38"/>
  <c r="C41" i="38"/>
  <c r="B41" i="38"/>
  <c r="B41" i="37"/>
  <c r="C41" i="37"/>
  <c r="F35" i="37"/>
  <c r="B35" i="37"/>
  <c r="H35" i="37"/>
  <c r="C35" i="37"/>
  <c r="G35" i="37"/>
  <c r="E35" i="37"/>
  <c r="D35" i="37"/>
  <c r="B55" i="37" a="1"/>
  <c r="B51" i="37" a="1"/>
  <c r="B47" i="37" a="1"/>
  <c r="C57" i="37"/>
  <c r="B57" i="37"/>
  <c r="B53" i="37" a="1"/>
  <c r="B49" i="37" a="1"/>
  <c r="B45" i="37" a="1"/>
  <c r="F33" i="37"/>
  <c r="B33" i="37"/>
  <c r="E33" i="37"/>
  <c r="D33" i="37"/>
  <c r="H33" i="37"/>
  <c r="C33" i="37"/>
  <c r="G33" i="37"/>
  <c r="F39" i="37"/>
  <c r="B39" i="37"/>
  <c r="H39" i="37"/>
  <c r="C39" i="37"/>
  <c r="G39" i="37"/>
  <c r="D39" i="37"/>
  <c r="E39" i="37"/>
  <c r="F31" i="37"/>
  <c r="F30" i="37" s="1"/>
  <c r="B31" i="37"/>
  <c r="B30" i="37" s="1"/>
  <c r="H31" i="37"/>
  <c r="H30" i="37" s="1"/>
  <c r="C31" i="37"/>
  <c r="C30" i="37" s="1"/>
  <c r="G31" i="37"/>
  <c r="G30" i="37" s="1"/>
  <c r="E31" i="37"/>
  <c r="E30" i="37" s="1"/>
  <c r="D31" i="37"/>
  <c r="D30" i="37" s="1"/>
  <c r="F37" i="37"/>
  <c r="B37" i="37"/>
  <c r="E37" i="37"/>
  <c r="D37" i="37"/>
  <c r="G37" i="37"/>
  <c r="H37" i="37"/>
  <c r="C37" i="37"/>
  <c r="B57" i="36"/>
  <c r="C57" i="36"/>
  <c r="B55" i="36" a="1"/>
  <c r="B53" i="36" a="1"/>
  <c r="B51" i="36" a="1"/>
  <c r="B49" i="36" a="1"/>
  <c r="B47" i="36" a="1"/>
  <c r="B45" i="36" a="1"/>
  <c r="H31" i="36"/>
  <c r="H30" i="36" s="1"/>
  <c r="D31" i="36"/>
  <c r="D30" i="36" s="1"/>
  <c r="G31" i="36"/>
  <c r="G30" i="36" s="1"/>
  <c r="C31" i="36"/>
  <c r="C30" i="36" s="1"/>
  <c r="F31" i="36"/>
  <c r="F30" i="36" s="1"/>
  <c r="B31" i="36"/>
  <c r="B30" i="36" s="1"/>
  <c r="E31" i="36"/>
  <c r="E30" i="36" s="1"/>
  <c r="H39" i="36"/>
  <c r="D39" i="36"/>
  <c r="G39" i="36"/>
  <c r="C39" i="36"/>
  <c r="F39" i="36"/>
  <c r="B39" i="36"/>
  <c r="E39" i="36"/>
  <c r="H37" i="36"/>
  <c r="D37" i="36"/>
  <c r="C37" i="36"/>
  <c r="G37" i="36"/>
  <c r="F37" i="36"/>
  <c r="B37" i="36"/>
  <c r="E37" i="36"/>
  <c r="H33" i="36"/>
  <c r="D33" i="36"/>
  <c r="G33" i="36"/>
  <c r="C33" i="36"/>
  <c r="F33" i="36"/>
  <c r="B33" i="36"/>
  <c r="E33" i="36"/>
  <c r="C41" i="36"/>
  <c r="B41" i="36"/>
  <c r="H35" i="36"/>
  <c r="D35" i="36"/>
  <c r="C35" i="36"/>
  <c r="G35" i="36"/>
  <c r="F35" i="36"/>
  <c r="B35" i="36"/>
  <c r="E35" i="36"/>
  <c r="F31" i="35"/>
  <c r="F30" i="35" s="1"/>
  <c r="B31" i="35"/>
  <c r="B30" i="35" s="1"/>
  <c r="E31" i="35"/>
  <c r="E30" i="35" s="1"/>
  <c r="H31" i="35"/>
  <c r="H30" i="35" s="1"/>
  <c r="D31" i="35"/>
  <c r="D30" i="35" s="1"/>
  <c r="G31" i="35"/>
  <c r="G30" i="35" s="1"/>
  <c r="C31" i="35"/>
  <c r="C30" i="35" s="1"/>
  <c r="F37" i="35"/>
  <c r="B37" i="35"/>
  <c r="E37" i="35"/>
  <c r="H37" i="35"/>
  <c r="D37" i="35"/>
  <c r="G37" i="35"/>
  <c r="C37" i="35"/>
  <c r="B57" i="35"/>
  <c r="B55" i="35" a="1"/>
  <c r="B45" i="35" a="1"/>
  <c r="B53" i="35" a="1"/>
  <c r="B47" i="35" a="1"/>
  <c r="C57" i="35"/>
  <c r="B51" i="35" a="1"/>
  <c r="B49" i="35" a="1"/>
  <c r="F33" i="35"/>
  <c r="B33" i="35"/>
  <c r="H33" i="35"/>
  <c r="D33" i="35"/>
  <c r="G33" i="35"/>
  <c r="C33" i="35"/>
  <c r="E33" i="35"/>
  <c r="F35" i="35"/>
  <c r="B35" i="35"/>
  <c r="H35" i="35"/>
  <c r="D35" i="35"/>
  <c r="G35" i="35"/>
  <c r="C35" i="35"/>
  <c r="E35" i="35"/>
  <c r="F39" i="35"/>
  <c r="B39" i="35"/>
  <c r="H39" i="35"/>
  <c r="D39" i="35"/>
  <c r="G39" i="35"/>
  <c r="C39" i="35"/>
  <c r="E39" i="35"/>
  <c r="B41" i="35"/>
  <c r="C41" i="35"/>
  <c r="G31" i="34"/>
  <c r="G30" i="34" s="1"/>
  <c r="C31" i="34"/>
  <c r="C30" i="34" s="1"/>
  <c r="F31" i="34"/>
  <c r="F30" i="34" s="1"/>
  <c r="B31" i="34"/>
  <c r="B30" i="34" s="1"/>
  <c r="E31" i="34"/>
  <c r="E30" i="34" s="1"/>
  <c r="H31" i="34"/>
  <c r="H30" i="34" s="1"/>
  <c r="D31" i="34"/>
  <c r="D30" i="34" s="1"/>
  <c r="G33" i="34"/>
  <c r="C33" i="34"/>
  <c r="F33" i="34"/>
  <c r="B33" i="34"/>
  <c r="E33" i="34"/>
  <c r="H33" i="34"/>
  <c r="D33" i="34"/>
  <c r="C41" i="34"/>
  <c r="B41" i="34"/>
  <c r="G39" i="34"/>
  <c r="C39" i="34"/>
  <c r="F39" i="34"/>
  <c r="B39" i="34"/>
  <c r="E39" i="34"/>
  <c r="H39" i="34"/>
  <c r="D39" i="34"/>
  <c r="G35" i="34"/>
  <c r="C35" i="34"/>
  <c r="F35" i="34"/>
  <c r="B35" i="34"/>
  <c r="E35" i="34"/>
  <c r="H35" i="34"/>
  <c r="D35" i="34"/>
  <c r="C57" i="34"/>
  <c r="B55" i="34" a="1"/>
  <c r="B53" i="34" a="1"/>
  <c r="B51" i="34" a="1"/>
  <c r="B49" i="34" a="1"/>
  <c r="B47" i="34" a="1"/>
  <c r="B45" i="34" a="1"/>
  <c r="B57" i="34"/>
  <c r="G37" i="34"/>
  <c r="C37" i="34"/>
  <c r="F37" i="34"/>
  <c r="B37" i="34"/>
  <c r="E37" i="34"/>
  <c r="H37" i="34"/>
  <c r="D37" i="34"/>
  <c r="G37" i="33"/>
  <c r="C37" i="33"/>
  <c r="F37" i="33"/>
  <c r="B37" i="33"/>
  <c r="E37" i="33"/>
  <c r="D37" i="33"/>
  <c r="H37" i="33"/>
  <c r="C57" i="33"/>
  <c r="B55" i="33" a="1"/>
  <c r="B53" i="33" a="1"/>
  <c r="B51" i="33" a="1"/>
  <c r="B49" i="33" a="1"/>
  <c r="B47" i="33" a="1"/>
  <c r="B45" i="33" a="1"/>
  <c r="B57" i="33"/>
  <c r="G31" i="33"/>
  <c r="G30" i="33" s="1"/>
  <c r="C31" i="33"/>
  <c r="C30" i="33" s="1"/>
  <c r="F31" i="33"/>
  <c r="F30" i="33" s="1"/>
  <c r="B31" i="33"/>
  <c r="B30" i="33" s="1"/>
  <c r="E31" i="33"/>
  <c r="E30" i="33" s="1"/>
  <c r="D31" i="33"/>
  <c r="D30" i="33" s="1"/>
  <c r="H31" i="33"/>
  <c r="H30" i="33" s="1"/>
  <c r="G39" i="33"/>
  <c r="C39" i="33"/>
  <c r="F39" i="33"/>
  <c r="B39" i="33"/>
  <c r="E39" i="33"/>
  <c r="D39" i="33"/>
  <c r="H39" i="33"/>
  <c r="G33" i="33"/>
  <c r="C33" i="33"/>
  <c r="F33" i="33"/>
  <c r="B33" i="33"/>
  <c r="E33" i="33"/>
  <c r="D33" i="33"/>
  <c r="H33" i="33"/>
  <c r="C41" i="33"/>
  <c r="B41" i="33"/>
  <c r="G35" i="33"/>
  <c r="C35" i="33"/>
  <c r="F35" i="33"/>
  <c r="B35" i="33"/>
  <c r="E35" i="33"/>
  <c r="D35" i="33"/>
  <c r="H35" i="33"/>
  <c r="F33" i="32"/>
  <c r="B33" i="32"/>
  <c r="H33" i="32"/>
  <c r="D33" i="32"/>
  <c r="G33" i="32"/>
  <c r="C33" i="32"/>
  <c r="E33" i="32"/>
  <c r="F39" i="32"/>
  <c r="B39" i="32"/>
  <c r="H39" i="32"/>
  <c r="D39" i="32"/>
  <c r="G39" i="32"/>
  <c r="C39" i="32"/>
  <c r="E39" i="32"/>
  <c r="F35" i="32"/>
  <c r="B35" i="32"/>
  <c r="H35" i="32"/>
  <c r="D35" i="32"/>
  <c r="G35" i="32"/>
  <c r="C35" i="32"/>
  <c r="E35" i="32"/>
  <c r="F37" i="32"/>
  <c r="B37" i="32"/>
  <c r="E37" i="32"/>
  <c r="H37" i="32"/>
  <c r="D37" i="32"/>
  <c r="G37" i="32"/>
  <c r="C37" i="32"/>
  <c r="C41" i="32"/>
  <c r="B41" i="32"/>
  <c r="B57" i="32"/>
  <c r="B55" i="32" a="1"/>
  <c r="B53" i="32" a="1"/>
  <c r="B51" i="32" a="1"/>
  <c r="B49" i="32" a="1"/>
  <c r="B47" i="32" a="1"/>
  <c r="B45" i="32" a="1"/>
  <c r="C57" i="32"/>
  <c r="F31" i="32"/>
  <c r="F30" i="32" s="1"/>
  <c r="B31" i="32"/>
  <c r="B30" i="32" s="1"/>
  <c r="E31" i="32"/>
  <c r="E30" i="32" s="1"/>
  <c r="H31" i="32"/>
  <c r="H30" i="32" s="1"/>
  <c r="D31" i="32"/>
  <c r="D30" i="32" s="1"/>
  <c r="G31" i="32"/>
  <c r="G30" i="32" s="1"/>
  <c r="C31" i="32"/>
  <c r="C30" i="32" s="1"/>
  <c r="G37" i="31"/>
  <c r="C37" i="31"/>
  <c r="F37" i="31"/>
  <c r="B37" i="31"/>
  <c r="D37" i="31"/>
  <c r="H37" i="31"/>
  <c r="E37" i="31"/>
  <c r="G31" i="31"/>
  <c r="G30" i="31" s="1"/>
  <c r="C31" i="31"/>
  <c r="C30" i="31" s="1"/>
  <c r="F31" i="31"/>
  <c r="F30" i="31" s="1"/>
  <c r="B31" i="31"/>
  <c r="B30" i="31" s="1"/>
  <c r="H31" i="31"/>
  <c r="H30" i="31" s="1"/>
  <c r="E31" i="31"/>
  <c r="E30" i="31" s="1"/>
  <c r="D31" i="31"/>
  <c r="D30" i="31" s="1"/>
  <c r="G33" i="31"/>
  <c r="C33" i="31"/>
  <c r="F33" i="31"/>
  <c r="B33" i="31"/>
  <c r="D33" i="31"/>
  <c r="H33" i="31"/>
  <c r="E33" i="31"/>
  <c r="E39" i="31"/>
  <c r="G39" i="31"/>
  <c r="C39" i="31"/>
  <c r="F39" i="31"/>
  <c r="B39" i="31"/>
  <c r="H39" i="31"/>
  <c r="D39" i="31"/>
  <c r="C57" i="31"/>
  <c r="B57" i="31"/>
  <c r="B53" i="31" a="1"/>
  <c r="B49" i="31" a="1"/>
  <c r="B45" i="31" a="1"/>
  <c r="B51" i="31" a="1"/>
  <c r="B55" i="31" a="1"/>
  <c r="B47" i="31" a="1"/>
  <c r="G35" i="31"/>
  <c r="C35" i="31"/>
  <c r="F35" i="31"/>
  <c r="B35" i="31"/>
  <c r="H35" i="31"/>
  <c r="E35" i="31"/>
  <c r="D35" i="31"/>
  <c r="C41" i="31"/>
  <c r="B41" i="31"/>
  <c r="G37" i="30"/>
  <c r="C37" i="30"/>
  <c r="E37" i="30"/>
  <c r="B37" i="30"/>
  <c r="H37" i="30"/>
  <c r="F37" i="30"/>
  <c r="D37" i="30"/>
  <c r="G35" i="30"/>
  <c r="C35" i="30"/>
  <c r="E35" i="30"/>
  <c r="D35" i="30"/>
  <c r="B35" i="30"/>
  <c r="H35" i="30"/>
  <c r="F35" i="30"/>
  <c r="C57" i="30"/>
  <c r="B55" i="30" a="1"/>
  <c r="B53" i="30" a="1"/>
  <c r="B51" i="30" a="1"/>
  <c r="B49" i="30" a="1"/>
  <c r="B47" i="30" a="1"/>
  <c r="B45" i="30" a="1"/>
  <c r="B57" i="30"/>
  <c r="G31" i="30"/>
  <c r="G30" i="30" s="1"/>
  <c r="C31" i="30"/>
  <c r="C30" i="30" s="1"/>
  <c r="E31" i="30"/>
  <c r="E30" i="30" s="1"/>
  <c r="D31" i="30"/>
  <c r="D30" i="30" s="1"/>
  <c r="B31" i="30"/>
  <c r="B30" i="30" s="1"/>
  <c r="H31" i="30"/>
  <c r="H30" i="30" s="1"/>
  <c r="F31" i="30"/>
  <c r="F30" i="30" s="1"/>
  <c r="G39" i="30"/>
  <c r="C39" i="30"/>
  <c r="E39" i="30"/>
  <c r="B39" i="30"/>
  <c r="D39" i="30"/>
  <c r="H39" i="30"/>
  <c r="F39" i="30"/>
  <c r="G33" i="30"/>
  <c r="C33" i="30"/>
  <c r="E33" i="30"/>
  <c r="D33" i="30"/>
  <c r="B33" i="30"/>
  <c r="H33" i="30"/>
  <c r="F33" i="30"/>
  <c r="C41" i="30"/>
  <c r="B41" i="30"/>
  <c r="G31" i="29"/>
  <c r="G30" i="29" s="1"/>
  <c r="C31" i="29"/>
  <c r="C30" i="29" s="1"/>
  <c r="F31" i="29"/>
  <c r="F30" i="29" s="1"/>
  <c r="B31" i="29"/>
  <c r="B30" i="29" s="1"/>
  <c r="E31" i="29"/>
  <c r="E30" i="29" s="1"/>
  <c r="D31" i="29"/>
  <c r="D30" i="29" s="1"/>
  <c r="H31" i="29"/>
  <c r="H30" i="29" s="1"/>
  <c r="G33" i="29"/>
  <c r="C33" i="29"/>
  <c r="F33" i="29"/>
  <c r="B33" i="29"/>
  <c r="E33" i="29"/>
  <c r="D33" i="29"/>
  <c r="H33" i="29"/>
  <c r="G35" i="29"/>
  <c r="C35" i="29"/>
  <c r="F35" i="29"/>
  <c r="B35" i="29"/>
  <c r="E35" i="29"/>
  <c r="D35" i="29"/>
  <c r="H35" i="29"/>
  <c r="C41" i="29"/>
  <c r="B41" i="29"/>
  <c r="G39" i="29"/>
  <c r="C39" i="29"/>
  <c r="F39" i="29"/>
  <c r="B39" i="29"/>
  <c r="E39" i="29"/>
  <c r="D39" i="29"/>
  <c r="H39" i="29"/>
  <c r="C57" i="29"/>
  <c r="B55" i="29" a="1"/>
  <c r="B53" i="29" a="1"/>
  <c r="B51" i="29" a="1"/>
  <c r="B49" i="29" a="1"/>
  <c r="B47" i="29" a="1"/>
  <c r="B45" i="29" a="1"/>
  <c r="B57" i="29"/>
  <c r="G37" i="29"/>
  <c r="C37" i="29"/>
  <c r="F37" i="29"/>
  <c r="B37" i="29"/>
  <c r="E37" i="29"/>
  <c r="D37" i="29"/>
  <c r="H37" i="29"/>
  <c r="H37" i="28"/>
  <c r="D37" i="28"/>
  <c r="G37" i="28"/>
  <c r="B37" i="28"/>
  <c r="F37" i="28"/>
  <c r="E37" i="28"/>
  <c r="C37" i="28"/>
  <c r="H39" i="28"/>
  <c r="D39" i="28"/>
  <c r="E39" i="28"/>
  <c r="C39" i="28"/>
  <c r="G39" i="28"/>
  <c r="B39" i="28"/>
  <c r="F39" i="28"/>
  <c r="B41" i="28"/>
  <c r="C41" i="28"/>
  <c r="H35" i="28"/>
  <c r="D35" i="28"/>
  <c r="E35" i="28"/>
  <c r="C35" i="28"/>
  <c r="B35" i="28"/>
  <c r="G35" i="28"/>
  <c r="F35" i="28"/>
  <c r="B57" i="28"/>
  <c r="B53" i="28" a="1"/>
  <c r="B49" i="28" a="1"/>
  <c r="B45" i="28" a="1"/>
  <c r="B55" i="28" a="1"/>
  <c r="B47" i="28" a="1"/>
  <c r="B51" i="28" a="1"/>
  <c r="C57" i="28"/>
  <c r="H31" i="28"/>
  <c r="H30" i="28" s="1"/>
  <c r="D31" i="28"/>
  <c r="D30" i="28" s="1"/>
  <c r="E31" i="28"/>
  <c r="E30" i="28" s="1"/>
  <c r="C31" i="28"/>
  <c r="C30" i="28" s="1"/>
  <c r="G31" i="28"/>
  <c r="G30" i="28" s="1"/>
  <c r="B31" i="28"/>
  <c r="B30" i="28" s="1"/>
  <c r="F31" i="28"/>
  <c r="F30" i="28" s="1"/>
  <c r="H33" i="28"/>
  <c r="D33" i="28"/>
  <c r="G33" i="28"/>
  <c r="B33" i="28"/>
  <c r="F33" i="28"/>
  <c r="E33" i="28"/>
  <c r="C33" i="28"/>
  <c r="H39" i="27"/>
  <c r="D39" i="27"/>
  <c r="C39" i="27"/>
  <c r="G39" i="27"/>
  <c r="B39" i="27"/>
  <c r="F39" i="27"/>
  <c r="E39" i="27"/>
  <c r="H33" i="27"/>
  <c r="D33" i="27"/>
  <c r="F33" i="27"/>
  <c r="E33" i="27"/>
  <c r="B33" i="27"/>
  <c r="C33" i="27"/>
  <c r="G33" i="27"/>
  <c r="B57" i="27"/>
  <c r="C57" i="27"/>
  <c r="B55" i="27" a="1"/>
  <c r="B51" i="27" a="1"/>
  <c r="B47" i="27" a="1"/>
  <c r="B45" i="27" a="1"/>
  <c r="B53" i="27" a="1"/>
  <c r="B49" i="27" a="1"/>
  <c r="H35" i="27"/>
  <c r="D35" i="27"/>
  <c r="C35" i="27"/>
  <c r="G35" i="27"/>
  <c r="B35" i="27"/>
  <c r="E35" i="27"/>
  <c r="F35" i="27"/>
  <c r="H37" i="27"/>
  <c r="D37" i="27"/>
  <c r="F37" i="27"/>
  <c r="E37" i="27"/>
  <c r="G37" i="27"/>
  <c r="C37" i="27"/>
  <c r="B37" i="27"/>
  <c r="H31" i="27"/>
  <c r="H30" i="27" s="1"/>
  <c r="D31" i="27"/>
  <c r="D30" i="27" s="1"/>
  <c r="C31" i="27"/>
  <c r="C30" i="27" s="1"/>
  <c r="G31" i="27"/>
  <c r="G30" i="27" s="1"/>
  <c r="B31" i="27"/>
  <c r="B30" i="27" s="1"/>
  <c r="F31" i="27"/>
  <c r="F30" i="27" s="1"/>
  <c r="E31" i="27"/>
  <c r="E30" i="27" s="1"/>
  <c r="B41" i="27"/>
  <c r="C41" i="27"/>
  <c r="H35" i="26"/>
  <c r="D35" i="26"/>
  <c r="G35" i="26"/>
  <c r="C35" i="26"/>
  <c r="F35" i="26"/>
  <c r="B35" i="26"/>
  <c r="E35" i="26"/>
  <c r="F37" i="26"/>
  <c r="H37" i="26"/>
  <c r="C37" i="26"/>
  <c r="G37" i="26"/>
  <c r="B37" i="26"/>
  <c r="E37" i="26"/>
  <c r="D37" i="26"/>
  <c r="B41" i="26"/>
  <c r="C41" i="26"/>
  <c r="H31" i="26"/>
  <c r="H30" i="26" s="1"/>
  <c r="G31" i="26"/>
  <c r="G30" i="26" s="1"/>
  <c r="C31" i="26"/>
  <c r="C30" i="26" s="1"/>
  <c r="F31" i="26"/>
  <c r="F30" i="26" s="1"/>
  <c r="B31" i="26"/>
  <c r="B30" i="26" s="1"/>
  <c r="E31" i="26"/>
  <c r="E30" i="26" s="1"/>
  <c r="D31" i="26"/>
  <c r="D30" i="26" s="1"/>
  <c r="B57" i="26"/>
  <c r="C57" i="26"/>
  <c r="B55" i="26" a="1"/>
  <c r="B53" i="26" a="1"/>
  <c r="B51" i="26" a="1"/>
  <c r="B49" i="26" a="1"/>
  <c r="B47" i="26" a="1"/>
  <c r="B45" i="26" a="1"/>
  <c r="H33" i="26"/>
  <c r="G33" i="26"/>
  <c r="C33" i="26"/>
  <c r="F33" i="26"/>
  <c r="B33" i="26"/>
  <c r="E33" i="26"/>
  <c r="D33" i="26"/>
  <c r="F39" i="26"/>
  <c r="B39" i="26"/>
  <c r="H39" i="26"/>
  <c r="D39" i="26"/>
  <c r="G39" i="26"/>
  <c r="E39" i="26"/>
  <c r="C39" i="26"/>
  <c r="C41" i="25"/>
  <c r="B41" i="25"/>
  <c r="B57" i="25"/>
  <c r="B55" i="25" a="1"/>
  <c r="B51" i="25" a="1"/>
  <c r="B47" i="25" a="1"/>
  <c r="C57" i="25"/>
  <c r="B53" i="25" a="1"/>
  <c r="B49" i="25" a="1"/>
  <c r="B45" i="25" a="1"/>
  <c r="H39" i="25"/>
  <c r="D39" i="25"/>
  <c r="C39" i="25"/>
  <c r="G39" i="25"/>
  <c r="B39" i="25"/>
  <c r="F39" i="25"/>
  <c r="E39" i="25"/>
  <c r="H31" i="25"/>
  <c r="H30" i="25" s="1"/>
  <c r="D31" i="25"/>
  <c r="D30" i="25" s="1"/>
  <c r="C31" i="25"/>
  <c r="C30" i="25" s="1"/>
  <c r="G31" i="25"/>
  <c r="G30" i="25" s="1"/>
  <c r="B31" i="25"/>
  <c r="B30" i="25" s="1"/>
  <c r="F31" i="25"/>
  <c r="F30" i="25" s="1"/>
  <c r="E31" i="25"/>
  <c r="E30" i="25" s="1"/>
  <c r="H33" i="25"/>
  <c r="D33" i="25"/>
  <c r="F33" i="25"/>
  <c r="E33" i="25"/>
  <c r="C33" i="25"/>
  <c r="G33" i="25"/>
  <c r="B33" i="25"/>
  <c r="H35" i="25"/>
  <c r="D35" i="25"/>
  <c r="C35" i="25"/>
  <c r="G35" i="25"/>
  <c r="B35" i="25"/>
  <c r="F35" i="25"/>
  <c r="E35" i="25"/>
  <c r="H37" i="25"/>
  <c r="D37" i="25"/>
  <c r="F37" i="25"/>
  <c r="E37" i="25"/>
  <c r="C37" i="25"/>
  <c r="G37" i="25"/>
  <c r="B37" i="25"/>
  <c r="G37" i="24"/>
  <c r="C37" i="24"/>
  <c r="F37" i="24"/>
  <c r="E37" i="24"/>
  <c r="D37" i="24"/>
  <c r="B37" i="24"/>
  <c r="H37" i="24"/>
  <c r="C41" i="24"/>
  <c r="B41" i="24"/>
  <c r="B57" i="24"/>
  <c r="B55" i="24" a="1"/>
  <c r="B51" i="24" a="1"/>
  <c r="B47" i="24" a="1"/>
  <c r="C57" i="24"/>
  <c r="B53" i="24" a="1"/>
  <c r="B45" i="24" a="1"/>
  <c r="B49" i="24" a="1"/>
  <c r="G39" i="24"/>
  <c r="C39" i="24"/>
  <c r="D39" i="24"/>
  <c r="H39" i="24"/>
  <c r="B39" i="24"/>
  <c r="F39" i="24"/>
  <c r="E39" i="24"/>
  <c r="G35" i="24"/>
  <c r="C35" i="24"/>
  <c r="D35" i="24"/>
  <c r="H35" i="24"/>
  <c r="B35" i="24"/>
  <c r="F35" i="24"/>
  <c r="E35" i="24"/>
  <c r="G31" i="24"/>
  <c r="G30" i="24" s="1"/>
  <c r="C31" i="24"/>
  <c r="C30" i="24" s="1"/>
  <c r="D31" i="24"/>
  <c r="D30" i="24" s="1"/>
  <c r="H31" i="24"/>
  <c r="H30" i="24" s="1"/>
  <c r="B31" i="24"/>
  <c r="B30" i="24" s="1"/>
  <c r="F31" i="24"/>
  <c r="F30" i="24" s="1"/>
  <c r="E31" i="24"/>
  <c r="E30" i="24" s="1"/>
  <c r="G33" i="24"/>
  <c r="C33" i="24"/>
  <c r="F33" i="24"/>
  <c r="E33" i="24"/>
  <c r="D33" i="24"/>
  <c r="H33" i="24"/>
  <c r="B33" i="24"/>
  <c r="G37" i="23"/>
  <c r="C37" i="23"/>
  <c r="F37" i="23"/>
  <c r="B37" i="23"/>
  <c r="E37" i="23"/>
  <c r="D37" i="23"/>
  <c r="H37" i="23"/>
  <c r="B57" i="23"/>
  <c r="B53" i="23" a="1"/>
  <c r="B49" i="23" a="1"/>
  <c r="B45" i="23" a="1"/>
  <c r="B55" i="23" a="1"/>
  <c r="B51" i="23" a="1"/>
  <c r="B47" i="23" a="1"/>
  <c r="C57" i="23"/>
  <c r="G31" i="23"/>
  <c r="G30" i="23" s="1"/>
  <c r="C31" i="23"/>
  <c r="C30" i="23" s="1"/>
  <c r="F31" i="23"/>
  <c r="F30" i="23" s="1"/>
  <c r="B31" i="23"/>
  <c r="B30" i="23" s="1"/>
  <c r="E31" i="23"/>
  <c r="E30" i="23" s="1"/>
  <c r="H31" i="23"/>
  <c r="H30" i="23" s="1"/>
  <c r="D31" i="23"/>
  <c r="D30" i="23" s="1"/>
  <c r="G39" i="23"/>
  <c r="C39" i="23"/>
  <c r="F39" i="23"/>
  <c r="B39" i="23"/>
  <c r="E39" i="23"/>
  <c r="H39" i="23"/>
  <c r="D39" i="23"/>
  <c r="G35" i="23"/>
  <c r="C35" i="23"/>
  <c r="F35" i="23"/>
  <c r="B35" i="23"/>
  <c r="E35" i="23"/>
  <c r="H35" i="23"/>
  <c r="D35" i="23"/>
  <c r="G33" i="23"/>
  <c r="C33" i="23"/>
  <c r="F33" i="23"/>
  <c r="B33" i="23"/>
  <c r="E33" i="23"/>
  <c r="D33" i="23"/>
  <c r="H33" i="23"/>
  <c r="C41" i="23"/>
  <c r="B41" i="23"/>
  <c r="G39" i="22"/>
  <c r="C39" i="22"/>
  <c r="F39" i="22"/>
  <c r="E39" i="22"/>
  <c r="H39" i="22"/>
  <c r="D39" i="22"/>
  <c r="B39" i="22"/>
  <c r="F31" i="22"/>
  <c r="F30" i="22" s="1"/>
  <c r="B31" i="22"/>
  <c r="B30" i="22" s="1"/>
  <c r="E31" i="22"/>
  <c r="E30" i="22" s="1"/>
  <c r="D31" i="22"/>
  <c r="D30" i="22" s="1"/>
  <c r="C31" i="22"/>
  <c r="C30" i="22" s="1"/>
  <c r="H31" i="22"/>
  <c r="H30" i="22" s="1"/>
  <c r="G31" i="22"/>
  <c r="G30" i="22" s="1"/>
  <c r="C41" i="22"/>
  <c r="B41" i="22"/>
  <c r="C57" i="22"/>
  <c r="B57" i="22"/>
  <c r="B53" i="22" a="1"/>
  <c r="B49" i="22" a="1"/>
  <c r="B45" i="22" a="1"/>
  <c r="B55" i="22" a="1"/>
  <c r="B47" i="22" a="1"/>
  <c r="B51" i="22" a="1"/>
  <c r="F33" i="22"/>
  <c r="B33" i="22"/>
  <c r="E33" i="22"/>
  <c r="D33" i="22"/>
  <c r="C33" i="22"/>
  <c r="H33" i="22"/>
  <c r="G33" i="22"/>
  <c r="G37" i="22"/>
  <c r="C37" i="22"/>
  <c r="D37" i="22"/>
  <c r="H37" i="22"/>
  <c r="B37" i="22"/>
  <c r="F37" i="22"/>
  <c r="E37" i="22"/>
  <c r="G35" i="22"/>
  <c r="F35" i="22"/>
  <c r="B35" i="22"/>
  <c r="E35" i="22"/>
  <c r="D35" i="22"/>
  <c r="C35" i="22"/>
  <c r="H35" i="22"/>
  <c r="H33" i="21"/>
  <c r="D33" i="21"/>
  <c r="G33" i="21"/>
  <c r="C33" i="21"/>
  <c r="E33" i="21"/>
  <c r="B33" i="21"/>
  <c r="F33" i="21"/>
  <c r="B57" i="21"/>
  <c r="B55" i="21" a="1"/>
  <c r="B53" i="21" a="1"/>
  <c r="B51" i="21" a="1"/>
  <c r="B49" i="21" a="1"/>
  <c r="B47" i="21" a="1"/>
  <c r="B45" i="21" a="1"/>
  <c r="C57" i="21"/>
  <c r="H35" i="21"/>
  <c r="D35" i="21"/>
  <c r="G35" i="21"/>
  <c r="C35" i="21"/>
  <c r="E35" i="21"/>
  <c r="B35" i="21"/>
  <c r="F35" i="21"/>
  <c r="H37" i="21"/>
  <c r="D37" i="21"/>
  <c r="G37" i="21"/>
  <c r="C37" i="21"/>
  <c r="E37" i="21"/>
  <c r="B37" i="21"/>
  <c r="F37" i="21"/>
  <c r="C41" i="21"/>
  <c r="B41" i="21"/>
  <c r="H31" i="21"/>
  <c r="H30" i="21" s="1"/>
  <c r="G31" i="21"/>
  <c r="G30" i="21" s="1"/>
  <c r="C31" i="21"/>
  <c r="C30" i="21" s="1"/>
  <c r="E31" i="21"/>
  <c r="E30" i="21" s="1"/>
  <c r="D31" i="21"/>
  <c r="D30" i="21" s="1"/>
  <c r="B31" i="21"/>
  <c r="B30" i="21" s="1"/>
  <c r="F31" i="21"/>
  <c r="F30" i="21" s="1"/>
  <c r="H39" i="21"/>
  <c r="D39" i="21"/>
  <c r="G39" i="21"/>
  <c r="C39" i="21"/>
  <c r="E39" i="21"/>
  <c r="B39" i="21"/>
  <c r="F39" i="21"/>
  <c r="B57" i="20"/>
  <c r="B53" i="20" a="1"/>
  <c r="B49" i="20" a="1"/>
  <c r="B45" i="20" a="1"/>
  <c r="C57" i="20"/>
  <c r="B55" i="20" a="1"/>
  <c r="B47" i="20" a="1"/>
  <c r="B51" i="20" a="1"/>
  <c r="H39" i="20"/>
  <c r="D39" i="20"/>
  <c r="E39" i="20"/>
  <c r="C39" i="20"/>
  <c r="B39" i="20"/>
  <c r="G39" i="20"/>
  <c r="F39" i="20"/>
  <c r="B41" i="20"/>
  <c r="C41" i="20"/>
  <c r="H35" i="20"/>
  <c r="D35" i="20"/>
  <c r="E35" i="20"/>
  <c r="C35" i="20"/>
  <c r="F35" i="20"/>
  <c r="G35" i="20"/>
  <c r="B35" i="20"/>
  <c r="H33" i="20"/>
  <c r="D33" i="20"/>
  <c r="G33" i="20"/>
  <c r="B33" i="20"/>
  <c r="F33" i="20"/>
  <c r="C33" i="20"/>
  <c r="E33" i="20"/>
  <c r="H31" i="20"/>
  <c r="H30" i="20" s="1"/>
  <c r="D31" i="20"/>
  <c r="D30" i="20" s="1"/>
  <c r="E31" i="20"/>
  <c r="E30" i="20" s="1"/>
  <c r="C31" i="20"/>
  <c r="C30" i="20" s="1"/>
  <c r="B31" i="20"/>
  <c r="B30" i="20" s="1"/>
  <c r="G31" i="20"/>
  <c r="G30" i="20" s="1"/>
  <c r="F31" i="20"/>
  <c r="F30" i="20" s="1"/>
  <c r="H37" i="20"/>
  <c r="D37" i="20"/>
  <c r="G37" i="20"/>
  <c r="B37" i="20"/>
  <c r="F37" i="20"/>
  <c r="E37" i="20"/>
  <c r="C37" i="20"/>
  <c r="G35" i="19"/>
  <c r="C35" i="19"/>
  <c r="F35" i="19"/>
  <c r="B35" i="19"/>
  <c r="E35" i="19"/>
  <c r="H35" i="19"/>
  <c r="D35" i="19"/>
  <c r="C57" i="19"/>
  <c r="B55" i="19" a="1"/>
  <c r="B53" i="19" a="1"/>
  <c r="B51" i="19" a="1"/>
  <c r="B49" i="19" a="1"/>
  <c r="B47" i="19" a="1"/>
  <c r="B45" i="19" a="1"/>
  <c r="B57" i="19"/>
  <c r="G37" i="19"/>
  <c r="C37" i="19"/>
  <c r="F37" i="19"/>
  <c r="B37" i="19"/>
  <c r="E37" i="19"/>
  <c r="D37" i="19"/>
  <c r="H37" i="19"/>
  <c r="G31" i="19"/>
  <c r="G30" i="19" s="1"/>
  <c r="C31" i="19"/>
  <c r="C30" i="19" s="1"/>
  <c r="F31" i="19"/>
  <c r="F30" i="19" s="1"/>
  <c r="B31" i="19"/>
  <c r="B30" i="19" s="1"/>
  <c r="E31" i="19"/>
  <c r="E30" i="19" s="1"/>
  <c r="H31" i="19"/>
  <c r="H30" i="19" s="1"/>
  <c r="D31" i="19"/>
  <c r="D30" i="19" s="1"/>
  <c r="G39" i="19"/>
  <c r="C39" i="19"/>
  <c r="F39" i="19"/>
  <c r="B39" i="19"/>
  <c r="E39" i="19"/>
  <c r="H39" i="19"/>
  <c r="D39" i="19"/>
  <c r="G33" i="19"/>
  <c r="C33" i="19"/>
  <c r="F33" i="19"/>
  <c r="B33" i="19"/>
  <c r="E33" i="19"/>
  <c r="D33" i="19"/>
  <c r="H33" i="19"/>
  <c r="C41" i="19"/>
  <c r="B41" i="19"/>
  <c r="B41" i="18"/>
  <c r="C41" i="18"/>
  <c r="H31" i="18"/>
  <c r="H30" i="18" s="1"/>
  <c r="D31" i="18"/>
  <c r="D30" i="18" s="1"/>
  <c r="G31" i="18"/>
  <c r="G30" i="18" s="1"/>
  <c r="C31" i="18"/>
  <c r="C30" i="18" s="1"/>
  <c r="E31" i="18"/>
  <c r="E30" i="18" s="1"/>
  <c r="F31" i="18"/>
  <c r="F30" i="18" s="1"/>
  <c r="B31" i="18"/>
  <c r="B30" i="18" s="1"/>
  <c r="B55" i="18" a="1"/>
  <c r="B51" i="18" a="1"/>
  <c r="B47" i="18" a="1"/>
  <c r="C57" i="18"/>
  <c r="B57" i="18"/>
  <c r="B53" i="18" a="1"/>
  <c r="B49" i="18" a="1"/>
  <c r="B45" i="18" a="1"/>
  <c r="H35" i="18"/>
  <c r="D35" i="18"/>
  <c r="G35" i="18"/>
  <c r="C35" i="18"/>
  <c r="E35" i="18"/>
  <c r="F35" i="18"/>
  <c r="B35" i="18"/>
  <c r="F37" i="18"/>
  <c r="B37" i="18"/>
  <c r="E37" i="18"/>
  <c r="D37" i="18"/>
  <c r="G37" i="18"/>
  <c r="H37" i="18"/>
  <c r="C37" i="18"/>
  <c r="H33" i="18"/>
  <c r="D33" i="18"/>
  <c r="G33" i="18"/>
  <c r="C33" i="18"/>
  <c r="F33" i="18"/>
  <c r="B33" i="18"/>
  <c r="E33" i="18"/>
  <c r="F39" i="18"/>
  <c r="B39" i="18"/>
  <c r="H39" i="18"/>
  <c r="C39" i="18"/>
  <c r="D39" i="18"/>
  <c r="G39" i="18"/>
  <c r="E39" i="18"/>
  <c r="C41" i="17"/>
  <c r="B41" i="17"/>
  <c r="H31" i="17"/>
  <c r="H30" i="17" s="1"/>
  <c r="D31" i="17"/>
  <c r="D30" i="17" s="1"/>
  <c r="F31" i="17"/>
  <c r="F30" i="17" s="1"/>
  <c r="E31" i="17"/>
  <c r="E30" i="17" s="1"/>
  <c r="G31" i="17"/>
  <c r="G30" i="17" s="1"/>
  <c r="B31" i="17"/>
  <c r="B30" i="17" s="1"/>
  <c r="C31" i="17"/>
  <c r="C30" i="17" s="1"/>
  <c r="B57" i="17"/>
  <c r="C57" i="17"/>
  <c r="B53" i="17" a="1"/>
  <c r="B49" i="17" a="1"/>
  <c r="B45" i="17" a="1"/>
  <c r="B55" i="17" a="1"/>
  <c r="B47" i="17" a="1"/>
  <c r="B51" i="17" a="1"/>
  <c r="H37" i="17"/>
  <c r="D37" i="17"/>
  <c r="C37" i="17"/>
  <c r="G37" i="17"/>
  <c r="B37" i="17"/>
  <c r="E37" i="17"/>
  <c r="F37" i="17"/>
  <c r="H35" i="17"/>
  <c r="D35" i="17"/>
  <c r="F35" i="17"/>
  <c r="E35" i="17"/>
  <c r="B35" i="17"/>
  <c r="G35" i="17"/>
  <c r="C35" i="17"/>
  <c r="H33" i="17"/>
  <c r="D33" i="17"/>
  <c r="C33" i="17"/>
  <c r="G33" i="17"/>
  <c r="B33" i="17"/>
  <c r="E33" i="17"/>
  <c r="F33" i="17"/>
  <c r="H39" i="17"/>
  <c r="D39" i="17"/>
  <c r="F39" i="17"/>
  <c r="E39" i="17"/>
  <c r="G39" i="17"/>
  <c r="B39" i="17"/>
  <c r="C39" i="17"/>
  <c r="H39" i="16"/>
  <c r="D39" i="16"/>
  <c r="G39" i="16"/>
  <c r="C39" i="16"/>
  <c r="B39" i="16"/>
  <c r="F39" i="16"/>
  <c r="E39" i="16"/>
  <c r="H33" i="16"/>
  <c r="D33" i="16"/>
  <c r="G33" i="16"/>
  <c r="C33" i="16"/>
  <c r="B33" i="16"/>
  <c r="F33" i="16"/>
  <c r="E33" i="16"/>
  <c r="C41" i="16"/>
  <c r="B41" i="16"/>
  <c r="H35" i="16"/>
  <c r="D35" i="16"/>
  <c r="G35" i="16"/>
  <c r="C35" i="16"/>
  <c r="B35" i="16"/>
  <c r="F35" i="16"/>
  <c r="E35" i="16"/>
  <c r="B57" i="16"/>
  <c r="C57" i="16"/>
  <c r="B55" i="16" a="1"/>
  <c r="B53" i="16" a="1"/>
  <c r="B51" i="16" a="1"/>
  <c r="B49" i="16" a="1"/>
  <c r="B47" i="16" a="1"/>
  <c r="B45" i="16" a="1"/>
  <c r="H31" i="16"/>
  <c r="H30" i="16" s="1"/>
  <c r="D31" i="16"/>
  <c r="D30" i="16" s="1"/>
  <c r="G31" i="16"/>
  <c r="G30" i="16" s="1"/>
  <c r="C31" i="16"/>
  <c r="C30" i="16" s="1"/>
  <c r="B31" i="16"/>
  <c r="B30" i="16" s="1"/>
  <c r="F31" i="16"/>
  <c r="F30" i="16" s="1"/>
  <c r="E31" i="16"/>
  <c r="E30" i="16" s="1"/>
  <c r="H37" i="16"/>
  <c r="D37" i="16"/>
  <c r="G37" i="16"/>
  <c r="C37" i="16"/>
  <c r="B37" i="16"/>
  <c r="F37" i="16"/>
  <c r="E37" i="16"/>
  <c r="G33" i="15"/>
  <c r="C33" i="15"/>
  <c r="F33" i="15"/>
  <c r="B33" i="15"/>
  <c r="E33" i="15"/>
  <c r="H33" i="15"/>
  <c r="D33" i="15"/>
  <c r="F37" i="15"/>
  <c r="B37" i="15"/>
  <c r="H37" i="15"/>
  <c r="E37" i="15"/>
  <c r="D37" i="15"/>
  <c r="C37" i="15"/>
  <c r="G37" i="15"/>
  <c r="F35" i="15"/>
  <c r="H35" i="15"/>
  <c r="C35" i="15"/>
  <c r="G35" i="15"/>
  <c r="B35" i="15"/>
  <c r="E35" i="15"/>
  <c r="D35" i="15"/>
  <c r="F39" i="15"/>
  <c r="B39" i="15"/>
  <c r="H39" i="15"/>
  <c r="D39" i="15"/>
  <c r="E39" i="15"/>
  <c r="C39" i="15"/>
  <c r="G39" i="15"/>
  <c r="B57" i="15"/>
  <c r="B55" i="15" a="1"/>
  <c r="B53" i="15" a="1"/>
  <c r="B51" i="15" a="1"/>
  <c r="B49" i="15" a="1"/>
  <c r="B47" i="15" a="1"/>
  <c r="B45" i="15" a="1"/>
  <c r="C57" i="15"/>
  <c r="G31" i="15"/>
  <c r="G30" i="15" s="1"/>
  <c r="C31" i="15"/>
  <c r="C30" i="15" s="1"/>
  <c r="F31" i="15"/>
  <c r="F30" i="15" s="1"/>
  <c r="B31" i="15"/>
  <c r="B30" i="15" s="1"/>
  <c r="E31" i="15"/>
  <c r="E30" i="15" s="1"/>
  <c r="H31" i="15"/>
  <c r="H30" i="15" s="1"/>
  <c r="D31" i="15"/>
  <c r="D30" i="15" s="1"/>
  <c r="B41" i="15"/>
  <c r="C41" i="15"/>
  <c r="B55" i="14" a="1"/>
  <c r="C55" i="14" s="1"/>
  <c r="G35" i="14"/>
  <c r="C35" i="14"/>
  <c r="E39" i="14"/>
  <c r="B41" i="14"/>
  <c r="D39" i="14"/>
  <c r="F35" i="14"/>
  <c r="B39" i="14"/>
  <c r="E35" i="14"/>
  <c r="H33" i="14"/>
  <c r="B33" i="14"/>
  <c r="B37" i="14"/>
  <c r="F37" i="14"/>
  <c r="B31" i="14"/>
  <c r="B30" i="14" s="1"/>
  <c r="F31" i="14"/>
  <c r="F30" i="14" s="1"/>
  <c r="E31" i="14"/>
  <c r="E30" i="14" s="1"/>
  <c r="C31" i="14"/>
  <c r="C30" i="14" s="1"/>
  <c r="H35" i="14"/>
  <c r="E33" i="14"/>
  <c r="B53" i="14" a="1"/>
  <c r="E53" i="14" s="1"/>
  <c r="B57" i="14"/>
  <c r="D35" i="14"/>
  <c r="D31" i="14"/>
  <c r="D30" i="14" s="1"/>
  <c r="D37" i="14"/>
  <c r="C37" i="14"/>
  <c r="E37" i="14"/>
  <c r="G37" i="14"/>
  <c r="B51" i="14" a="1"/>
  <c r="D51" i="14" s="1"/>
  <c r="B45" i="14" a="1"/>
  <c r="G45" i="14" s="1"/>
  <c r="G44" i="14" s="1"/>
  <c r="G33" i="14"/>
  <c r="C33" i="14"/>
  <c r="H31" i="14"/>
  <c r="H30" i="14" s="1"/>
  <c r="F33" i="14"/>
  <c r="C39" i="14"/>
  <c r="F39" i="14"/>
  <c r="G39" i="14"/>
  <c r="B49" i="14" a="1"/>
  <c r="H49" i="14" s="1"/>
  <c r="B47" i="14" a="1"/>
  <c r="B47" i="14" s="1"/>
  <c r="C57" i="14"/>
  <c r="G53" i="58" l="1"/>
  <c r="F53" i="58"/>
  <c r="C53" i="58"/>
  <c r="B53" i="58"/>
  <c r="A53" i="58"/>
  <c r="E53" i="58"/>
  <c r="D53" i="58"/>
  <c r="G51" i="58"/>
  <c r="F51" i="58"/>
  <c r="A51" i="58"/>
  <c r="D51" i="58"/>
  <c r="B51" i="58"/>
  <c r="E51" i="58"/>
  <c r="C51" i="58"/>
  <c r="G49" i="58"/>
  <c r="F49" i="58"/>
  <c r="E49" i="58"/>
  <c r="D49" i="58"/>
  <c r="C49" i="58"/>
  <c r="B49" i="58"/>
  <c r="A49" i="58"/>
  <c r="B55" i="58"/>
  <c r="A55" i="58"/>
  <c r="G47" i="58"/>
  <c r="F47" i="58"/>
  <c r="E47" i="58"/>
  <c r="D47" i="58"/>
  <c r="C47" i="58"/>
  <c r="B47" i="58"/>
  <c r="A47" i="58"/>
  <c r="G45" i="58"/>
  <c r="G44" i="58" s="1"/>
  <c r="F45" i="58"/>
  <c r="F44" i="58" s="1"/>
  <c r="C45" i="58"/>
  <c r="C44" i="58" s="1"/>
  <c r="B45" i="58"/>
  <c r="B44" i="58" s="1"/>
  <c r="A45" i="58"/>
  <c r="A44" i="58" s="1"/>
  <c r="D45" i="58"/>
  <c r="D44" i="58" s="1"/>
  <c r="E45" i="58"/>
  <c r="E44" i="58" s="1"/>
  <c r="A71" i="58"/>
  <c r="A59" i="58" a="1"/>
  <c r="A65" i="58" a="1"/>
  <c r="B71" i="58"/>
  <c r="A67" i="58" a="1"/>
  <c r="A69" i="58" a="1"/>
  <c r="A63" i="58" a="1"/>
  <c r="A61" i="58" a="1"/>
  <c r="A55" i="57"/>
  <c r="B55" i="57"/>
  <c r="A53" i="57"/>
  <c r="G53" i="57"/>
  <c r="E53" i="57"/>
  <c r="F53" i="57"/>
  <c r="C53" i="57"/>
  <c r="D53" i="57"/>
  <c r="B53" i="57"/>
  <c r="A71" i="57"/>
  <c r="A63" i="57" a="1"/>
  <c r="B71" i="57"/>
  <c r="A65" i="57" a="1"/>
  <c r="A61" i="57" a="1"/>
  <c r="A69" i="57" a="1"/>
  <c r="A59" i="57" a="1"/>
  <c r="A67" i="57" a="1"/>
  <c r="A47" i="57"/>
  <c r="G47" i="57"/>
  <c r="E47" i="57"/>
  <c r="D47" i="57"/>
  <c r="C47" i="57"/>
  <c r="B47" i="57"/>
  <c r="F47" i="57"/>
  <c r="A51" i="57"/>
  <c r="G51" i="57"/>
  <c r="E51" i="57"/>
  <c r="F51" i="57"/>
  <c r="D51" i="57"/>
  <c r="B51" i="57"/>
  <c r="C51" i="57"/>
  <c r="A45" i="57"/>
  <c r="A44" i="57" s="1"/>
  <c r="G45" i="57"/>
  <c r="G44" i="57" s="1"/>
  <c r="E45" i="57"/>
  <c r="E44" i="57" s="1"/>
  <c r="D45" i="57"/>
  <c r="D44" i="57" s="1"/>
  <c r="C45" i="57"/>
  <c r="C44" i="57" s="1"/>
  <c r="F45" i="57"/>
  <c r="F44" i="57" s="1"/>
  <c r="B45" i="57"/>
  <c r="B44" i="57" s="1"/>
  <c r="A49" i="57"/>
  <c r="G49" i="57"/>
  <c r="E49" i="57"/>
  <c r="B49" i="57"/>
  <c r="F49" i="57"/>
  <c r="D49" i="57"/>
  <c r="C49" i="57"/>
  <c r="A51" i="56"/>
  <c r="G51" i="56"/>
  <c r="F51" i="56"/>
  <c r="E51" i="56"/>
  <c r="D51" i="56"/>
  <c r="B51" i="56"/>
  <c r="C51" i="56"/>
  <c r="A49" i="56"/>
  <c r="G49" i="56"/>
  <c r="D49" i="56"/>
  <c r="C49" i="56"/>
  <c r="B49" i="56"/>
  <c r="F49" i="56"/>
  <c r="E49" i="56"/>
  <c r="A55" i="56"/>
  <c r="B55" i="56"/>
  <c r="A47" i="56"/>
  <c r="G47" i="56"/>
  <c r="B47" i="56"/>
  <c r="F47" i="56"/>
  <c r="C47" i="56"/>
  <c r="E47" i="56"/>
  <c r="D47" i="56"/>
  <c r="A71" i="56"/>
  <c r="A67" i="56" a="1"/>
  <c r="A59" i="56" a="1"/>
  <c r="A69" i="56" a="1"/>
  <c r="A61" i="56" a="1"/>
  <c r="A63" i="56" a="1"/>
  <c r="B71" i="56"/>
  <c r="A65" i="56" a="1"/>
  <c r="A53" i="56"/>
  <c r="G53" i="56"/>
  <c r="F53" i="56"/>
  <c r="D53" i="56"/>
  <c r="E53" i="56"/>
  <c r="C53" i="56"/>
  <c r="B53" i="56"/>
  <c r="A45" i="56"/>
  <c r="A44" i="56" s="1"/>
  <c r="G45" i="56"/>
  <c r="G44" i="56" s="1"/>
  <c r="F45" i="56"/>
  <c r="F44" i="56" s="1"/>
  <c r="D45" i="56"/>
  <c r="D44" i="56" s="1"/>
  <c r="E45" i="56"/>
  <c r="E44" i="56" s="1"/>
  <c r="C45" i="56"/>
  <c r="C44" i="56" s="1"/>
  <c r="B45" i="56"/>
  <c r="B44" i="56" s="1"/>
  <c r="F47" i="55"/>
  <c r="B47" i="55"/>
  <c r="E47" i="55"/>
  <c r="D47" i="55"/>
  <c r="C47" i="55"/>
  <c r="A47" i="55"/>
  <c r="G47" i="55"/>
  <c r="F53" i="55"/>
  <c r="B53" i="55"/>
  <c r="C53" i="55"/>
  <c r="G53" i="55"/>
  <c r="A53" i="55"/>
  <c r="E53" i="55"/>
  <c r="D53" i="55"/>
  <c r="F51" i="55"/>
  <c r="B51" i="55"/>
  <c r="E51" i="55"/>
  <c r="D51" i="55"/>
  <c r="G51" i="55"/>
  <c r="C51" i="55"/>
  <c r="A51" i="55"/>
  <c r="F49" i="55"/>
  <c r="B49" i="55"/>
  <c r="C49" i="55"/>
  <c r="G49" i="55"/>
  <c r="A49" i="55"/>
  <c r="E49" i="55"/>
  <c r="D49" i="55"/>
  <c r="F45" i="55"/>
  <c r="F44" i="55" s="1"/>
  <c r="B45" i="55"/>
  <c r="B44" i="55" s="1"/>
  <c r="C45" i="55"/>
  <c r="C44" i="55" s="1"/>
  <c r="G45" i="55"/>
  <c r="G44" i="55" s="1"/>
  <c r="A45" i="55"/>
  <c r="A44" i="55" s="1"/>
  <c r="E45" i="55"/>
  <c r="E44" i="55" s="1"/>
  <c r="D45" i="55"/>
  <c r="D44" i="55" s="1"/>
  <c r="B55" i="55"/>
  <c r="A55" i="55"/>
  <c r="A69" i="55" a="1"/>
  <c r="A65" i="55" a="1"/>
  <c r="A61" i="55" a="1"/>
  <c r="B71" i="55"/>
  <c r="A71" i="55"/>
  <c r="A59" i="55" a="1"/>
  <c r="A67" i="55" a="1"/>
  <c r="A63" i="55" a="1"/>
  <c r="B71" i="54"/>
  <c r="A71" i="54"/>
  <c r="A67" i="54" a="1"/>
  <c r="A63" i="54" a="1"/>
  <c r="A59" i="54" a="1"/>
  <c r="A69" i="54" a="1"/>
  <c r="A61" i="54" a="1"/>
  <c r="A65" i="54" a="1"/>
  <c r="F47" i="54"/>
  <c r="B47" i="54"/>
  <c r="C47" i="54"/>
  <c r="G47" i="54"/>
  <c r="A47" i="54"/>
  <c r="E47" i="54"/>
  <c r="D47" i="54"/>
  <c r="F49" i="54"/>
  <c r="B49" i="54"/>
  <c r="E49" i="54"/>
  <c r="D49" i="54"/>
  <c r="C49" i="54"/>
  <c r="A49" i="54"/>
  <c r="G49" i="54"/>
  <c r="F45" i="54"/>
  <c r="F44" i="54" s="1"/>
  <c r="B45" i="54"/>
  <c r="B44" i="54" s="1"/>
  <c r="E45" i="54"/>
  <c r="E44" i="54" s="1"/>
  <c r="D45" i="54"/>
  <c r="D44" i="54" s="1"/>
  <c r="C45" i="54"/>
  <c r="C44" i="54" s="1"/>
  <c r="G45" i="54"/>
  <c r="G44" i="54" s="1"/>
  <c r="A45" i="54"/>
  <c r="A44" i="54" s="1"/>
  <c r="F51" i="54"/>
  <c r="B51" i="54"/>
  <c r="C51" i="54"/>
  <c r="G51" i="54"/>
  <c r="A51" i="54"/>
  <c r="E51" i="54"/>
  <c r="D51" i="54"/>
  <c r="F53" i="54"/>
  <c r="B53" i="54"/>
  <c r="E53" i="54"/>
  <c r="D53" i="54"/>
  <c r="C53" i="54"/>
  <c r="G53" i="54"/>
  <c r="A53" i="54"/>
  <c r="B55" i="54"/>
  <c r="A55" i="54"/>
  <c r="E47" i="53"/>
  <c r="A47" i="53"/>
  <c r="G47" i="53"/>
  <c r="B47" i="53"/>
  <c r="F47" i="53"/>
  <c r="D47" i="53"/>
  <c r="C47" i="53"/>
  <c r="A71" i="53"/>
  <c r="A67" i="53" a="1"/>
  <c r="A63" i="53" a="1"/>
  <c r="A59" i="53" a="1"/>
  <c r="A69" i="53" a="1"/>
  <c r="A65" i="53" a="1"/>
  <c r="A61" i="53" a="1"/>
  <c r="B71" i="53"/>
  <c r="E53" i="53"/>
  <c r="A53" i="53"/>
  <c r="D53" i="53"/>
  <c r="C53" i="53"/>
  <c r="G53" i="53"/>
  <c r="B53" i="53"/>
  <c r="F53" i="53"/>
  <c r="E51" i="53"/>
  <c r="A51" i="53"/>
  <c r="G51" i="53"/>
  <c r="B51" i="53"/>
  <c r="F51" i="53"/>
  <c r="D51" i="53"/>
  <c r="C51" i="53"/>
  <c r="E49" i="53"/>
  <c r="A49" i="53"/>
  <c r="D49" i="53"/>
  <c r="C49" i="53"/>
  <c r="G49" i="53"/>
  <c r="B49" i="53"/>
  <c r="F49" i="53"/>
  <c r="A55" i="53"/>
  <c r="B55" i="53"/>
  <c r="E45" i="53"/>
  <c r="E44" i="53" s="1"/>
  <c r="A45" i="53"/>
  <c r="A44" i="53" s="1"/>
  <c r="D45" i="53"/>
  <c r="D44" i="53" s="1"/>
  <c r="C45" i="53"/>
  <c r="C44" i="53" s="1"/>
  <c r="G45" i="53"/>
  <c r="G44" i="53" s="1"/>
  <c r="B45" i="53"/>
  <c r="B44" i="53" s="1"/>
  <c r="F45" i="53"/>
  <c r="F44" i="53" s="1"/>
  <c r="G51" i="52"/>
  <c r="C51" i="52"/>
  <c r="E51" i="52"/>
  <c r="A51" i="52"/>
  <c r="B51" i="52"/>
  <c r="F51" i="52"/>
  <c r="D51" i="52"/>
  <c r="G45" i="52"/>
  <c r="G44" i="52" s="1"/>
  <c r="C45" i="52"/>
  <c r="C44" i="52" s="1"/>
  <c r="E45" i="52"/>
  <c r="E44" i="52" s="1"/>
  <c r="A45" i="52"/>
  <c r="A44" i="52" s="1"/>
  <c r="B45" i="52"/>
  <c r="B44" i="52" s="1"/>
  <c r="F45" i="52"/>
  <c r="F44" i="52" s="1"/>
  <c r="D45" i="52"/>
  <c r="D44" i="52" s="1"/>
  <c r="G53" i="52"/>
  <c r="C53" i="52"/>
  <c r="E53" i="52"/>
  <c r="A53" i="52"/>
  <c r="B53" i="52"/>
  <c r="F53" i="52"/>
  <c r="D53" i="52"/>
  <c r="G47" i="52"/>
  <c r="C47" i="52"/>
  <c r="E47" i="52"/>
  <c r="A47" i="52"/>
  <c r="B47" i="52"/>
  <c r="F47" i="52"/>
  <c r="D47" i="52"/>
  <c r="A55" i="52"/>
  <c r="B55" i="52"/>
  <c r="A71" i="52"/>
  <c r="A67" i="52" a="1"/>
  <c r="A61" i="52" a="1"/>
  <c r="B71" i="52"/>
  <c r="A65" i="52" a="1"/>
  <c r="A59" i="52" a="1"/>
  <c r="A69" i="52" a="1"/>
  <c r="A63" i="52" a="1"/>
  <c r="G49" i="52"/>
  <c r="C49" i="52"/>
  <c r="E49" i="52"/>
  <c r="A49" i="52"/>
  <c r="B49" i="52"/>
  <c r="F49" i="52"/>
  <c r="D49" i="52"/>
  <c r="G51" i="51"/>
  <c r="C51" i="51"/>
  <c r="F51" i="51"/>
  <c r="D51" i="51"/>
  <c r="H51" i="51"/>
  <c r="E51" i="51"/>
  <c r="B51" i="51"/>
  <c r="G53" i="51"/>
  <c r="C53" i="51"/>
  <c r="D53" i="51"/>
  <c r="F53" i="51"/>
  <c r="H53" i="51"/>
  <c r="E53" i="51"/>
  <c r="B53" i="51"/>
  <c r="C55" i="51"/>
  <c r="B55" i="51"/>
  <c r="G49" i="51"/>
  <c r="C49" i="51"/>
  <c r="D49" i="51"/>
  <c r="F49" i="51"/>
  <c r="E49" i="51"/>
  <c r="B49" i="51"/>
  <c r="H49" i="51"/>
  <c r="B71" i="51"/>
  <c r="B67" i="51" a="1"/>
  <c r="B63" i="51" a="1"/>
  <c r="B59" i="51" a="1"/>
  <c r="C71" i="51"/>
  <c r="B69" i="51" a="1"/>
  <c r="B65" i="51" a="1"/>
  <c r="B61" i="51" a="1"/>
  <c r="G45" i="51"/>
  <c r="G44" i="51" s="1"/>
  <c r="C45" i="51"/>
  <c r="C44" i="51" s="1"/>
  <c r="D45" i="51"/>
  <c r="D44" i="51" s="1"/>
  <c r="F45" i="51"/>
  <c r="F44" i="51" s="1"/>
  <c r="H45" i="51"/>
  <c r="H44" i="51" s="1"/>
  <c r="E45" i="51"/>
  <c r="E44" i="51" s="1"/>
  <c r="B45" i="51"/>
  <c r="B44" i="51" s="1"/>
  <c r="G47" i="51"/>
  <c r="C47" i="51"/>
  <c r="F47" i="51"/>
  <c r="D47" i="51"/>
  <c r="B47" i="51"/>
  <c r="H47" i="51"/>
  <c r="E47" i="51"/>
  <c r="A55" i="50"/>
  <c r="B55" i="50"/>
  <c r="E45" i="50"/>
  <c r="E44" i="50" s="1"/>
  <c r="A45" i="50"/>
  <c r="A44" i="50" s="1"/>
  <c r="G45" i="50"/>
  <c r="G44" i="50" s="1"/>
  <c r="B45" i="50"/>
  <c r="B44" i="50" s="1"/>
  <c r="F45" i="50"/>
  <c r="F44" i="50" s="1"/>
  <c r="D45" i="50"/>
  <c r="D44" i="50" s="1"/>
  <c r="C45" i="50"/>
  <c r="C44" i="50" s="1"/>
  <c r="E51" i="50"/>
  <c r="A51" i="50"/>
  <c r="D51" i="50"/>
  <c r="C51" i="50"/>
  <c r="G51" i="50"/>
  <c r="B51" i="50"/>
  <c r="F51" i="50"/>
  <c r="E49" i="50"/>
  <c r="A49" i="50"/>
  <c r="G49" i="50"/>
  <c r="B49" i="50"/>
  <c r="F49" i="50"/>
  <c r="D49" i="50"/>
  <c r="C49" i="50"/>
  <c r="A69" i="50" a="1"/>
  <c r="A65" i="50" a="1"/>
  <c r="A61" i="50" a="1"/>
  <c r="B71" i="50"/>
  <c r="A71" i="50"/>
  <c r="A67" i="50" a="1"/>
  <c r="A63" i="50" a="1"/>
  <c r="A59" i="50" a="1"/>
  <c r="E47" i="50"/>
  <c r="A47" i="50"/>
  <c r="D47" i="50"/>
  <c r="C47" i="50"/>
  <c r="G47" i="50"/>
  <c r="B47" i="50"/>
  <c r="F47" i="50"/>
  <c r="E53" i="50"/>
  <c r="A53" i="50"/>
  <c r="G53" i="50"/>
  <c r="B53" i="50"/>
  <c r="F53" i="50"/>
  <c r="D53" i="50"/>
  <c r="C53" i="50"/>
  <c r="F47" i="49"/>
  <c r="B47" i="49"/>
  <c r="E47" i="49"/>
  <c r="A47" i="49"/>
  <c r="D47" i="49"/>
  <c r="G47" i="49"/>
  <c r="C47" i="49"/>
  <c r="F49" i="49"/>
  <c r="B49" i="49"/>
  <c r="E49" i="49"/>
  <c r="A49" i="49"/>
  <c r="D49" i="49"/>
  <c r="C49" i="49"/>
  <c r="G49" i="49"/>
  <c r="F45" i="49"/>
  <c r="F44" i="49" s="1"/>
  <c r="B45" i="49"/>
  <c r="B44" i="49" s="1"/>
  <c r="E45" i="49"/>
  <c r="E44" i="49" s="1"/>
  <c r="A45" i="49"/>
  <c r="A44" i="49" s="1"/>
  <c r="D45" i="49"/>
  <c r="D44" i="49" s="1"/>
  <c r="G45" i="49"/>
  <c r="G44" i="49" s="1"/>
  <c r="C45" i="49"/>
  <c r="C44" i="49" s="1"/>
  <c r="E53" i="49"/>
  <c r="A53" i="49"/>
  <c r="C53" i="49"/>
  <c r="G53" i="49"/>
  <c r="B53" i="49"/>
  <c r="F53" i="49"/>
  <c r="D53" i="49"/>
  <c r="A69" i="49" a="1"/>
  <c r="A65" i="49" a="1"/>
  <c r="A61" i="49" a="1"/>
  <c r="B71" i="49"/>
  <c r="A71" i="49"/>
  <c r="A59" i="49" a="1"/>
  <c r="A63" i="49" a="1"/>
  <c r="A67" i="49" a="1"/>
  <c r="F51" i="49"/>
  <c r="B51" i="49"/>
  <c r="E51" i="49"/>
  <c r="A51" i="49"/>
  <c r="D51" i="49"/>
  <c r="G51" i="49"/>
  <c r="C51" i="49"/>
  <c r="A55" i="49"/>
  <c r="B55" i="49"/>
  <c r="G53" i="48"/>
  <c r="C53" i="48"/>
  <c r="E53" i="48"/>
  <c r="D53" i="48"/>
  <c r="F53" i="48"/>
  <c r="H53" i="48"/>
  <c r="B53" i="48"/>
  <c r="F45" i="48"/>
  <c r="F44" i="48" s="1"/>
  <c r="B45" i="48"/>
  <c r="B44" i="48" s="1"/>
  <c r="E45" i="48"/>
  <c r="E44" i="48" s="1"/>
  <c r="G45" i="48"/>
  <c r="G44" i="48" s="1"/>
  <c r="C45" i="48"/>
  <c r="C44" i="48" s="1"/>
  <c r="H45" i="48"/>
  <c r="H44" i="48" s="1"/>
  <c r="D45" i="48"/>
  <c r="D44" i="48" s="1"/>
  <c r="G47" i="48"/>
  <c r="C47" i="48"/>
  <c r="H47" i="48"/>
  <c r="B47" i="48"/>
  <c r="F47" i="48"/>
  <c r="D47" i="48"/>
  <c r="E47" i="48"/>
  <c r="B71" i="48"/>
  <c r="B67" i="48" a="1"/>
  <c r="B63" i="48" a="1"/>
  <c r="B59" i="48" a="1"/>
  <c r="B65" i="48" a="1"/>
  <c r="C71" i="48"/>
  <c r="B69" i="48" a="1"/>
  <c r="B61" i="48" a="1"/>
  <c r="G51" i="48"/>
  <c r="C51" i="48"/>
  <c r="H51" i="48"/>
  <c r="B51" i="48"/>
  <c r="F51" i="48"/>
  <c r="D51" i="48"/>
  <c r="E51" i="48"/>
  <c r="G49" i="48"/>
  <c r="C49" i="48"/>
  <c r="E49" i="48"/>
  <c r="D49" i="48"/>
  <c r="F49" i="48"/>
  <c r="B49" i="48"/>
  <c r="H49" i="48"/>
  <c r="C55" i="48"/>
  <c r="B55" i="48"/>
  <c r="C49" i="47"/>
  <c r="H49" i="47"/>
  <c r="E49" i="47"/>
  <c r="B49" i="47"/>
  <c r="G49" i="47"/>
  <c r="F49" i="47"/>
  <c r="D49" i="47"/>
  <c r="C51" i="47"/>
  <c r="H51" i="47"/>
  <c r="G51" i="47"/>
  <c r="E51" i="47"/>
  <c r="D51" i="47"/>
  <c r="B51" i="47"/>
  <c r="F51" i="47"/>
  <c r="C53" i="47"/>
  <c r="H53" i="47"/>
  <c r="G53" i="47"/>
  <c r="F53" i="47"/>
  <c r="D53" i="47"/>
  <c r="E53" i="47"/>
  <c r="B53" i="47"/>
  <c r="C55" i="47"/>
  <c r="B55" i="47"/>
  <c r="C45" i="47"/>
  <c r="C44" i="47" s="1"/>
  <c r="H45" i="47"/>
  <c r="H44" i="47" s="1"/>
  <c r="G45" i="47"/>
  <c r="G44" i="47" s="1"/>
  <c r="F45" i="47"/>
  <c r="F44" i="47" s="1"/>
  <c r="E45" i="47"/>
  <c r="E44" i="47" s="1"/>
  <c r="D45" i="47"/>
  <c r="D44" i="47" s="1"/>
  <c r="B45" i="47"/>
  <c r="B44" i="47" s="1"/>
  <c r="B71" i="47"/>
  <c r="B67" i="47" a="1"/>
  <c r="B59" i="47" a="1"/>
  <c r="B69" i="47" a="1"/>
  <c r="B61" i="47" a="1"/>
  <c r="B63" i="47" a="1"/>
  <c r="B65" i="47" a="1"/>
  <c r="C71" i="47"/>
  <c r="C47" i="47"/>
  <c r="H47" i="47"/>
  <c r="B47" i="47"/>
  <c r="G47" i="47"/>
  <c r="F47" i="47"/>
  <c r="E47" i="47"/>
  <c r="D47" i="47"/>
  <c r="B47" i="46"/>
  <c r="H47" i="46"/>
  <c r="G47" i="46"/>
  <c r="E47" i="46"/>
  <c r="C47" i="46"/>
  <c r="F47" i="46"/>
  <c r="D47" i="46"/>
  <c r="B55" i="46"/>
  <c r="C55" i="46"/>
  <c r="B45" i="46"/>
  <c r="B44" i="46" s="1"/>
  <c r="H45" i="46"/>
  <c r="H44" i="46" s="1"/>
  <c r="G45" i="46"/>
  <c r="G44" i="46" s="1"/>
  <c r="F45" i="46"/>
  <c r="F44" i="46" s="1"/>
  <c r="E45" i="46"/>
  <c r="E44" i="46" s="1"/>
  <c r="D45" i="46"/>
  <c r="D44" i="46" s="1"/>
  <c r="C45" i="46"/>
  <c r="C44" i="46" s="1"/>
  <c r="B71" i="46"/>
  <c r="C71" i="46"/>
  <c r="B65" i="46" a="1"/>
  <c r="B61" i="46" a="1"/>
  <c r="B63" i="46" a="1"/>
  <c r="B69" i="46" a="1"/>
  <c r="B59" i="46" a="1"/>
  <c r="B67" i="46" a="1"/>
  <c r="B49" i="46"/>
  <c r="H49" i="46"/>
  <c r="G49" i="46"/>
  <c r="D49" i="46"/>
  <c r="C49" i="46"/>
  <c r="F49" i="46"/>
  <c r="E49" i="46"/>
  <c r="B53" i="46"/>
  <c r="H53" i="46"/>
  <c r="G53" i="46"/>
  <c r="F53" i="46"/>
  <c r="D53" i="46"/>
  <c r="E53" i="46"/>
  <c r="C53" i="46"/>
  <c r="B51" i="46"/>
  <c r="H51" i="46"/>
  <c r="G51" i="46"/>
  <c r="F51" i="46"/>
  <c r="E51" i="46"/>
  <c r="C51" i="46"/>
  <c r="D51" i="46"/>
  <c r="C47" i="45"/>
  <c r="G47" i="45"/>
  <c r="F47" i="45"/>
  <c r="D47" i="45"/>
  <c r="B47" i="45"/>
  <c r="E47" i="45"/>
  <c r="H47" i="45"/>
  <c r="C51" i="45"/>
  <c r="G51" i="45"/>
  <c r="F51" i="45"/>
  <c r="H51" i="45"/>
  <c r="E51" i="45"/>
  <c r="D51" i="45"/>
  <c r="B51" i="45"/>
  <c r="C55" i="45"/>
  <c r="B55" i="45"/>
  <c r="C49" i="45"/>
  <c r="G49" i="45"/>
  <c r="F49" i="45"/>
  <c r="H49" i="45"/>
  <c r="E49" i="45"/>
  <c r="B49" i="45"/>
  <c r="D49" i="45"/>
  <c r="C53" i="45"/>
  <c r="G53" i="45"/>
  <c r="F53" i="45"/>
  <c r="E53" i="45"/>
  <c r="D53" i="45"/>
  <c r="B53" i="45"/>
  <c r="H53" i="45"/>
  <c r="B71" i="45"/>
  <c r="B61" i="45" a="1"/>
  <c r="B69" i="45" a="1"/>
  <c r="B67" i="45" a="1"/>
  <c r="B63" i="45" a="1"/>
  <c r="B65" i="45" a="1"/>
  <c r="C71" i="45"/>
  <c r="B59" i="45" a="1"/>
  <c r="C45" i="45"/>
  <c r="C44" i="45" s="1"/>
  <c r="G45" i="45"/>
  <c r="G44" i="45" s="1"/>
  <c r="F45" i="45"/>
  <c r="F44" i="45" s="1"/>
  <c r="D45" i="45"/>
  <c r="D44" i="45" s="1"/>
  <c r="E45" i="45"/>
  <c r="E44" i="45" s="1"/>
  <c r="H45" i="45"/>
  <c r="H44" i="45" s="1"/>
  <c r="B45" i="45"/>
  <c r="B44" i="45" s="1"/>
  <c r="B71" i="43"/>
  <c r="B69" i="43" a="1"/>
  <c r="B67" i="43" a="1"/>
  <c r="B59" i="43" a="1"/>
  <c r="B65" i="43" a="1"/>
  <c r="C71" i="43"/>
  <c r="B61" i="43" a="1"/>
  <c r="B63" i="43" a="1"/>
  <c r="C47" i="43"/>
  <c r="B47" i="43"/>
  <c r="H47" i="43"/>
  <c r="G47" i="43"/>
  <c r="F47" i="43"/>
  <c r="E47" i="43"/>
  <c r="D47" i="43"/>
  <c r="C49" i="43"/>
  <c r="B49" i="43"/>
  <c r="H49" i="43"/>
  <c r="E49" i="43"/>
  <c r="G49" i="43"/>
  <c r="D49" i="43"/>
  <c r="F49" i="43"/>
  <c r="C53" i="43"/>
  <c r="B53" i="43"/>
  <c r="H53" i="43"/>
  <c r="G53" i="43"/>
  <c r="F53" i="43"/>
  <c r="E53" i="43"/>
  <c r="D53" i="43"/>
  <c r="C51" i="43"/>
  <c r="B51" i="43"/>
  <c r="H51" i="43"/>
  <c r="E51" i="43"/>
  <c r="D51" i="43"/>
  <c r="G51" i="43"/>
  <c r="F51" i="43"/>
  <c r="C45" i="43"/>
  <c r="C44" i="43" s="1"/>
  <c r="B45" i="43"/>
  <c r="B44" i="43" s="1"/>
  <c r="H45" i="43"/>
  <c r="H44" i="43" s="1"/>
  <c r="D45" i="43"/>
  <c r="D44" i="43" s="1"/>
  <c r="G45" i="43"/>
  <c r="G44" i="43" s="1"/>
  <c r="F45" i="43"/>
  <c r="F44" i="43" s="1"/>
  <c r="E45" i="43"/>
  <c r="E44" i="43" s="1"/>
  <c r="C55" i="43"/>
  <c r="B55" i="43"/>
  <c r="G53" i="42"/>
  <c r="F53" i="42"/>
  <c r="D53" i="42"/>
  <c r="H53" i="42"/>
  <c r="E53" i="42"/>
  <c r="C53" i="42"/>
  <c r="B53" i="42"/>
  <c r="G49" i="42"/>
  <c r="F49" i="42"/>
  <c r="D49" i="42"/>
  <c r="H49" i="42"/>
  <c r="E49" i="42"/>
  <c r="C49" i="42"/>
  <c r="B49" i="42"/>
  <c r="G47" i="42"/>
  <c r="F47" i="42"/>
  <c r="D47" i="42"/>
  <c r="H47" i="42"/>
  <c r="E47" i="42"/>
  <c r="C47" i="42"/>
  <c r="B47" i="42"/>
  <c r="G51" i="42"/>
  <c r="F51" i="42"/>
  <c r="D51" i="42"/>
  <c r="C51" i="42"/>
  <c r="B51" i="42"/>
  <c r="E51" i="42"/>
  <c r="H51" i="42"/>
  <c r="G45" i="42"/>
  <c r="G44" i="42" s="1"/>
  <c r="F45" i="42"/>
  <c r="F44" i="42" s="1"/>
  <c r="D45" i="42"/>
  <c r="D44" i="42" s="1"/>
  <c r="B45" i="42"/>
  <c r="B44" i="42" s="1"/>
  <c r="E45" i="42"/>
  <c r="E44" i="42" s="1"/>
  <c r="H45" i="42"/>
  <c r="H44" i="42" s="1"/>
  <c r="C45" i="42"/>
  <c r="C44" i="42" s="1"/>
  <c r="B59" i="42" a="1"/>
  <c r="B65" i="42" a="1"/>
  <c r="B67" i="42" a="1"/>
  <c r="B61" i="42" a="1"/>
  <c r="B71" i="42"/>
  <c r="B69" i="42" a="1"/>
  <c r="B63" i="42" a="1"/>
  <c r="C71" i="42"/>
  <c r="B55" i="42"/>
  <c r="C55" i="42"/>
  <c r="C71" i="41"/>
  <c r="B69" i="41" a="1"/>
  <c r="B67" i="41" a="1"/>
  <c r="B65" i="41" a="1"/>
  <c r="B63" i="41" a="1"/>
  <c r="B61" i="41" a="1"/>
  <c r="B59" i="41" a="1"/>
  <c r="B71" i="41"/>
  <c r="G51" i="41"/>
  <c r="C51" i="41"/>
  <c r="F51" i="41"/>
  <c r="B51" i="41"/>
  <c r="E51" i="41"/>
  <c r="H51" i="41"/>
  <c r="D51" i="41"/>
  <c r="G49" i="41"/>
  <c r="C49" i="41"/>
  <c r="F49" i="41"/>
  <c r="B49" i="41"/>
  <c r="E49" i="41"/>
  <c r="H49" i="41"/>
  <c r="D49" i="41"/>
  <c r="G45" i="41"/>
  <c r="G44" i="41" s="1"/>
  <c r="C45" i="41"/>
  <c r="C44" i="41" s="1"/>
  <c r="F45" i="41"/>
  <c r="F44" i="41" s="1"/>
  <c r="B45" i="41"/>
  <c r="B44" i="41" s="1"/>
  <c r="E45" i="41"/>
  <c r="E44" i="41" s="1"/>
  <c r="H45" i="41"/>
  <c r="H44" i="41" s="1"/>
  <c r="D45" i="41"/>
  <c r="D44" i="41" s="1"/>
  <c r="G53" i="41"/>
  <c r="C53" i="41"/>
  <c r="F53" i="41"/>
  <c r="B53" i="41"/>
  <c r="E53" i="41"/>
  <c r="H53" i="41"/>
  <c r="D53" i="41"/>
  <c r="G47" i="41"/>
  <c r="C47" i="41"/>
  <c r="F47" i="41"/>
  <c r="B47" i="41"/>
  <c r="E47" i="41"/>
  <c r="H47" i="41"/>
  <c r="D47" i="41"/>
  <c r="C55" i="41"/>
  <c r="B55" i="41"/>
  <c r="B71" i="40"/>
  <c r="C71" i="40"/>
  <c r="B69" i="40" a="1"/>
  <c r="B67" i="40" a="1"/>
  <c r="B65" i="40" a="1"/>
  <c r="B63" i="40" a="1"/>
  <c r="B61" i="40" a="1"/>
  <c r="B59" i="40" a="1"/>
  <c r="G45" i="40"/>
  <c r="G44" i="40" s="1"/>
  <c r="C45" i="40"/>
  <c r="C44" i="40" s="1"/>
  <c r="F45" i="40"/>
  <c r="F44" i="40" s="1"/>
  <c r="B45" i="40"/>
  <c r="B44" i="40" s="1"/>
  <c r="E45" i="40"/>
  <c r="E44" i="40" s="1"/>
  <c r="H45" i="40"/>
  <c r="H44" i="40" s="1"/>
  <c r="D45" i="40"/>
  <c r="D44" i="40" s="1"/>
  <c r="C55" i="40"/>
  <c r="B55" i="40"/>
  <c r="G49" i="40"/>
  <c r="C49" i="40"/>
  <c r="F49" i="40"/>
  <c r="B49" i="40"/>
  <c r="E49" i="40"/>
  <c r="H49" i="40"/>
  <c r="D49" i="40"/>
  <c r="G53" i="40"/>
  <c r="C53" i="40"/>
  <c r="F53" i="40"/>
  <c r="B53" i="40"/>
  <c r="E53" i="40"/>
  <c r="H53" i="40"/>
  <c r="D53" i="40"/>
  <c r="G51" i="40"/>
  <c r="C51" i="40"/>
  <c r="F51" i="40"/>
  <c r="B51" i="40"/>
  <c r="E51" i="40"/>
  <c r="D51" i="40"/>
  <c r="H51" i="40"/>
  <c r="G47" i="40"/>
  <c r="C47" i="40"/>
  <c r="F47" i="40"/>
  <c r="B47" i="40"/>
  <c r="E47" i="40"/>
  <c r="D47" i="40"/>
  <c r="H47" i="40"/>
  <c r="F47" i="39"/>
  <c r="B47" i="39"/>
  <c r="D47" i="39"/>
  <c r="H47" i="39"/>
  <c r="C47" i="39"/>
  <c r="G47" i="39"/>
  <c r="E47" i="39"/>
  <c r="F49" i="39"/>
  <c r="B49" i="39"/>
  <c r="G49" i="39"/>
  <c r="E49" i="39"/>
  <c r="D49" i="39"/>
  <c r="H49" i="39"/>
  <c r="C49" i="39"/>
  <c r="F51" i="39"/>
  <c r="B51" i="39"/>
  <c r="D51" i="39"/>
  <c r="H51" i="39"/>
  <c r="C51" i="39"/>
  <c r="G51" i="39"/>
  <c r="E51" i="39"/>
  <c r="F53" i="39"/>
  <c r="B53" i="39"/>
  <c r="G53" i="39"/>
  <c r="E53" i="39"/>
  <c r="D53" i="39"/>
  <c r="H53" i="39"/>
  <c r="C53" i="39"/>
  <c r="B55" i="39"/>
  <c r="C55" i="39"/>
  <c r="B71" i="39"/>
  <c r="C71" i="39"/>
  <c r="B67" i="39" a="1"/>
  <c r="B63" i="39" a="1"/>
  <c r="B59" i="39" a="1"/>
  <c r="B69" i="39" a="1"/>
  <c r="B65" i="39" a="1"/>
  <c r="B61" i="39" a="1"/>
  <c r="F45" i="39"/>
  <c r="F44" i="39" s="1"/>
  <c r="B45" i="39"/>
  <c r="B44" i="39" s="1"/>
  <c r="G45" i="39"/>
  <c r="G44" i="39" s="1"/>
  <c r="E45" i="39"/>
  <c r="E44" i="39" s="1"/>
  <c r="D45" i="39"/>
  <c r="D44" i="39" s="1"/>
  <c r="H45" i="39"/>
  <c r="H44" i="39" s="1"/>
  <c r="C45" i="39"/>
  <c r="C44" i="39" s="1"/>
  <c r="H51" i="38"/>
  <c r="D51" i="38"/>
  <c r="G51" i="38"/>
  <c r="B51" i="38"/>
  <c r="F51" i="38"/>
  <c r="E51" i="38"/>
  <c r="C51" i="38"/>
  <c r="B55" i="38"/>
  <c r="C55" i="38"/>
  <c r="H49" i="38"/>
  <c r="D49" i="38"/>
  <c r="E49" i="38"/>
  <c r="F49" i="38"/>
  <c r="C49" i="38"/>
  <c r="G49" i="38"/>
  <c r="B49" i="38"/>
  <c r="H53" i="38"/>
  <c r="D53" i="38"/>
  <c r="E53" i="38"/>
  <c r="F53" i="38"/>
  <c r="C53" i="38"/>
  <c r="G53" i="38"/>
  <c r="B53" i="38"/>
  <c r="H45" i="38"/>
  <c r="H44" i="38" s="1"/>
  <c r="D45" i="38"/>
  <c r="D44" i="38" s="1"/>
  <c r="E45" i="38"/>
  <c r="E44" i="38" s="1"/>
  <c r="F45" i="38"/>
  <c r="F44" i="38" s="1"/>
  <c r="C45" i="38"/>
  <c r="C44" i="38" s="1"/>
  <c r="G45" i="38"/>
  <c r="G44" i="38" s="1"/>
  <c r="B45" i="38"/>
  <c r="B44" i="38" s="1"/>
  <c r="B71" i="38"/>
  <c r="B67" i="38" a="1"/>
  <c r="B63" i="38" a="1"/>
  <c r="B59" i="38" a="1"/>
  <c r="B69" i="38" a="1"/>
  <c r="B65" i="38" a="1"/>
  <c r="B61" i="38" a="1"/>
  <c r="C71" i="38"/>
  <c r="H47" i="38"/>
  <c r="D47" i="38"/>
  <c r="G47" i="38"/>
  <c r="B47" i="38"/>
  <c r="C47" i="38"/>
  <c r="F47" i="38"/>
  <c r="E47" i="38"/>
  <c r="B69" i="37" a="1"/>
  <c r="B65" i="37" a="1"/>
  <c r="B61" i="37" a="1"/>
  <c r="B71" i="37"/>
  <c r="B59" i="37" a="1"/>
  <c r="C71" i="37"/>
  <c r="B67" i="37" a="1"/>
  <c r="B63" i="37" a="1"/>
  <c r="F47" i="37"/>
  <c r="B47" i="37"/>
  <c r="G47" i="37"/>
  <c r="E47" i="37"/>
  <c r="H47" i="37"/>
  <c r="D47" i="37"/>
  <c r="C47" i="37"/>
  <c r="F53" i="37"/>
  <c r="B53" i="37"/>
  <c r="D53" i="37"/>
  <c r="H53" i="37"/>
  <c r="C53" i="37"/>
  <c r="G53" i="37"/>
  <c r="E53" i="37"/>
  <c r="F51" i="37"/>
  <c r="B51" i="37"/>
  <c r="G51" i="37"/>
  <c r="E51" i="37"/>
  <c r="D51" i="37"/>
  <c r="H51" i="37"/>
  <c r="C51" i="37"/>
  <c r="B55" i="37"/>
  <c r="C55" i="37"/>
  <c r="F49" i="37"/>
  <c r="B49" i="37"/>
  <c r="D49" i="37"/>
  <c r="H49" i="37"/>
  <c r="C49" i="37"/>
  <c r="G49" i="37"/>
  <c r="E49" i="37"/>
  <c r="F45" i="37"/>
  <c r="F44" i="37" s="1"/>
  <c r="B45" i="37"/>
  <c r="B44" i="37" s="1"/>
  <c r="D45" i="37"/>
  <c r="D44" i="37" s="1"/>
  <c r="H45" i="37"/>
  <c r="H44" i="37" s="1"/>
  <c r="C45" i="37"/>
  <c r="C44" i="37" s="1"/>
  <c r="E45" i="37"/>
  <c r="E44" i="37" s="1"/>
  <c r="G45" i="37"/>
  <c r="G44" i="37" s="1"/>
  <c r="H47" i="36"/>
  <c r="D47" i="36"/>
  <c r="G47" i="36"/>
  <c r="C47" i="36"/>
  <c r="F47" i="36"/>
  <c r="E47" i="36"/>
  <c r="B47" i="36"/>
  <c r="C55" i="36"/>
  <c r="B55" i="36"/>
  <c r="H45" i="36"/>
  <c r="H44" i="36" s="1"/>
  <c r="D45" i="36"/>
  <c r="D44" i="36" s="1"/>
  <c r="G45" i="36"/>
  <c r="G44" i="36" s="1"/>
  <c r="C45" i="36"/>
  <c r="C44" i="36" s="1"/>
  <c r="F45" i="36"/>
  <c r="F44" i="36" s="1"/>
  <c r="E45" i="36"/>
  <c r="E44" i="36" s="1"/>
  <c r="B45" i="36"/>
  <c r="B44" i="36" s="1"/>
  <c r="H49" i="36"/>
  <c r="D49" i="36"/>
  <c r="G49" i="36"/>
  <c r="C49" i="36"/>
  <c r="F49" i="36"/>
  <c r="E49" i="36"/>
  <c r="B49" i="36"/>
  <c r="H53" i="36"/>
  <c r="D53" i="36"/>
  <c r="G53" i="36"/>
  <c r="C53" i="36"/>
  <c r="F53" i="36"/>
  <c r="E53" i="36"/>
  <c r="B53" i="36"/>
  <c r="B71" i="36"/>
  <c r="B69" i="36" a="1"/>
  <c r="B67" i="36" a="1"/>
  <c r="B65" i="36" a="1"/>
  <c r="B63" i="36" a="1"/>
  <c r="B61" i="36" a="1"/>
  <c r="B59" i="36" a="1"/>
  <c r="C71" i="36"/>
  <c r="H51" i="36"/>
  <c r="D51" i="36"/>
  <c r="G51" i="36"/>
  <c r="C51" i="36"/>
  <c r="F51" i="36"/>
  <c r="E51" i="36"/>
  <c r="B51" i="36"/>
  <c r="C55" i="35"/>
  <c r="B55" i="35"/>
  <c r="H47" i="35"/>
  <c r="D47" i="35"/>
  <c r="G47" i="35"/>
  <c r="C47" i="35"/>
  <c r="B47" i="35"/>
  <c r="F47" i="35"/>
  <c r="E47" i="35"/>
  <c r="B71" i="35"/>
  <c r="C71" i="35"/>
  <c r="B69" i="35" a="1"/>
  <c r="B67" i="35" a="1"/>
  <c r="B65" i="35" a="1"/>
  <c r="B63" i="35" a="1"/>
  <c r="B61" i="35" a="1"/>
  <c r="B59" i="35" a="1"/>
  <c r="H49" i="35"/>
  <c r="D49" i="35"/>
  <c r="G49" i="35"/>
  <c r="C49" i="35"/>
  <c r="B49" i="35"/>
  <c r="F49" i="35"/>
  <c r="E49" i="35"/>
  <c r="H53" i="35"/>
  <c r="D53" i="35"/>
  <c r="G53" i="35"/>
  <c r="C53" i="35"/>
  <c r="B53" i="35"/>
  <c r="F53" i="35"/>
  <c r="E53" i="35"/>
  <c r="H51" i="35"/>
  <c r="D51" i="35"/>
  <c r="G51" i="35"/>
  <c r="C51" i="35"/>
  <c r="B51" i="35"/>
  <c r="F51" i="35"/>
  <c r="E51" i="35"/>
  <c r="H45" i="35"/>
  <c r="H44" i="35" s="1"/>
  <c r="D45" i="35"/>
  <c r="D44" i="35" s="1"/>
  <c r="G45" i="35"/>
  <c r="G44" i="35" s="1"/>
  <c r="C45" i="35"/>
  <c r="C44" i="35" s="1"/>
  <c r="B45" i="35"/>
  <c r="B44" i="35" s="1"/>
  <c r="F45" i="35"/>
  <c r="F44" i="35" s="1"/>
  <c r="E45" i="35"/>
  <c r="E44" i="35" s="1"/>
  <c r="C55" i="34"/>
  <c r="B55" i="34"/>
  <c r="G49" i="34"/>
  <c r="C49" i="34"/>
  <c r="F49" i="34"/>
  <c r="B49" i="34"/>
  <c r="E49" i="34"/>
  <c r="H49" i="34"/>
  <c r="D49" i="34"/>
  <c r="G47" i="34"/>
  <c r="C47" i="34"/>
  <c r="F47" i="34"/>
  <c r="B47" i="34"/>
  <c r="E47" i="34"/>
  <c r="D47" i="34"/>
  <c r="H47" i="34"/>
  <c r="G51" i="34"/>
  <c r="C51" i="34"/>
  <c r="F51" i="34"/>
  <c r="B51" i="34"/>
  <c r="E51" i="34"/>
  <c r="D51" i="34"/>
  <c r="H51" i="34"/>
  <c r="C71" i="34"/>
  <c r="B69" i="34" a="1"/>
  <c r="B67" i="34" a="1"/>
  <c r="B65" i="34" a="1"/>
  <c r="B63" i="34" a="1"/>
  <c r="B61" i="34" a="1"/>
  <c r="B59" i="34" a="1"/>
  <c r="B71" i="34"/>
  <c r="G45" i="34"/>
  <c r="G44" i="34" s="1"/>
  <c r="C45" i="34"/>
  <c r="C44" i="34" s="1"/>
  <c r="F45" i="34"/>
  <c r="F44" i="34" s="1"/>
  <c r="B45" i="34"/>
  <c r="B44" i="34" s="1"/>
  <c r="E45" i="34"/>
  <c r="E44" i="34" s="1"/>
  <c r="H45" i="34"/>
  <c r="H44" i="34" s="1"/>
  <c r="D45" i="34"/>
  <c r="D44" i="34" s="1"/>
  <c r="G53" i="34"/>
  <c r="C53" i="34"/>
  <c r="F53" i="34"/>
  <c r="B53" i="34"/>
  <c r="E53" i="34"/>
  <c r="H53" i="34"/>
  <c r="D53" i="34"/>
  <c r="G51" i="33"/>
  <c r="C51" i="33"/>
  <c r="F51" i="33"/>
  <c r="B51" i="33"/>
  <c r="E51" i="33"/>
  <c r="H51" i="33"/>
  <c r="D51" i="33"/>
  <c r="C71" i="33"/>
  <c r="B69" i="33" a="1"/>
  <c r="B67" i="33" a="1"/>
  <c r="B65" i="33" a="1"/>
  <c r="B63" i="33" a="1"/>
  <c r="B61" i="33" a="1"/>
  <c r="B59" i="33" a="1"/>
  <c r="B71" i="33"/>
  <c r="G49" i="33"/>
  <c r="C49" i="33"/>
  <c r="F49" i="33"/>
  <c r="B49" i="33"/>
  <c r="E49" i="33"/>
  <c r="D49" i="33"/>
  <c r="H49" i="33"/>
  <c r="G45" i="33"/>
  <c r="G44" i="33" s="1"/>
  <c r="C45" i="33"/>
  <c r="C44" i="33" s="1"/>
  <c r="F45" i="33"/>
  <c r="F44" i="33" s="1"/>
  <c r="B45" i="33"/>
  <c r="B44" i="33" s="1"/>
  <c r="E45" i="33"/>
  <c r="E44" i="33" s="1"/>
  <c r="D45" i="33"/>
  <c r="D44" i="33" s="1"/>
  <c r="H45" i="33"/>
  <c r="H44" i="33" s="1"/>
  <c r="G53" i="33"/>
  <c r="C53" i="33"/>
  <c r="F53" i="33"/>
  <c r="B53" i="33"/>
  <c r="E53" i="33"/>
  <c r="D53" i="33"/>
  <c r="H53" i="33"/>
  <c r="G47" i="33"/>
  <c r="C47" i="33"/>
  <c r="F47" i="33"/>
  <c r="B47" i="33"/>
  <c r="E47" i="33"/>
  <c r="H47" i="33"/>
  <c r="D47" i="33"/>
  <c r="C55" i="33"/>
  <c r="B55" i="33"/>
  <c r="H47" i="32"/>
  <c r="D47" i="32"/>
  <c r="G47" i="32"/>
  <c r="C47" i="32"/>
  <c r="F47" i="32"/>
  <c r="B47" i="32"/>
  <c r="E47" i="32"/>
  <c r="B71" i="32"/>
  <c r="B65" i="32" a="1"/>
  <c r="B59" i="32" a="1"/>
  <c r="B67" i="32" a="1"/>
  <c r="B61" i="32" a="1"/>
  <c r="C71" i="32"/>
  <c r="B69" i="32" a="1"/>
  <c r="B63" i="32" a="1"/>
  <c r="H49" i="32"/>
  <c r="D49" i="32"/>
  <c r="G49" i="32"/>
  <c r="C49" i="32"/>
  <c r="F49" i="32"/>
  <c r="B49" i="32"/>
  <c r="E49" i="32"/>
  <c r="C55" i="32"/>
  <c r="B55" i="32"/>
  <c r="H51" i="32"/>
  <c r="D51" i="32"/>
  <c r="G51" i="32"/>
  <c r="C51" i="32"/>
  <c r="F51" i="32"/>
  <c r="B51" i="32"/>
  <c r="E51" i="32"/>
  <c r="H45" i="32"/>
  <c r="H44" i="32" s="1"/>
  <c r="D45" i="32"/>
  <c r="D44" i="32" s="1"/>
  <c r="G45" i="32"/>
  <c r="G44" i="32" s="1"/>
  <c r="C45" i="32"/>
  <c r="C44" i="32" s="1"/>
  <c r="F45" i="32"/>
  <c r="F44" i="32" s="1"/>
  <c r="E45" i="32"/>
  <c r="E44" i="32" s="1"/>
  <c r="B45" i="32"/>
  <c r="B44" i="32" s="1"/>
  <c r="H53" i="32"/>
  <c r="D53" i="32"/>
  <c r="G53" i="32"/>
  <c r="C53" i="32"/>
  <c r="F53" i="32"/>
  <c r="B53" i="32"/>
  <c r="E53" i="32"/>
  <c r="G47" i="31"/>
  <c r="C47" i="31"/>
  <c r="H47" i="31"/>
  <c r="B47" i="31"/>
  <c r="E47" i="31"/>
  <c r="D47" i="31"/>
  <c r="F47" i="31"/>
  <c r="G49" i="31"/>
  <c r="C49" i="31"/>
  <c r="E49" i="31"/>
  <c r="H49" i="31"/>
  <c r="B49" i="31"/>
  <c r="F49" i="31"/>
  <c r="D49" i="31"/>
  <c r="C55" i="31"/>
  <c r="B55" i="31"/>
  <c r="G53" i="31"/>
  <c r="C53" i="31"/>
  <c r="E53" i="31"/>
  <c r="H53" i="31"/>
  <c r="B53" i="31"/>
  <c r="F53" i="31"/>
  <c r="D53" i="31"/>
  <c r="B71" i="31"/>
  <c r="B67" i="31" a="1"/>
  <c r="B63" i="31" a="1"/>
  <c r="B59" i="31" a="1"/>
  <c r="B69" i="31" a="1"/>
  <c r="B65" i="31" a="1"/>
  <c r="B61" i="31" a="1"/>
  <c r="C71" i="31"/>
  <c r="G51" i="31"/>
  <c r="C51" i="31"/>
  <c r="H51" i="31"/>
  <c r="B51" i="31"/>
  <c r="E51" i="31"/>
  <c r="D51" i="31"/>
  <c r="F51" i="31"/>
  <c r="G45" i="31"/>
  <c r="G44" i="31" s="1"/>
  <c r="C45" i="31"/>
  <c r="C44" i="31" s="1"/>
  <c r="E45" i="31"/>
  <c r="E44" i="31" s="1"/>
  <c r="H45" i="31"/>
  <c r="H44" i="31" s="1"/>
  <c r="B45" i="31"/>
  <c r="B44" i="31" s="1"/>
  <c r="F45" i="31"/>
  <c r="F44" i="31" s="1"/>
  <c r="D45" i="31"/>
  <c r="D44" i="31" s="1"/>
  <c r="C55" i="30"/>
  <c r="B55" i="30"/>
  <c r="G49" i="30"/>
  <c r="C49" i="30"/>
  <c r="E49" i="30"/>
  <c r="H49" i="30"/>
  <c r="F49" i="30"/>
  <c r="D49" i="30"/>
  <c r="B49" i="30"/>
  <c r="G47" i="30"/>
  <c r="C47" i="30"/>
  <c r="E47" i="30"/>
  <c r="H47" i="30"/>
  <c r="F47" i="30"/>
  <c r="D47" i="30"/>
  <c r="B47" i="30"/>
  <c r="G51" i="30"/>
  <c r="C51" i="30"/>
  <c r="E51" i="30"/>
  <c r="H51" i="30"/>
  <c r="F51" i="30"/>
  <c r="D51" i="30"/>
  <c r="B51" i="30"/>
  <c r="C71" i="30"/>
  <c r="B69" i="30" a="1"/>
  <c r="B67" i="30" a="1"/>
  <c r="B65" i="30" a="1"/>
  <c r="B63" i="30" a="1"/>
  <c r="B61" i="30" a="1"/>
  <c r="B59" i="30" a="1"/>
  <c r="B71" i="30"/>
  <c r="G45" i="30"/>
  <c r="G44" i="30" s="1"/>
  <c r="C45" i="30"/>
  <c r="C44" i="30" s="1"/>
  <c r="E45" i="30"/>
  <c r="E44" i="30" s="1"/>
  <c r="H45" i="30"/>
  <c r="H44" i="30" s="1"/>
  <c r="F45" i="30"/>
  <c r="F44" i="30" s="1"/>
  <c r="D45" i="30"/>
  <c r="D44" i="30" s="1"/>
  <c r="B45" i="30"/>
  <c r="B44" i="30" s="1"/>
  <c r="G53" i="30"/>
  <c r="C53" i="30"/>
  <c r="E53" i="30"/>
  <c r="H53" i="30"/>
  <c r="F53" i="30"/>
  <c r="D53" i="30"/>
  <c r="B53" i="30"/>
  <c r="C55" i="29"/>
  <c r="B55" i="29"/>
  <c r="G49" i="29"/>
  <c r="C49" i="29"/>
  <c r="F49" i="29"/>
  <c r="B49" i="29"/>
  <c r="E49" i="29"/>
  <c r="H49" i="29"/>
  <c r="D49" i="29"/>
  <c r="C71" i="29"/>
  <c r="B69" i="29" a="1"/>
  <c r="B67" i="29" a="1"/>
  <c r="B65" i="29" a="1"/>
  <c r="B63" i="29" a="1"/>
  <c r="B61" i="29" a="1"/>
  <c r="B59" i="29" a="1"/>
  <c r="B71" i="29"/>
  <c r="G51" i="29"/>
  <c r="C51" i="29"/>
  <c r="F51" i="29"/>
  <c r="B51" i="29"/>
  <c r="E51" i="29"/>
  <c r="H51" i="29"/>
  <c r="D51" i="29"/>
  <c r="G47" i="29"/>
  <c r="C47" i="29"/>
  <c r="F47" i="29"/>
  <c r="B47" i="29"/>
  <c r="E47" i="29"/>
  <c r="H47" i="29"/>
  <c r="D47" i="29"/>
  <c r="G45" i="29"/>
  <c r="G44" i="29" s="1"/>
  <c r="C45" i="29"/>
  <c r="C44" i="29" s="1"/>
  <c r="F45" i="29"/>
  <c r="F44" i="29" s="1"/>
  <c r="B45" i="29"/>
  <c r="B44" i="29" s="1"/>
  <c r="E45" i="29"/>
  <c r="E44" i="29" s="1"/>
  <c r="H45" i="29"/>
  <c r="H44" i="29" s="1"/>
  <c r="D45" i="29"/>
  <c r="D44" i="29" s="1"/>
  <c r="G53" i="29"/>
  <c r="C53" i="29"/>
  <c r="F53" i="29"/>
  <c r="B53" i="29"/>
  <c r="E53" i="29"/>
  <c r="H53" i="29"/>
  <c r="D53" i="29"/>
  <c r="H45" i="28"/>
  <c r="H44" i="28" s="1"/>
  <c r="D45" i="28"/>
  <c r="D44" i="28" s="1"/>
  <c r="F45" i="28"/>
  <c r="F44" i="28" s="1"/>
  <c r="E45" i="28"/>
  <c r="E44" i="28" s="1"/>
  <c r="C45" i="28"/>
  <c r="C44" i="28" s="1"/>
  <c r="G45" i="28"/>
  <c r="G44" i="28" s="1"/>
  <c r="B45" i="28"/>
  <c r="B44" i="28" s="1"/>
  <c r="H51" i="28"/>
  <c r="D51" i="28"/>
  <c r="C51" i="28"/>
  <c r="G51" i="28"/>
  <c r="B51" i="28"/>
  <c r="F51" i="28"/>
  <c r="E51" i="28"/>
  <c r="H49" i="28"/>
  <c r="D49" i="28"/>
  <c r="F49" i="28"/>
  <c r="E49" i="28"/>
  <c r="C49" i="28"/>
  <c r="B49" i="28"/>
  <c r="G49" i="28"/>
  <c r="C55" i="28"/>
  <c r="B55" i="28"/>
  <c r="B71" i="28"/>
  <c r="C71" i="28"/>
  <c r="B67" i="28" a="1"/>
  <c r="B63" i="28" a="1"/>
  <c r="B59" i="28" a="1"/>
  <c r="B65" i="28" a="1"/>
  <c r="B69" i="28" a="1"/>
  <c r="B61" i="28" a="1"/>
  <c r="H47" i="28"/>
  <c r="D47" i="28"/>
  <c r="C47" i="28"/>
  <c r="G47" i="28"/>
  <c r="B47" i="28"/>
  <c r="F47" i="28"/>
  <c r="E47" i="28"/>
  <c r="H53" i="28"/>
  <c r="D53" i="28"/>
  <c r="F53" i="28"/>
  <c r="E53" i="28"/>
  <c r="C53" i="28"/>
  <c r="G53" i="28"/>
  <c r="B53" i="28"/>
  <c r="H47" i="27"/>
  <c r="D47" i="27"/>
  <c r="G47" i="27"/>
  <c r="B47" i="27"/>
  <c r="E47" i="27"/>
  <c r="F47" i="27"/>
  <c r="C47" i="27"/>
  <c r="B71" i="27"/>
  <c r="B67" i="27" a="1"/>
  <c r="B63" i="27" a="1"/>
  <c r="B59" i="27" a="1"/>
  <c r="B65" i="27" a="1"/>
  <c r="B69" i="27" a="1"/>
  <c r="B61" i="27" a="1"/>
  <c r="C71" i="27"/>
  <c r="H49" i="27"/>
  <c r="D49" i="27"/>
  <c r="E49" i="27"/>
  <c r="G49" i="27"/>
  <c r="C49" i="27"/>
  <c r="F49" i="27"/>
  <c r="B49" i="27"/>
  <c r="H51" i="27"/>
  <c r="D51" i="27"/>
  <c r="G51" i="27"/>
  <c r="B51" i="27"/>
  <c r="E51" i="27"/>
  <c r="F51" i="27"/>
  <c r="C51" i="27"/>
  <c r="H45" i="27"/>
  <c r="H44" i="27" s="1"/>
  <c r="D45" i="27"/>
  <c r="D44" i="27" s="1"/>
  <c r="E45" i="27"/>
  <c r="E44" i="27" s="1"/>
  <c r="C45" i="27"/>
  <c r="C44" i="27" s="1"/>
  <c r="B45" i="27"/>
  <c r="B44" i="27" s="1"/>
  <c r="G45" i="27"/>
  <c r="G44" i="27" s="1"/>
  <c r="F45" i="27"/>
  <c r="F44" i="27" s="1"/>
  <c r="H53" i="27"/>
  <c r="D53" i="27"/>
  <c r="E53" i="27"/>
  <c r="G53" i="27"/>
  <c r="B53" i="27"/>
  <c r="C53" i="27"/>
  <c r="F53" i="27"/>
  <c r="B55" i="27"/>
  <c r="C55" i="27"/>
  <c r="F45" i="26"/>
  <c r="F44" i="26" s="1"/>
  <c r="B45" i="26"/>
  <c r="B44" i="26" s="1"/>
  <c r="H45" i="26"/>
  <c r="H44" i="26" s="1"/>
  <c r="D45" i="26"/>
  <c r="D44" i="26" s="1"/>
  <c r="E45" i="26"/>
  <c r="E44" i="26" s="1"/>
  <c r="C45" i="26"/>
  <c r="C44" i="26" s="1"/>
  <c r="G45" i="26"/>
  <c r="G44" i="26" s="1"/>
  <c r="F53" i="26"/>
  <c r="B53" i="26"/>
  <c r="H53" i="26"/>
  <c r="D53" i="26"/>
  <c r="E53" i="26"/>
  <c r="C53" i="26"/>
  <c r="G53" i="26"/>
  <c r="F51" i="26"/>
  <c r="B51" i="26"/>
  <c r="H51" i="26"/>
  <c r="D51" i="26"/>
  <c r="E51" i="26"/>
  <c r="C51" i="26"/>
  <c r="G51" i="26"/>
  <c r="F47" i="26"/>
  <c r="B47" i="26"/>
  <c r="H47" i="26"/>
  <c r="D47" i="26"/>
  <c r="E47" i="26"/>
  <c r="C47" i="26"/>
  <c r="G47" i="26"/>
  <c r="B55" i="26"/>
  <c r="C55" i="26"/>
  <c r="B71" i="26"/>
  <c r="B69" i="26" a="1"/>
  <c r="B67" i="26" a="1"/>
  <c r="B65" i="26" a="1"/>
  <c r="B63" i="26" a="1"/>
  <c r="B61" i="26" a="1"/>
  <c r="B59" i="26" a="1"/>
  <c r="C71" i="26"/>
  <c r="F49" i="26"/>
  <c r="B49" i="26"/>
  <c r="H49" i="26"/>
  <c r="D49" i="26"/>
  <c r="E49" i="26"/>
  <c r="C49" i="26"/>
  <c r="G49" i="26"/>
  <c r="H53" i="25"/>
  <c r="D53" i="25"/>
  <c r="E53" i="25"/>
  <c r="C53" i="25"/>
  <c r="G53" i="25"/>
  <c r="B53" i="25"/>
  <c r="F53" i="25"/>
  <c r="B71" i="25"/>
  <c r="B67" i="25" a="1"/>
  <c r="B63" i="25" a="1"/>
  <c r="B59" i="25" a="1"/>
  <c r="B69" i="25" a="1"/>
  <c r="B65" i="25" a="1"/>
  <c r="B61" i="25" a="1"/>
  <c r="C71" i="25"/>
  <c r="H45" i="25"/>
  <c r="H44" i="25" s="1"/>
  <c r="D45" i="25"/>
  <c r="D44" i="25" s="1"/>
  <c r="E45" i="25"/>
  <c r="E44" i="25" s="1"/>
  <c r="C45" i="25"/>
  <c r="C44" i="25" s="1"/>
  <c r="G45" i="25"/>
  <c r="G44" i="25" s="1"/>
  <c r="B45" i="25"/>
  <c r="B44" i="25" s="1"/>
  <c r="F45" i="25"/>
  <c r="F44" i="25" s="1"/>
  <c r="H47" i="25"/>
  <c r="D47" i="25"/>
  <c r="G47" i="25"/>
  <c r="B47" i="25"/>
  <c r="F47" i="25"/>
  <c r="E47" i="25"/>
  <c r="C47" i="25"/>
  <c r="B55" i="25"/>
  <c r="C55" i="25"/>
  <c r="H49" i="25"/>
  <c r="D49" i="25"/>
  <c r="E49" i="25"/>
  <c r="C49" i="25"/>
  <c r="G49" i="25"/>
  <c r="B49" i="25"/>
  <c r="F49" i="25"/>
  <c r="H51" i="25"/>
  <c r="D51" i="25"/>
  <c r="G51" i="25"/>
  <c r="B51" i="25"/>
  <c r="F51" i="25"/>
  <c r="E51" i="25"/>
  <c r="C51" i="25"/>
  <c r="G45" i="24"/>
  <c r="G44" i="24" s="1"/>
  <c r="C45" i="24"/>
  <c r="C44" i="24" s="1"/>
  <c r="E45" i="24"/>
  <c r="E44" i="24" s="1"/>
  <c r="D45" i="24"/>
  <c r="D44" i="24" s="1"/>
  <c r="B45" i="24"/>
  <c r="B44" i="24" s="1"/>
  <c r="F45" i="24"/>
  <c r="F44" i="24" s="1"/>
  <c r="H45" i="24"/>
  <c r="H44" i="24" s="1"/>
  <c r="C71" i="24"/>
  <c r="B71" i="24"/>
  <c r="B67" i="24" a="1"/>
  <c r="B63" i="24" a="1"/>
  <c r="B59" i="24" a="1"/>
  <c r="B69" i="24" a="1"/>
  <c r="B61" i="24" a="1"/>
  <c r="B65" i="24" a="1"/>
  <c r="G53" i="24"/>
  <c r="C53" i="24"/>
  <c r="E53" i="24"/>
  <c r="D53" i="24"/>
  <c r="B53" i="24"/>
  <c r="F53" i="24"/>
  <c r="H53" i="24"/>
  <c r="C55" i="24"/>
  <c r="B55" i="24"/>
  <c r="G51" i="24"/>
  <c r="C51" i="24"/>
  <c r="H51" i="24"/>
  <c r="B51" i="24"/>
  <c r="F51" i="24"/>
  <c r="E51" i="24"/>
  <c r="D51" i="24"/>
  <c r="G49" i="24"/>
  <c r="C49" i="24"/>
  <c r="E49" i="24"/>
  <c r="D49" i="24"/>
  <c r="H49" i="24"/>
  <c r="B49" i="24"/>
  <c r="F49" i="24"/>
  <c r="G47" i="24"/>
  <c r="C47" i="24"/>
  <c r="H47" i="24"/>
  <c r="B47" i="24"/>
  <c r="F47" i="24"/>
  <c r="E47" i="24"/>
  <c r="D47" i="24"/>
  <c r="C55" i="23"/>
  <c r="B55" i="23"/>
  <c r="H45" i="23"/>
  <c r="H44" i="23" s="1"/>
  <c r="D45" i="23"/>
  <c r="D44" i="23" s="1"/>
  <c r="F45" i="23"/>
  <c r="F44" i="23" s="1"/>
  <c r="E45" i="23"/>
  <c r="E44" i="23" s="1"/>
  <c r="C45" i="23"/>
  <c r="C44" i="23" s="1"/>
  <c r="G45" i="23"/>
  <c r="G44" i="23" s="1"/>
  <c r="B45" i="23"/>
  <c r="B44" i="23" s="1"/>
  <c r="H47" i="23"/>
  <c r="D47" i="23"/>
  <c r="C47" i="23"/>
  <c r="G47" i="23"/>
  <c r="B47" i="23"/>
  <c r="F47" i="23"/>
  <c r="E47" i="23"/>
  <c r="H49" i="23"/>
  <c r="D49" i="23"/>
  <c r="F49" i="23"/>
  <c r="E49" i="23"/>
  <c r="C49" i="23"/>
  <c r="G49" i="23"/>
  <c r="B49" i="23"/>
  <c r="B71" i="23"/>
  <c r="C71" i="23"/>
  <c r="B67" i="23" a="1"/>
  <c r="B59" i="23" a="1"/>
  <c r="B69" i="23" a="1"/>
  <c r="B63" i="23" a="1"/>
  <c r="B61" i="23" a="1"/>
  <c r="B65" i="23" a="1"/>
  <c r="H51" i="23"/>
  <c r="D51" i="23"/>
  <c r="C51" i="23"/>
  <c r="G51" i="23"/>
  <c r="E51" i="23"/>
  <c r="B51" i="23"/>
  <c r="F51" i="23"/>
  <c r="H53" i="23"/>
  <c r="D53" i="23"/>
  <c r="F53" i="23"/>
  <c r="G53" i="23"/>
  <c r="B53" i="23"/>
  <c r="E53" i="23"/>
  <c r="C53" i="23"/>
  <c r="G49" i="22"/>
  <c r="C49" i="22"/>
  <c r="H49" i="22"/>
  <c r="B49" i="22"/>
  <c r="F49" i="22"/>
  <c r="E49" i="22"/>
  <c r="D49" i="22"/>
  <c r="G47" i="22"/>
  <c r="C47" i="22"/>
  <c r="E47" i="22"/>
  <c r="D47" i="22"/>
  <c r="B47" i="22"/>
  <c r="H47" i="22"/>
  <c r="F47" i="22"/>
  <c r="G53" i="22"/>
  <c r="C53" i="22"/>
  <c r="H53" i="22"/>
  <c r="B53" i="22"/>
  <c r="F53" i="22"/>
  <c r="E53" i="22"/>
  <c r="D53" i="22"/>
  <c r="G51" i="22"/>
  <c r="C51" i="22"/>
  <c r="E51" i="22"/>
  <c r="D51" i="22"/>
  <c r="H51" i="22"/>
  <c r="F51" i="22"/>
  <c r="B51" i="22"/>
  <c r="C55" i="22"/>
  <c r="B55" i="22"/>
  <c r="C71" i="22"/>
  <c r="B69" i="22" a="1"/>
  <c r="B65" i="22" a="1"/>
  <c r="B61" i="22" a="1"/>
  <c r="B67" i="22" a="1"/>
  <c r="B59" i="22" a="1"/>
  <c r="B71" i="22"/>
  <c r="B63" i="22" a="1"/>
  <c r="G45" i="22"/>
  <c r="G44" i="22" s="1"/>
  <c r="C45" i="22"/>
  <c r="C44" i="22" s="1"/>
  <c r="H45" i="22"/>
  <c r="H44" i="22" s="1"/>
  <c r="B45" i="22"/>
  <c r="B44" i="22" s="1"/>
  <c r="F45" i="22"/>
  <c r="F44" i="22" s="1"/>
  <c r="E45" i="22"/>
  <c r="E44" i="22" s="1"/>
  <c r="D45" i="22"/>
  <c r="D44" i="22" s="1"/>
  <c r="H51" i="21"/>
  <c r="D51" i="21"/>
  <c r="G51" i="21"/>
  <c r="C51" i="21"/>
  <c r="F51" i="21"/>
  <c r="E51" i="21"/>
  <c r="B51" i="21"/>
  <c r="H49" i="21"/>
  <c r="D49" i="21"/>
  <c r="G49" i="21"/>
  <c r="C49" i="21"/>
  <c r="F49" i="21"/>
  <c r="E49" i="21"/>
  <c r="B49" i="21"/>
  <c r="H45" i="21"/>
  <c r="H44" i="21" s="1"/>
  <c r="D45" i="21"/>
  <c r="D44" i="21" s="1"/>
  <c r="G45" i="21"/>
  <c r="G44" i="21" s="1"/>
  <c r="C45" i="21"/>
  <c r="C44" i="21" s="1"/>
  <c r="F45" i="21"/>
  <c r="F44" i="21" s="1"/>
  <c r="E45" i="21"/>
  <c r="E44" i="21" s="1"/>
  <c r="B45" i="21"/>
  <c r="B44" i="21" s="1"/>
  <c r="H53" i="21"/>
  <c r="D53" i="21"/>
  <c r="G53" i="21"/>
  <c r="C53" i="21"/>
  <c r="F53" i="21"/>
  <c r="E53" i="21"/>
  <c r="B53" i="21"/>
  <c r="B71" i="21"/>
  <c r="C71" i="21"/>
  <c r="B69" i="21" a="1"/>
  <c r="B67" i="21" a="1"/>
  <c r="B65" i="21" a="1"/>
  <c r="B63" i="21" a="1"/>
  <c r="B61" i="21" a="1"/>
  <c r="B59" i="21" a="1"/>
  <c r="H47" i="21"/>
  <c r="D47" i="21"/>
  <c r="G47" i="21"/>
  <c r="C47" i="21"/>
  <c r="F47" i="21"/>
  <c r="E47" i="21"/>
  <c r="B47" i="21"/>
  <c r="C55" i="21"/>
  <c r="B55" i="21"/>
  <c r="H45" i="20"/>
  <c r="H44" i="20" s="1"/>
  <c r="D45" i="20"/>
  <c r="D44" i="20" s="1"/>
  <c r="F45" i="20"/>
  <c r="F44" i="20" s="1"/>
  <c r="E45" i="20"/>
  <c r="E44" i="20" s="1"/>
  <c r="B45" i="20"/>
  <c r="B44" i="20" s="1"/>
  <c r="C45" i="20"/>
  <c r="C44" i="20" s="1"/>
  <c r="G45" i="20"/>
  <c r="G44" i="20" s="1"/>
  <c r="B71" i="20"/>
  <c r="C71" i="20"/>
  <c r="B67" i="20" a="1"/>
  <c r="B63" i="20" a="1"/>
  <c r="B59" i="20" a="1"/>
  <c r="B65" i="20" a="1"/>
  <c r="B69" i="20" a="1"/>
  <c r="B61" i="20" a="1"/>
  <c r="H47" i="20"/>
  <c r="D47" i="20"/>
  <c r="C47" i="20"/>
  <c r="G47" i="20"/>
  <c r="B47" i="20"/>
  <c r="E47" i="20"/>
  <c r="F47" i="20"/>
  <c r="H49" i="20"/>
  <c r="D49" i="20"/>
  <c r="F49" i="20"/>
  <c r="E49" i="20"/>
  <c r="G49" i="20"/>
  <c r="C49" i="20"/>
  <c r="B49" i="20"/>
  <c r="H51" i="20"/>
  <c r="D51" i="20"/>
  <c r="C51" i="20"/>
  <c r="G51" i="20"/>
  <c r="B51" i="20"/>
  <c r="F51" i="20"/>
  <c r="E51" i="20"/>
  <c r="C55" i="20"/>
  <c r="B55" i="20"/>
  <c r="H53" i="20"/>
  <c r="D53" i="20"/>
  <c r="F53" i="20"/>
  <c r="E53" i="20"/>
  <c r="B53" i="20"/>
  <c r="G53" i="20"/>
  <c r="C53" i="20"/>
  <c r="G49" i="19"/>
  <c r="C49" i="19"/>
  <c r="F49" i="19"/>
  <c r="B49" i="19"/>
  <c r="E49" i="19"/>
  <c r="H49" i="19"/>
  <c r="D49" i="19"/>
  <c r="G51" i="19"/>
  <c r="C51" i="19"/>
  <c r="F51" i="19"/>
  <c r="B51" i="19"/>
  <c r="E51" i="19"/>
  <c r="D51" i="19"/>
  <c r="H51" i="19"/>
  <c r="C71" i="19"/>
  <c r="B69" i="19" a="1"/>
  <c r="B67" i="19" a="1"/>
  <c r="B65" i="19" a="1"/>
  <c r="B63" i="19" a="1"/>
  <c r="B61" i="19" a="1"/>
  <c r="B59" i="19" a="1"/>
  <c r="B71" i="19"/>
  <c r="G45" i="19"/>
  <c r="G44" i="19" s="1"/>
  <c r="C45" i="19"/>
  <c r="C44" i="19" s="1"/>
  <c r="F45" i="19"/>
  <c r="F44" i="19" s="1"/>
  <c r="B45" i="19"/>
  <c r="B44" i="19" s="1"/>
  <c r="E45" i="19"/>
  <c r="E44" i="19" s="1"/>
  <c r="H45" i="19"/>
  <c r="H44" i="19" s="1"/>
  <c r="D45" i="19"/>
  <c r="D44" i="19" s="1"/>
  <c r="G53" i="19"/>
  <c r="C53" i="19"/>
  <c r="F53" i="19"/>
  <c r="B53" i="19"/>
  <c r="E53" i="19"/>
  <c r="H53" i="19"/>
  <c r="D53" i="19"/>
  <c r="G47" i="19"/>
  <c r="C47" i="19"/>
  <c r="F47" i="19"/>
  <c r="B47" i="19"/>
  <c r="E47" i="19"/>
  <c r="H47" i="19"/>
  <c r="D47" i="19"/>
  <c r="C55" i="19"/>
  <c r="B55" i="19"/>
  <c r="F47" i="18"/>
  <c r="B47" i="18"/>
  <c r="G47" i="18"/>
  <c r="E47" i="18"/>
  <c r="H47" i="18"/>
  <c r="C47" i="18"/>
  <c r="D47" i="18"/>
  <c r="F53" i="18"/>
  <c r="B53" i="18"/>
  <c r="D53" i="18"/>
  <c r="H53" i="18"/>
  <c r="C53" i="18"/>
  <c r="E53" i="18"/>
  <c r="G53" i="18"/>
  <c r="F51" i="18"/>
  <c r="B51" i="18"/>
  <c r="G51" i="18"/>
  <c r="E51" i="18"/>
  <c r="H51" i="18"/>
  <c r="C51" i="18"/>
  <c r="D51" i="18"/>
  <c r="F49" i="18"/>
  <c r="B49" i="18"/>
  <c r="D49" i="18"/>
  <c r="H49" i="18"/>
  <c r="C49" i="18"/>
  <c r="E49" i="18"/>
  <c r="G49" i="18"/>
  <c r="B55" i="18"/>
  <c r="C55" i="18"/>
  <c r="B69" i="18" a="1"/>
  <c r="B65" i="18" a="1"/>
  <c r="B61" i="18" a="1"/>
  <c r="B71" i="18"/>
  <c r="B67" i="18" a="1"/>
  <c r="B63" i="18" a="1"/>
  <c r="B59" i="18" a="1"/>
  <c r="C71" i="18"/>
  <c r="F45" i="18"/>
  <c r="F44" i="18" s="1"/>
  <c r="B45" i="18"/>
  <c r="B44" i="18" s="1"/>
  <c r="D45" i="18"/>
  <c r="D44" i="18" s="1"/>
  <c r="H45" i="18"/>
  <c r="H44" i="18" s="1"/>
  <c r="C45" i="18"/>
  <c r="C44" i="18" s="1"/>
  <c r="G45" i="18"/>
  <c r="G44" i="18" s="1"/>
  <c r="E45" i="18"/>
  <c r="E44" i="18" s="1"/>
  <c r="H47" i="17"/>
  <c r="D47" i="17"/>
  <c r="E47" i="17"/>
  <c r="C47" i="17"/>
  <c r="F47" i="17"/>
  <c r="G47" i="17"/>
  <c r="B47" i="17"/>
  <c r="C55" i="17"/>
  <c r="B55" i="17"/>
  <c r="H53" i="17"/>
  <c r="D53" i="17"/>
  <c r="G53" i="17"/>
  <c r="B53" i="17"/>
  <c r="F53" i="17"/>
  <c r="E53" i="17"/>
  <c r="C53" i="17"/>
  <c r="H45" i="17"/>
  <c r="H44" i="17" s="1"/>
  <c r="D45" i="17"/>
  <c r="D44" i="17" s="1"/>
  <c r="G45" i="17"/>
  <c r="G44" i="17" s="1"/>
  <c r="B45" i="17"/>
  <c r="B44" i="17" s="1"/>
  <c r="F45" i="17"/>
  <c r="F44" i="17" s="1"/>
  <c r="C45" i="17"/>
  <c r="C44" i="17" s="1"/>
  <c r="E45" i="17"/>
  <c r="E44" i="17" s="1"/>
  <c r="B71" i="17"/>
  <c r="B69" i="17" a="1"/>
  <c r="B65" i="17" a="1"/>
  <c r="B61" i="17" a="1"/>
  <c r="C71" i="17"/>
  <c r="B59" i="17" a="1"/>
  <c r="B63" i="17" a="1"/>
  <c r="B67" i="17" a="1"/>
  <c r="H51" i="17"/>
  <c r="D51" i="17"/>
  <c r="E51" i="17"/>
  <c r="C51" i="17"/>
  <c r="F51" i="17"/>
  <c r="B51" i="17"/>
  <c r="G51" i="17"/>
  <c r="H49" i="17"/>
  <c r="D49" i="17"/>
  <c r="G49" i="17"/>
  <c r="B49" i="17"/>
  <c r="F49" i="17"/>
  <c r="C49" i="17"/>
  <c r="E49" i="17"/>
  <c r="H51" i="16"/>
  <c r="D51" i="16"/>
  <c r="G51" i="16"/>
  <c r="C51" i="16"/>
  <c r="F51" i="16"/>
  <c r="E51" i="16"/>
  <c r="B51" i="16"/>
  <c r="B71" i="16"/>
  <c r="B69" i="16" a="1"/>
  <c r="B67" i="16" a="1"/>
  <c r="B65" i="16" a="1"/>
  <c r="B63" i="16" a="1"/>
  <c r="B61" i="16" a="1"/>
  <c r="B59" i="16" a="1"/>
  <c r="C71" i="16"/>
  <c r="H45" i="16"/>
  <c r="H44" i="16" s="1"/>
  <c r="D45" i="16"/>
  <c r="D44" i="16" s="1"/>
  <c r="G45" i="16"/>
  <c r="G44" i="16" s="1"/>
  <c r="C45" i="16"/>
  <c r="C44" i="16" s="1"/>
  <c r="F45" i="16"/>
  <c r="F44" i="16" s="1"/>
  <c r="E45" i="16"/>
  <c r="E44" i="16" s="1"/>
  <c r="B45" i="16"/>
  <c r="B44" i="16" s="1"/>
  <c r="H53" i="16"/>
  <c r="D53" i="16"/>
  <c r="G53" i="16"/>
  <c r="C53" i="16"/>
  <c r="F53" i="16"/>
  <c r="E53" i="16"/>
  <c r="B53" i="16"/>
  <c r="H47" i="16"/>
  <c r="D47" i="16"/>
  <c r="G47" i="16"/>
  <c r="C47" i="16"/>
  <c r="F47" i="16"/>
  <c r="E47" i="16"/>
  <c r="B47" i="16"/>
  <c r="C55" i="16"/>
  <c r="B55" i="16"/>
  <c r="H49" i="16"/>
  <c r="D49" i="16"/>
  <c r="G49" i="16"/>
  <c r="C49" i="16"/>
  <c r="F49" i="16"/>
  <c r="E49" i="16"/>
  <c r="B49" i="16"/>
  <c r="F51" i="15"/>
  <c r="B51" i="15"/>
  <c r="H51" i="15"/>
  <c r="D51" i="15"/>
  <c r="G51" i="15"/>
  <c r="E51" i="15"/>
  <c r="C51" i="15"/>
  <c r="F45" i="15"/>
  <c r="F44" i="15" s="1"/>
  <c r="B45" i="15"/>
  <c r="B44" i="15" s="1"/>
  <c r="H45" i="15"/>
  <c r="H44" i="15" s="1"/>
  <c r="D45" i="15"/>
  <c r="D44" i="15" s="1"/>
  <c r="G45" i="15"/>
  <c r="G44" i="15" s="1"/>
  <c r="C45" i="15"/>
  <c r="C44" i="15" s="1"/>
  <c r="E45" i="15"/>
  <c r="E44" i="15" s="1"/>
  <c r="F53" i="15"/>
  <c r="B53" i="15"/>
  <c r="H53" i="15"/>
  <c r="D53" i="15"/>
  <c r="G53" i="15"/>
  <c r="E53" i="15"/>
  <c r="C53" i="15"/>
  <c r="B71" i="15"/>
  <c r="C71" i="15"/>
  <c r="B69" i="15" a="1"/>
  <c r="B67" i="15" a="1"/>
  <c r="B65" i="15" a="1"/>
  <c r="B63" i="15" a="1"/>
  <c r="B61" i="15" a="1"/>
  <c r="B59" i="15" a="1"/>
  <c r="F47" i="15"/>
  <c r="B47" i="15"/>
  <c r="H47" i="15"/>
  <c r="D47" i="15"/>
  <c r="G47" i="15"/>
  <c r="E47" i="15"/>
  <c r="C47" i="15"/>
  <c r="B55" i="15"/>
  <c r="C55" i="15"/>
  <c r="F49" i="15"/>
  <c r="B49" i="15"/>
  <c r="H49" i="15"/>
  <c r="D49" i="15"/>
  <c r="G49" i="15"/>
  <c r="C49" i="15"/>
  <c r="E49" i="15"/>
  <c r="B55" i="14"/>
  <c r="H53" i="14"/>
  <c r="E51" i="14"/>
  <c r="C45" i="14"/>
  <c r="C44" i="14" s="1"/>
  <c r="G47" i="14"/>
  <c r="F47" i="14"/>
  <c r="C71" i="14"/>
  <c r="H47" i="14"/>
  <c r="G49" i="14"/>
  <c r="D47" i="14"/>
  <c r="B71" i="14"/>
  <c r="B49" i="14"/>
  <c r="B45" i="14"/>
  <c r="B44" i="14" s="1"/>
  <c r="F45" i="14"/>
  <c r="F44" i="14" s="1"/>
  <c r="C49" i="14"/>
  <c r="D49" i="14"/>
  <c r="H51" i="14"/>
  <c r="H45" i="14"/>
  <c r="H44" i="14" s="1"/>
  <c r="E45" i="14"/>
  <c r="E44" i="14" s="1"/>
  <c r="E47" i="14"/>
  <c r="F49" i="14"/>
  <c r="D45" i="14"/>
  <c r="D44" i="14" s="1"/>
  <c r="E49" i="14"/>
  <c r="C51" i="14"/>
  <c r="G51" i="14"/>
  <c r="B51" i="14"/>
  <c r="F53" i="14"/>
  <c r="B53" i="14"/>
  <c r="C53" i="14"/>
  <c r="F51" i="14"/>
  <c r="D53" i="14"/>
  <c r="G53" i="14"/>
  <c r="C47" i="14"/>
  <c r="B63" i="14" a="1"/>
  <c r="E63" i="14" s="1"/>
  <c r="B69" i="14" a="1"/>
  <c r="C69" i="14" s="1"/>
  <c r="B65" i="14" a="1"/>
  <c r="E65" i="14" s="1"/>
  <c r="B61" i="14" a="1"/>
  <c r="E61" i="14" s="1"/>
  <c r="B67" i="14" a="1"/>
  <c r="F67" i="14" s="1"/>
  <c r="B59" i="14" a="1"/>
  <c r="B59" i="14" s="1"/>
  <c r="B58" i="14" s="1"/>
  <c r="C65" i="58" l="1"/>
  <c r="B65" i="58"/>
  <c r="A65" i="58"/>
  <c r="G65" i="58"/>
  <c r="F65" i="58"/>
  <c r="E65" i="58"/>
  <c r="D65" i="58"/>
  <c r="C59" i="58"/>
  <c r="C58" i="58" s="1"/>
  <c r="B59" i="58"/>
  <c r="B58" i="58" s="1"/>
  <c r="E59" i="58"/>
  <c r="E58" i="58" s="1"/>
  <c r="D59" i="58"/>
  <c r="D58" i="58" s="1"/>
  <c r="A59" i="58"/>
  <c r="A58" i="58" s="1"/>
  <c r="G59" i="58"/>
  <c r="G58" i="58" s="1"/>
  <c r="F59" i="58"/>
  <c r="F58" i="58" s="1"/>
  <c r="C61" i="58"/>
  <c r="B61" i="58"/>
  <c r="G61" i="58"/>
  <c r="F61" i="58"/>
  <c r="D61" i="58"/>
  <c r="E61" i="58"/>
  <c r="A61" i="58"/>
  <c r="C63" i="58"/>
  <c r="B63" i="58"/>
  <c r="F63" i="58"/>
  <c r="G63" i="58"/>
  <c r="D63" i="58"/>
  <c r="E63" i="58"/>
  <c r="A63" i="58"/>
  <c r="B69" i="58"/>
  <c r="A69" i="58"/>
  <c r="A77" i="58" a="1"/>
  <c r="B85" i="58"/>
  <c r="A79" i="58" a="1"/>
  <c r="A81" i="58" a="1"/>
  <c r="A75" i="58" a="1"/>
  <c r="A85" i="58"/>
  <c r="A73" i="58" a="1"/>
  <c r="A83" i="58" a="1"/>
  <c r="C67" i="58"/>
  <c r="B67" i="58"/>
  <c r="E67" i="58"/>
  <c r="D67" i="58"/>
  <c r="A67" i="58"/>
  <c r="F67" i="58"/>
  <c r="G67" i="58"/>
  <c r="B69" i="57"/>
  <c r="A69" i="57"/>
  <c r="E61" i="57"/>
  <c r="C61" i="57"/>
  <c r="A61" i="57"/>
  <c r="G61" i="57"/>
  <c r="D61" i="57"/>
  <c r="B61" i="57"/>
  <c r="F61" i="57"/>
  <c r="E59" i="57"/>
  <c r="E58" i="57" s="1"/>
  <c r="C59" i="57"/>
  <c r="C58" i="57" s="1"/>
  <c r="A59" i="57"/>
  <c r="A58" i="57" s="1"/>
  <c r="D59" i="57"/>
  <c r="D58" i="57" s="1"/>
  <c r="B59" i="57"/>
  <c r="B58" i="57" s="1"/>
  <c r="F59" i="57"/>
  <c r="F58" i="57" s="1"/>
  <c r="G59" i="57"/>
  <c r="G58" i="57" s="1"/>
  <c r="A83" i="57" a="1"/>
  <c r="A79" i="57" a="1"/>
  <c r="A75" i="57" a="1"/>
  <c r="A81" i="57" a="1"/>
  <c r="A77" i="57" a="1"/>
  <c r="A73" i="57" a="1"/>
  <c r="A85" i="57"/>
  <c r="B85" i="57"/>
  <c r="E65" i="57"/>
  <c r="C65" i="57"/>
  <c r="A65" i="57"/>
  <c r="F65" i="57"/>
  <c r="D65" i="57"/>
  <c r="B65" i="57"/>
  <c r="G65" i="57"/>
  <c r="E63" i="57"/>
  <c r="C63" i="57"/>
  <c r="A63" i="57"/>
  <c r="F63" i="57"/>
  <c r="G63" i="57"/>
  <c r="D63" i="57"/>
  <c r="B63" i="57"/>
  <c r="E67" i="57"/>
  <c r="C67" i="57"/>
  <c r="B67" i="57"/>
  <c r="A67" i="57"/>
  <c r="G67" i="57"/>
  <c r="D67" i="57"/>
  <c r="F67" i="57"/>
  <c r="B85" i="56"/>
  <c r="A85" i="56"/>
  <c r="A81" i="56" a="1"/>
  <c r="A73" i="56" a="1"/>
  <c r="A83" i="56" a="1"/>
  <c r="A75" i="56" a="1"/>
  <c r="A79" i="56" a="1"/>
  <c r="A77" i="56" a="1"/>
  <c r="E65" i="56"/>
  <c r="C65" i="56"/>
  <c r="G65" i="56"/>
  <c r="F65" i="56"/>
  <c r="B65" i="56"/>
  <c r="D65" i="56"/>
  <c r="A65" i="56"/>
  <c r="E63" i="56"/>
  <c r="C63" i="56"/>
  <c r="F63" i="56"/>
  <c r="D63" i="56"/>
  <c r="B63" i="56"/>
  <c r="A63" i="56"/>
  <c r="G63" i="56"/>
  <c r="E61" i="56"/>
  <c r="C61" i="56"/>
  <c r="B61" i="56"/>
  <c r="A61" i="56"/>
  <c r="D61" i="56"/>
  <c r="F61" i="56"/>
  <c r="G61" i="56"/>
  <c r="B69" i="56"/>
  <c r="A69" i="56"/>
  <c r="E59" i="56"/>
  <c r="E58" i="56" s="1"/>
  <c r="C59" i="56"/>
  <c r="C58" i="56" s="1"/>
  <c r="F59" i="56"/>
  <c r="F58" i="56" s="1"/>
  <c r="G59" i="56"/>
  <c r="G58" i="56" s="1"/>
  <c r="B59" i="56"/>
  <c r="B58" i="56" s="1"/>
  <c r="A59" i="56"/>
  <c r="A58" i="56" s="1"/>
  <c r="D59" i="56"/>
  <c r="D58" i="56" s="1"/>
  <c r="E67" i="56"/>
  <c r="C67" i="56"/>
  <c r="F67" i="56"/>
  <c r="G67" i="56"/>
  <c r="A67" i="56"/>
  <c r="D67" i="56"/>
  <c r="B67" i="56"/>
  <c r="F67" i="55"/>
  <c r="B67" i="55"/>
  <c r="D67" i="55"/>
  <c r="C67" i="55"/>
  <c r="A67" i="55"/>
  <c r="G67" i="55"/>
  <c r="E67" i="55"/>
  <c r="F59" i="55"/>
  <c r="F58" i="55" s="1"/>
  <c r="B59" i="55"/>
  <c r="B58" i="55" s="1"/>
  <c r="D59" i="55"/>
  <c r="D58" i="55" s="1"/>
  <c r="C59" i="55"/>
  <c r="C58" i="55" s="1"/>
  <c r="A59" i="55"/>
  <c r="A58" i="55" s="1"/>
  <c r="G59" i="55"/>
  <c r="G58" i="55" s="1"/>
  <c r="E59" i="55"/>
  <c r="E58" i="55" s="1"/>
  <c r="F65" i="55"/>
  <c r="B65" i="55"/>
  <c r="G65" i="55"/>
  <c r="A65" i="55"/>
  <c r="E65" i="55"/>
  <c r="D65" i="55"/>
  <c r="C65" i="55"/>
  <c r="F61" i="55"/>
  <c r="B61" i="55"/>
  <c r="G61" i="55"/>
  <c r="A61" i="55"/>
  <c r="E61" i="55"/>
  <c r="D61" i="55"/>
  <c r="C61" i="55"/>
  <c r="A83" i="55" a="1"/>
  <c r="A79" i="55" a="1"/>
  <c r="B85" i="55"/>
  <c r="A77" i="55" a="1"/>
  <c r="A73" i="55" a="1"/>
  <c r="A85" i="55"/>
  <c r="A75" i="55" a="1"/>
  <c r="A81" i="55" a="1"/>
  <c r="B69" i="55"/>
  <c r="A69" i="55"/>
  <c r="F63" i="55"/>
  <c r="B63" i="55"/>
  <c r="D63" i="55"/>
  <c r="C63" i="55"/>
  <c r="G63" i="55"/>
  <c r="E63" i="55"/>
  <c r="A63" i="55"/>
  <c r="F61" i="54"/>
  <c r="B61" i="54"/>
  <c r="D61" i="54"/>
  <c r="C61" i="54"/>
  <c r="G61" i="54"/>
  <c r="A61" i="54"/>
  <c r="E61" i="54"/>
  <c r="F67" i="54"/>
  <c r="B67" i="54"/>
  <c r="G67" i="54"/>
  <c r="A67" i="54"/>
  <c r="E67" i="54"/>
  <c r="D67" i="54"/>
  <c r="C67" i="54"/>
  <c r="F63" i="54"/>
  <c r="B63" i="54"/>
  <c r="G63" i="54"/>
  <c r="A63" i="54"/>
  <c r="E63" i="54"/>
  <c r="D63" i="54"/>
  <c r="C63" i="54"/>
  <c r="A83" i="54" a="1"/>
  <c r="A79" i="54" a="1"/>
  <c r="A75" i="54" a="1"/>
  <c r="A81" i="54" a="1"/>
  <c r="B85" i="54"/>
  <c r="A77" i="54" a="1"/>
  <c r="A73" i="54" a="1"/>
  <c r="A85" i="54"/>
  <c r="B69" i="54"/>
  <c r="A69" i="54"/>
  <c r="F65" i="54"/>
  <c r="B65" i="54"/>
  <c r="D65" i="54"/>
  <c r="C65" i="54"/>
  <c r="G65" i="54"/>
  <c r="A65" i="54"/>
  <c r="E65" i="54"/>
  <c r="F59" i="54"/>
  <c r="F58" i="54" s="1"/>
  <c r="B59" i="54"/>
  <c r="B58" i="54" s="1"/>
  <c r="G59" i="54"/>
  <c r="G58" i="54" s="1"/>
  <c r="A59" i="54"/>
  <c r="A58" i="54" s="1"/>
  <c r="E59" i="54"/>
  <c r="E58" i="54" s="1"/>
  <c r="D59" i="54"/>
  <c r="D58" i="54" s="1"/>
  <c r="C59" i="54"/>
  <c r="C58" i="54" s="1"/>
  <c r="A69" i="53"/>
  <c r="B69" i="53"/>
  <c r="E59" i="53"/>
  <c r="E58" i="53" s="1"/>
  <c r="A59" i="53"/>
  <c r="A58" i="53" s="1"/>
  <c r="F59" i="53"/>
  <c r="F58" i="53" s="1"/>
  <c r="D59" i="53"/>
  <c r="D58" i="53" s="1"/>
  <c r="C59" i="53"/>
  <c r="C58" i="53" s="1"/>
  <c r="G59" i="53"/>
  <c r="G58" i="53" s="1"/>
  <c r="B59" i="53"/>
  <c r="B58" i="53" s="1"/>
  <c r="E61" i="53"/>
  <c r="A61" i="53"/>
  <c r="C61" i="53"/>
  <c r="G61" i="53"/>
  <c r="B61" i="53"/>
  <c r="F61" i="53"/>
  <c r="D61" i="53"/>
  <c r="E63" i="53"/>
  <c r="A63" i="53"/>
  <c r="F63" i="53"/>
  <c r="D63" i="53"/>
  <c r="C63" i="53"/>
  <c r="G63" i="53"/>
  <c r="B63" i="53"/>
  <c r="B85" i="53"/>
  <c r="A83" i="53" a="1"/>
  <c r="A81" i="53" a="1"/>
  <c r="A79" i="53" a="1"/>
  <c r="A77" i="53" a="1"/>
  <c r="A73" i="53" a="1"/>
  <c r="A85" i="53"/>
  <c r="A75" i="53" a="1"/>
  <c r="E65" i="53"/>
  <c r="A65" i="53"/>
  <c r="C65" i="53"/>
  <c r="G65" i="53"/>
  <c r="B65" i="53"/>
  <c r="F65" i="53"/>
  <c r="D65" i="53"/>
  <c r="E67" i="53"/>
  <c r="A67" i="53"/>
  <c r="F67" i="53"/>
  <c r="D67" i="53"/>
  <c r="C67" i="53"/>
  <c r="G67" i="53"/>
  <c r="B67" i="53"/>
  <c r="G59" i="52"/>
  <c r="G58" i="52" s="1"/>
  <c r="C59" i="52"/>
  <c r="C58" i="52" s="1"/>
  <c r="E59" i="52"/>
  <c r="E58" i="52" s="1"/>
  <c r="A59" i="52"/>
  <c r="A58" i="52" s="1"/>
  <c r="F59" i="52"/>
  <c r="F58" i="52" s="1"/>
  <c r="D59" i="52"/>
  <c r="D58" i="52" s="1"/>
  <c r="B59" i="52"/>
  <c r="B58" i="52" s="1"/>
  <c r="G67" i="52"/>
  <c r="C67" i="52"/>
  <c r="E67" i="52"/>
  <c r="A67" i="52"/>
  <c r="F67" i="52"/>
  <c r="D67" i="52"/>
  <c r="B67" i="52"/>
  <c r="G65" i="52"/>
  <c r="C65" i="52"/>
  <c r="E65" i="52"/>
  <c r="A65" i="52"/>
  <c r="F65" i="52"/>
  <c r="D65" i="52"/>
  <c r="B65" i="52"/>
  <c r="A85" i="52"/>
  <c r="A79" i="52" a="1"/>
  <c r="A81" i="52" a="1"/>
  <c r="A77" i="52" a="1"/>
  <c r="A75" i="52" a="1"/>
  <c r="A73" i="52" a="1"/>
  <c r="B85" i="52"/>
  <c r="A83" i="52" a="1"/>
  <c r="G63" i="52"/>
  <c r="C63" i="52"/>
  <c r="E63" i="52"/>
  <c r="A63" i="52"/>
  <c r="F63" i="52"/>
  <c r="D63" i="52"/>
  <c r="B63" i="52"/>
  <c r="A69" i="52"/>
  <c r="B69" i="52"/>
  <c r="G61" i="52"/>
  <c r="C61" i="52"/>
  <c r="E61" i="52"/>
  <c r="A61" i="52"/>
  <c r="F61" i="52"/>
  <c r="D61" i="52"/>
  <c r="B61" i="52"/>
  <c r="G61" i="51"/>
  <c r="C61" i="51"/>
  <c r="F61" i="51"/>
  <c r="B61" i="51"/>
  <c r="D61" i="51"/>
  <c r="H61" i="51"/>
  <c r="E61" i="51"/>
  <c r="G59" i="51"/>
  <c r="G58" i="51" s="1"/>
  <c r="C59" i="51"/>
  <c r="C58" i="51" s="1"/>
  <c r="F59" i="51"/>
  <c r="F58" i="51" s="1"/>
  <c r="B59" i="51"/>
  <c r="B58" i="51" s="1"/>
  <c r="D59" i="51"/>
  <c r="D58" i="51" s="1"/>
  <c r="H59" i="51"/>
  <c r="H58" i="51" s="1"/>
  <c r="E59" i="51"/>
  <c r="E58" i="51" s="1"/>
  <c r="G65" i="51"/>
  <c r="C65" i="51"/>
  <c r="F65" i="51"/>
  <c r="B65" i="51"/>
  <c r="D65" i="51"/>
  <c r="H65" i="51"/>
  <c r="E65" i="51"/>
  <c r="G63" i="51"/>
  <c r="C63" i="51"/>
  <c r="F63" i="51"/>
  <c r="B63" i="51"/>
  <c r="D63" i="51"/>
  <c r="H63" i="51"/>
  <c r="E63" i="51"/>
  <c r="B83" i="51" a="1"/>
  <c r="B79" i="51" a="1"/>
  <c r="C85" i="51"/>
  <c r="B77" i="51" a="1"/>
  <c r="B73" i="51" a="1"/>
  <c r="B81" i="51" a="1"/>
  <c r="B75" i="51" a="1"/>
  <c r="B85" i="51"/>
  <c r="C69" i="51"/>
  <c r="B69" i="51"/>
  <c r="G67" i="51"/>
  <c r="C67" i="51"/>
  <c r="F67" i="51"/>
  <c r="B67" i="51"/>
  <c r="D67" i="51"/>
  <c r="H67" i="51"/>
  <c r="E67" i="51"/>
  <c r="E59" i="50"/>
  <c r="E58" i="50" s="1"/>
  <c r="A59" i="50"/>
  <c r="A58" i="50" s="1"/>
  <c r="C59" i="50"/>
  <c r="C58" i="50" s="1"/>
  <c r="G59" i="50"/>
  <c r="G58" i="50" s="1"/>
  <c r="B59" i="50"/>
  <c r="B58" i="50" s="1"/>
  <c r="F59" i="50"/>
  <c r="F58" i="50" s="1"/>
  <c r="D59" i="50"/>
  <c r="D58" i="50" s="1"/>
  <c r="A85" i="50"/>
  <c r="A79" i="50" a="1"/>
  <c r="B85" i="50"/>
  <c r="A81" i="50" a="1"/>
  <c r="A75" i="50" a="1"/>
  <c r="A77" i="50" a="1"/>
  <c r="A83" i="50" a="1"/>
  <c r="A73" i="50" a="1"/>
  <c r="E63" i="50"/>
  <c r="A63" i="50"/>
  <c r="C63" i="50"/>
  <c r="G63" i="50"/>
  <c r="B63" i="50"/>
  <c r="F63" i="50"/>
  <c r="D63" i="50"/>
  <c r="E61" i="50"/>
  <c r="A61" i="50"/>
  <c r="F61" i="50"/>
  <c r="D61" i="50"/>
  <c r="C61" i="50"/>
  <c r="B61" i="50"/>
  <c r="G61" i="50"/>
  <c r="A69" i="50"/>
  <c r="B69" i="50"/>
  <c r="E67" i="50"/>
  <c r="A67" i="50"/>
  <c r="C67" i="50"/>
  <c r="G67" i="50"/>
  <c r="B67" i="50"/>
  <c r="F67" i="50"/>
  <c r="D67" i="50"/>
  <c r="E65" i="50"/>
  <c r="A65" i="50"/>
  <c r="F65" i="50"/>
  <c r="D65" i="50"/>
  <c r="C65" i="50"/>
  <c r="G65" i="50"/>
  <c r="B65" i="50"/>
  <c r="E63" i="49"/>
  <c r="A63" i="49"/>
  <c r="D63" i="49"/>
  <c r="C63" i="49"/>
  <c r="G63" i="49"/>
  <c r="B63" i="49"/>
  <c r="F63" i="49"/>
  <c r="E61" i="49"/>
  <c r="A61" i="49"/>
  <c r="G61" i="49"/>
  <c r="B61" i="49"/>
  <c r="F61" i="49"/>
  <c r="D61" i="49"/>
  <c r="C61" i="49"/>
  <c r="E67" i="49"/>
  <c r="A67" i="49"/>
  <c r="D67" i="49"/>
  <c r="C67" i="49"/>
  <c r="G67" i="49"/>
  <c r="B67" i="49"/>
  <c r="F67" i="49"/>
  <c r="E59" i="49"/>
  <c r="E58" i="49" s="1"/>
  <c r="A59" i="49"/>
  <c r="A58" i="49" s="1"/>
  <c r="D59" i="49"/>
  <c r="D58" i="49" s="1"/>
  <c r="C59" i="49"/>
  <c r="C58" i="49" s="1"/>
  <c r="G59" i="49"/>
  <c r="G58" i="49" s="1"/>
  <c r="B59" i="49"/>
  <c r="B58" i="49" s="1"/>
  <c r="F59" i="49"/>
  <c r="F58" i="49" s="1"/>
  <c r="E65" i="49"/>
  <c r="A65" i="49"/>
  <c r="G65" i="49"/>
  <c r="B65" i="49"/>
  <c r="F65" i="49"/>
  <c r="D65" i="49"/>
  <c r="C65" i="49"/>
  <c r="B85" i="49"/>
  <c r="A79" i="49" a="1"/>
  <c r="A77" i="49" a="1"/>
  <c r="A73" i="49" a="1"/>
  <c r="A85" i="49"/>
  <c r="A75" i="49" a="1"/>
  <c r="A83" i="49" a="1"/>
  <c r="A81" i="49" a="1"/>
  <c r="A69" i="49"/>
  <c r="B69" i="49"/>
  <c r="B83" i="48" a="1"/>
  <c r="B79" i="48" a="1"/>
  <c r="B81" i="48" a="1"/>
  <c r="C85" i="48"/>
  <c r="B77" i="48" a="1"/>
  <c r="B73" i="48" a="1"/>
  <c r="B75" i="48" a="1"/>
  <c r="B85" i="48"/>
  <c r="C69" i="48"/>
  <c r="B69" i="48"/>
  <c r="G63" i="48"/>
  <c r="C63" i="48"/>
  <c r="F63" i="48"/>
  <c r="E63" i="48"/>
  <c r="B63" i="48"/>
  <c r="H63" i="48"/>
  <c r="D63" i="48"/>
  <c r="G67" i="48"/>
  <c r="C67" i="48"/>
  <c r="F67" i="48"/>
  <c r="E67" i="48"/>
  <c r="H67" i="48"/>
  <c r="D67" i="48"/>
  <c r="B67" i="48"/>
  <c r="G65" i="48"/>
  <c r="C65" i="48"/>
  <c r="D65" i="48"/>
  <c r="H65" i="48"/>
  <c r="B65" i="48"/>
  <c r="E65" i="48"/>
  <c r="F65" i="48"/>
  <c r="G61" i="48"/>
  <c r="C61" i="48"/>
  <c r="D61" i="48"/>
  <c r="H61" i="48"/>
  <c r="B61" i="48"/>
  <c r="F61" i="48"/>
  <c r="E61" i="48"/>
  <c r="G59" i="48"/>
  <c r="G58" i="48" s="1"/>
  <c r="C59" i="48"/>
  <c r="C58" i="48" s="1"/>
  <c r="F59" i="48"/>
  <c r="F58" i="48" s="1"/>
  <c r="E59" i="48"/>
  <c r="E58" i="48" s="1"/>
  <c r="H59" i="48"/>
  <c r="H58" i="48" s="1"/>
  <c r="B59" i="48"/>
  <c r="B58" i="48" s="1"/>
  <c r="D59" i="48"/>
  <c r="D58" i="48" s="1"/>
  <c r="G65" i="47"/>
  <c r="D65" i="47"/>
  <c r="H65" i="47"/>
  <c r="F65" i="47"/>
  <c r="E65" i="47"/>
  <c r="B65" i="47"/>
  <c r="C65" i="47"/>
  <c r="G67" i="47"/>
  <c r="D67" i="47"/>
  <c r="H67" i="47"/>
  <c r="E67" i="47"/>
  <c r="F67" i="47"/>
  <c r="C67" i="47"/>
  <c r="B67" i="47"/>
  <c r="G63" i="47"/>
  <c r="D63" i="47"/>
  <c r="F63" i="47"/>
  <c r="E63" i="47"/>
  <c r="C63" i="47"/>
  <c r="B63" i="47"/>
  <c r="H63" i="47"/>
  <c r="C85" i="47"/>
  <c r="B85" i="47"/>
  <c r="B81" i="47" a="1"/>
  <c r="B73" i="47" a="1"/>
  <c r="B83" i="47" a="1"/>
  <c r="B75" i="47" a="1"/>
  <c r="B77" i="47" a="1"/>
  <c r="B79" i="47" a="1"/>
  <c r="G61" i="47"/>
  <c r="D61" i="47"/>
  <c r="C61" i="47"/>
  <c r="B61" i="47"/>
  <c r="H61" i="47"/>
  <c r="F61" i="47"/>
  <c r="E61" i="47"/>
  <c r="C69" i="47"/>
  <c r="B69" i="47"/>
  <c r="G59" i="47"/>
  <c r="G58" i="47" s="1"/>
  <c r="D59" i="47"/>
  <c r="D58" i="47" s="1"/>
  <c r="H59" i="47"/>
  <c r="H58" i="47" s="1"/>
  <c r="E59" i="47"/>
  <c r="E58" i="47" s="1"/>
  <c r="F59" i="47"/>
  <c r="F58" i="47" s="1"/>
  <c r="C59" i="47"/>
  <c r="C58" i="47" s="1"/>
  <c r="B59" i="47"/>
  <c r="B58" i="47" s="1"/>
  <c r="F67" i="46"/>
  <c r="D67" i="46"/>
  <c r="C67" i="46"/>
  <c r="E67" i="46"/>
  <c r="B67" i="46"/>
  <c r="G67" i="46"/>
  <c r="H67" i="46"/>
  <c r="F59" i="46"/>
  <c r="F58" i="46" s="1"/>
  <c r="D59" i="46"/>
  <c r="D58" i="46" s="1"/>
  <c r="C59" i="46"/>
  <c r="C58" i="46" s="1"/>
  <c r="G59" i="46"/>
  <c r="G58" i="46" s="1"/>
  <c r="E59" i="46"/>
  <c r="E58" i="46" s="1"/>
  <c r="B59" i="46"/>
  <c r="B58" i="46" s="1"/>
  <c r="H59" i="46"/>
  <c r="H58" i="46" s="1"/>
  <c r="B85" i="46"/>
  <c r="B77" i="46" a="1"/>
  <c r="B83" i="46" a="1"/>
  <c r="B75" i="46" a="1"/>
  <c r="B73" i="46" a="1"/>
  <c r="B79" i="46" a="1"/>
  <c r="B81" i="46" a="1"/>
  <c r="C85" i="46"/>
  <c r="C69" i="46"/>
  <c r="B69" i="46"/>
  <c r="F61" i="46"/>
  <c r="D61" i="46"/>
  <c r="C61" i="46"/>
  <c r="B61" i="46"/>
  <c r="H61" i="46"/>
  <c r="E61" i="46"/>
  <c r="G61" i="46"/>
  <c r="F63" i="46"/>
  <c r="D63" i="46"/>
  <c r="C63" i="46"/>
  <c r="B63" i="46"/>
  <c r="G63" i="46"/>
  <c r="H63" i="46"/>
  <c r="E63" i="46"/>
  <c r="F65" i="46"/>
  <c r="D65" i="46"/>
  <c r="C65" i="46"/>
  <c r="H65" i="46"/>
  <c r="G65" i="46"/>
  <c r="E65" i="46"/>
  <c r="B65" i="46"/>
  <c r="G59" i="45"/>
  <c r="G58" i="45" s="1"/>
  <c r="C59" i="45"/>
  <c r="C58" i="45" s="1"/>
  <c r="B59" i="45"/>
  <c r="B58" i="45" s="1"/>
  <c r="D59" i="45"/>
  <c r="D58" i="45" s="1"/>
  <c r="H59" i="45"/>
  <c r="H58" i="45" s="1"/>
  <c r="F59" i="45"/>
  <c r="F58" i="45" s="1"/>
  <c r="E59" i="45"/>
  <c r="E58" i="45" s="1"/>
  <c r="G61" i="45"/>
  <c r="C61" i="45"/>
  <c r="B61" i="45"/>
  <c r="D61" i="45"/>
  <c r="H61" i="45"/>
  <c r="E61" i="45"/>
  <c r="F61" i="45"/>
  <c r="G65" i="45"/>
  <c r="C65" i="45"/>
  <c r="B65" i="45"/>
  <c r="E65" i="45"/>
  <c r="F65" i="45"/>
  <c r="H65" i="45"/>
  <c r="D65" i="45"/>
  <c r="G63" i="45"/>
  <c r="C63" i="45"/>
  <c r="B63" i="45"/>
  <c r="H63" i="45"/>
  <c r="F63" i="45"/>
  <c r="E63" i="45"/>
  <c r="D63" i="45"/>
  <c r="G67" i="45"/>
  <c r="C67" i="45"/>
  <c r="B67" i="45"/>
  <c r="E67" i="45"/>
  <c r="F67" i="45"/>
  <c r="D67" i="45"/>
  <c r="H67" i="45"/>
  <c r="B81" i="45" a="1"/>
  <c r="B77" i="45" a="1"/>
  <c r="B73" i="45" a="1"/>
  <c r="C85" i="45"/>
  <c r="B85" i="45"/>
  <c r="B83" i="45" a="1"/>
  <c r="B79" i="45" a="1"/>
  <c r="B75" i="45" a="1"/>
  <c r="C69" i="45"/>
  <c r="B69" i="45"/>
  <c r="G61" i="43"/>
  <c r="F61" i="43"/>
  <c r="D61" i="43"/>
  <c r="H61" i="43"/>
  <c r="E61" i="43"/>
  <c r="C61" i="43"/>
  <c r="B61" i="43"/>
  <c r="G63" i="43"/>
  <c r="F63" i="43"/>
  <c r="D63" i="43"/>
  <c r="B63" i="43"/>
  <c r="H63" i="43"/>
  <c r="E63" i="43"/>
  <c r="C63" i="43"/>
  <c r="G65" i="43"/>
  <c r="F65" i="43"/>
  <c r="D65" i="43"/>
  <c r="C65" i="43"/>
  <c r="B65" i="43"/>
  <c r="H65" i="43"/>
  <c r="E65" i="43"/>
  <c r="B73" i="43" a="1"/>
  <c r="B77" i="43" a="1"/>
  <c r="B79" i="43" a="1"/>
  <c r="B85" i="43"/>
  <c r="C85" i="43"/>
  <c r="B75" i="43" a="1"/>
  <c r="B81" i="43" a="1"/>
  <c r="B83" i="43" a="1"/>
  <c r="G59" i="43"/>
  <c r="G58" i="43" s="1"/>
  <c r="F59" i="43"/>
  <c r="F58" i="43" s="1"/>
  <c r="D59" i="43"/>
  <c r="D58" i="43" s="1"/>
  <c r="B59" i="43"/>
  <c r="B58" i="43" s="1"/>
  <c r="H59" i="43"/>
  <c r="H58" i="43" s="1"/>
  <c r="E59" i="43"/>
  <c r="E58" i="43" s="1"/>
  <c r="C59" i="43"/>
  <c r="C58" i="43" s="1"/>
  <c r="G67" i="43"/>
  <c r="F67" i="43"/>
  <c r="D67" i="43"/>
  <c r="H67" i="43"/>
  <c r="E67" i="43"/>
  <c r="C67" i="43"/>
  <c r="B67" i="43"/>
  <c r="C69" i="43"/>
  <c r="B69" i="43"/>
  <c r="B85" i="42"/>
  <c r="B73" i="42" a="1"/>
  <c r="B79" i="42" a="1"/>
  <c r="C85" i="42"/>
  <c r="B75" i="42" a="1"/>
  <c r="B81" i="42" a="1"/>
  <c r="B77" i="42" a="1"/>
  <c r="B83" i="42" a="1"/>
  <c r="C61" i="42"/>
  <c r="B61" i="42"/>
  <c r="H61" i="42"/>
  <c r="F61" i="42"/>
  <c r="E61" i="42"/>
  <c r="D61" i="42"/>
  <c r="G61" i="42"/>
  <c r="C67" i="42"/>
  <c r="B67" i="42"/>
  <c r="H67" i="42"/>
  <c r="G67" i="42"/>
  <c r="F67" i="42"/>
  <c r="E67" i="42"/>
  <c r="D67" i="42"/>
  <c r="C65" i="42"/>
  <c r="B65" i="42"/>
  <c r="H65" i="42"/>
  <c r="D65" i="42"/>
  <c r="F65" i="42"/>
  <c r="G65" i="42"/>
  <c r="E65" i="42"/>
  <c r="C59" i="42"/>
  <c r="C58" i="42" s="1"/>
  <c r="B59" i="42"/>
  <c r="B58" i="42" s="1"/>
  <c r="H59" i="42"/>
  <c r="H58" i="42" s="1"/>
  <c r="G59" i="42"/>
  <c r="G58" i="42" s="1"/>
  <c r="F59" i="42"/>
  <c r="F58" i="42" s="1"/>
  <c r="E59" i="42"/>
  <c r="E58" i="42" s="1"/>
  <c r="D59" i="42"/>
  <c r="D58" i="42" s="1"/>
  <c r="C63" i="42"/>
  <c r="B63" i="42"/>
  <c r="H63" i="42"/>
  <c r="G63" i="42"/>
  <c r="F63" i="42"/>
  <c r="E63" i="42"/>
  <c r="D63" i="42"/>
  <c r="C69" i="42"/>
  <c r="B69" i="42"/>
  <c r="G65" i="41"/>
  <c r="C65" i="41"/>
  <c r="F65" i="41"/>
  <c r="B65" i="41"/>
  <c r="E65" i="41"/>
  <c r="H65" i="41"/>
  <c r="D65" i="41"/>
  <c r="G59" i="41"/>
  <c r="G58" i="41" s="1"/>
  <c r="C59" i="41"/>
  <c r="C58" i="41" s="1"/>
  <c r="F59" i="41"/>
  <c r="F58" i="41" s="1"/>
  <c r="B59" i="41"/>
  <c r="B58" i="41" s="1"/>
  <c r="E59" i="41"/>
  <c r="E58" i="41" s="1"/>
  <c r="D59" i="41"/>
  <c r="D58" i="41" s="1"/>
  <c r="H59" i="41"/>
  <c r="H58" i="41" s="1"/>
  <c r="G67" i="41"/>
  <c r="C67" i="41"/>
  <c r="F67" i="41"/>
  <c r="B67" i="41"/>
  <c r="E67" i="41"/>
  <c r="D67" i="41"/>
  <c r="H67" i="41"/>
  <c r="C85" i="41"/>
  <c r="B85" i="41"/>
  <c r="B83" i="41" a="1"/>
  <c r="B81" i="41" a="1"/>
  <c r="B79" i="41" a="1"/>
  <c r="B77" i="41" a="1"/>
  <c r="B75" i="41" a="1"/>
  <c r="B73" i="41" a="1"/>
  <c r="G61" i="41"/>
  <c r="C61" i="41"/>
  <c r="F61" i="41"/>
  <c r="B61" i="41"/>
  <c r="E61" i="41"/>
  <c r="H61" i="41"/>
  <c r="D61" i="41"/>
  <c r="C69" i="41"/>
  <c r="B69" i="41"/>
  <c r="G63" i="41"/>
  <c r="C63" i="41"/>
  <c r="F63" i="41"/>
  <c r="B63" i="41"/>
  <c r="E63" i="41"/>
  <c r="D63" i="41"/>
  <c r="H63" i="41"/>
  <c r="G59" i="40"/>
  <c r="G58" i="40" s="1"/>
  <c r="C59" i="40"/>
  <c r="C58" i="40" s="1"/>
  <c r="F59" i="40"/>
  <c r="F58" i="40" s="1"/>
  <c r="B59" i="40"/>
  <c r="B58" i="40" s="1"/>
  <c r="D59" i="40"/>
  <c r="D58" i="40" s="1"/>
  <c r="E59" i="40"/>
  <c r="E58" i="40" s="1"/>
  <c r="H59" i="40"/>
  <c r="H58" i="40" s="1"/>
  <c r="G67" i="40"/>
  <c r="C67" i="40"/>
  <c r="F67" i="40"/>
  <c r="B67" i="40"/>
  <c r="D67" i="40"/>
  <c r="E67" i="40"/>
  <c r="H67" i="40"/>
  <c r="G61" i="40"/>
  <c r="C61" i="40"/>
  <c r="F61" i="40"/>
  <c r="B61" i="40"/>
  <c r="D61" i="40"/>
  <c r="E61" i="40"/>
  <c r="H61" i="40"/>
  <c r="C69" i="40"/>
  <c r="B69" i="40"/>
  <c r="G63" i="40"/>
  <c r="C63" i="40"/>
  <c r="F63" i="40"/>
  <c r="B63" i="40"/>
  <c r="D63" i="40"/>
  <c r="E63" i="40"/>
  <c r="H63" i="40"/>
  <c r="C85" i="40"/>
  <c r="B85" i="40"/>
  <c r="B83" i="40" a="1"/>
  <c r="B81" i="40" a="1"/>
  <c r="B79" i="40" a="1"/>
  <c r="B77" i="40" a="1"/>
  <c r="B75" i="40" a="1"/>
  <c r="B73" i="40" a="1"/>
  <c r="G65" i="40"/>
  <c r="C65" i="40"/>
  <c r="F65" i="40"/>
  <c r="B65" i="40"/>
  <c r="D65" i="40"/>
  <c r="E65" i="40"/>
  <c r="H65" i="40"/>
  <c r="F59" i="39"/>
  <c r="F58" i="39" s="1"/>
  <c r="B59" i="39"/>
  <c r="B58" i="39" s="1"/>
  <c r="H59" i="39"/>
  <c r="H58" i="39" s="1"/>
  <c r="C59" i="39"/>
  <c r="C58" i="39" s="1"/>
  <c r="G59" i="39"/>
  <c r="G58" i="39" s="1"/>
  <c r="E59" i="39"/>
  <c r="E58" i="39" s="1"/>
  <c r="D59" i="39"/>
  <c r="D58" i="39" s="1"/>
  <c r="B69" i="39"/>
  <c r="C69" i="39"/>
  <c r="F61" i="39"/>
  <c r="B61" i="39"/>
  <c r="E61" i="39"/>
  <c r="D61" i="39"/>
  <c r="H61" i="39"/>
  <c r="C61" i="39"/>
  <c r="G61" i="39"/>
  <c r="F63" i="39"/>
  <c r="B63" i="39"/>
  <c r="H63" i="39"/>
  <c r="C63" i="39"/>
  <c r="G63" i="39"/>
  <c r="E63" i="39"/>
  <c r="D63" i="39"/>
  <c r="C85" i="39"/>
  <c r="B83" i="39" a="1"/>
  <c r="B77" i="39" a="1"/>
  <c r="B75" i="39" a="1"/>
  <c r="B73" i="39" a="1"/>
  <c r="B79" i="39" a="1"/>
  <c r="B85" i="39"/>
  <c r="B81" i="39" a="1"/>
  <c r="F65" i="39"/>
  <c r="B65" i="39"/>
  <c r="E65" i="39"/>
  <c r="D65" i="39"/>
  <c r="H65" i="39"/>
  <c r="C65" i="39"/>
  <c r="G65" i="39"/>
  <c r="F67" i="39"/>
  <c r="B67" i="39"/>
  <c r="H67" i="39"/>
  <c r="C67" i="39"/>
  <c r="G67" i="39"/>
  <c r="E67" i="39"/>
  <c r="D67" i="39"/>
  <c r="H65" i="38"/>
  <c r="D65" i="38"/>
  <c r="C65" i="38"/>
  <c r="G65" i="38"/>
  <c r="B65" i="38"/>
  <c r="E65" i="38"/>
  <c r="F65" i="38"/>
  <c r="B83" i="38" a="1"/>
  <c r="B85" i="38"/>
  <c r="B75" i="38" a="1"/>
  <c r="B77" i="38" a="1"/>
  <c r="B73" i="38" a="1"/>
  <c r="C85" i="38"/>
  <c r="B79" i="38" a="1"/>
  <c r="B81" i="38" a="1"/>
  <c r="C69" i="38"/>
  <c r="B69" i="38"/>
  <c r="H59" i="38"/>
  <c r="H58" i="38" s="1"/>
  <c r="D59" i="38"/>
  <c r="D58" i="38" s="1"/>
  <c r="F59" i="38"/>
  <c r="F58" i="38" s="1"/>
  <c r="E59" i="38"/>
  <c r="E58" i="38" s="1"/>
  <c r="B59" i="38"/>
  <c r="B58" i="38" s="1"/>
  <c r="C59" i="38"/>
  <c r="C58" i="38" s="1"/>
  <c r="G59" i="38"/>
  <c r="G58" i="38" s="1"/>
  <c r="H67" i="38"/>
  <c r="D67" i="38"/>
  <c r="F67" i="38"/>
  <c r="E67" i="38"/>
  <c r="G67" i="38"/>
  <c r="B67" i="38"/>
  <c r="C67" i="38"/>
  <c r="H61" i="38"/>
  <c r="D61" i="38"/>
  <c r="C61" i="38"/>
  <c r="E61" i="38"/>
  <c r="G61" i="38"/>
  <c r="B61" i="38"/>
  <c r="F61" i="38"/>
  <c r="H63" i="38"/>
  <c r="D63" i="38"/>
  <c r="F63" i="38"/>
  <c r="E63" i="38"/>
  <c r="B63" i="38"/>
  <c r="C63" i="38"/>
  <c r="G63" i="38"/>
  <c r="F67" i="37"/>
  <c r="B67" i="37"/>
  <c r="E67" i="37"/>
  <c r="D67" i="37"/>
  <c r="H67" i="37"/>
  <c r="C67" i="37"/>
  <c r="G67" i="37"/>
  <c r="F61" i="37"/>
  <c r="B61" i="37"/>
  <c r="H61" i="37"/>
  <c r="C61" i="37"/>
  <c r="G61" i="37"/>
  <c r="D61" i="37"/>
  <c r="E61" i="37"/>
  <c r="F63" i="37"/>
  <c r="B63" i="37"/>
  <c r="E63" i="37"/>
  <c r="D63" i="37"/>
  <c r="H63" i="37"/>
  <c r="C63" i="37"/>
  <c r="G63" i="37"/>
  <c r="F65" i="37"/>
  <c r="B65" i="37"/>
  <c r="H65" i="37"/>
  <c r="C65" i="37"/>
  <c r="G65" i="37"/>
  <c r="E65" i="37"/>
  <c r="D65" i="37"/>
  <c r="B85" i="37"/>
  <c r="C85" i="37"/>
  <c r="B77" i="37" a="1"/>
  <c r="B73" i="37" a="1"/>
  <c r="B83" i="37" a="1"/>
  <c r="B79" i="37" a="1"/>
  <c r="B75" i="37" a="1"/>
  <c r="B81" i="37" a="1"/>
  <c r="F59" i="37"/>
  <c r="F58" i="37" s="1"/>
  <c r="B59" i="37"/>
  <c r="B58" i="37" s="1"/>
  <c r="E59" i="37"/>
  <c r="E58" i="37" s="1"/>
  <c r="D59" i="37"/>
  <c r="D58" i="37" s="1"/>
  <c r="G59" i="37"/>
  <c r="G58" i="37" s="1"/>
  <c r="H59" i="37"/>
  <c r="H58" i="37" s="1"/>
  <c r="C59" i="37"/>
  <c r="C58" i="37" s="1"/>
  <c r="B69" i="37"/>
  <c r="C69" i="37"/>
  <c r="C69" i="36"/>
  <c r="B69" i="36"/>
  <c r="H63" i="36"/>
  <c r="D63" i="36"/>
  <c r="G63" i="36"/>
  <c r="C63" i="36"/>
  <c r="B63" i="36"/>
  <c r="F63" i="36"/>
  <c r="E63" i="36"/>
  <c r="H61" i="36"/>
  <c r="D61" i="36"/>
  <c r="G61" i="36"/>
  <c r="C61" i="36"/>
  <c r="B61" i="36"/>
  <c r="F61" i="36"/>
  <c r="E61" i="36"/>
  <c r="H65" i="36"/>
  <c r="D65" i="36"/>
  <c r="G65" i="36"/>
  <c r="C65" i="36"/>
  <c r="B65" i="36"/>
  <c r="F65" i="36"/>
  <c r="E65" i="36"/>
  <c r="B83" i="36" a="1"/>
  <c r="B79" i="36" a="1"/>
  <c r="C85" i="36"/>
  <c r="B85" i="36"/>
  <c r="B81" i="36" a="1"/>
  <c r="B77" i="36" a="1"/>
  <c r="B75" i="36" a="1"/>
  <c r="B73" i="36" a="1"/>
  <c r="H59" i="36"/>
  <c r="H58" i="36" s="1"/>
  <c r="D59" i="36"/>
  <c r="D58" i="36" s="1"/>
  <c r="G59" i="36"/>
  <c r="G58" i="36" s="1"/>
  <c r="C59" i="36"/>
  <c r="C58" i="36" s="1"/>
  <c r="B59" i="36"/>
  <c r="B58" i="36" s="1"/>
  <c r="F59" i="36"/>
  <c r="F58" i="36" s="1"/>
  <c r="E59" i="36"/>
  <c r="E58" i="36" s="1"/>
  <c r="H67" i="36"/>
  <c r="D67" i="36"/>
  <c r="G67" i="36"/>
  <c r="C67" i="36"/>
  <c r="B67" i="36"/>
  <c r="F67" i="36"/>
  <c r="E67" i="36"/>
  <c r="H61" i="35"/>
  <c r="D61" i="35"/>
  <c r="G61" i="35"/>
  <c r="C61" i="35"/>
  <c r="F61" i="35"/>
  <c r="E61" i="35"/>
  <c r="B61" i="35"/>
  <c r="H63" i="35"/>
  <c r="D63" i="35"/>
  <c r="G63" i="35"/>
  <c r="C63" i="35"/>
  <c r="F63" i="35"/>
  <c r="E63" i="35"/>
  <c r="B63" i="35"/>
  <c r="C69" i="35"/>
  <c r="B69" i="35"/>
  <c r="H65" i="35"/>
  <c r="D65" i="35"/>
  <c r="G65" i="35"/>
  <c r="C65" i="35"/>
  <c r="F65" i="35"/>
  <c r="E65" i="35"/>
  <c r="B65" i="35"/>
  <c r="B85" i="35"/>
  <c r="B83" i="35" a="1"/>
  <c r="B79" i="35" a="1"/>
  <c r="B77" i="35" a="1"/>
  <c r="B75" i="35" a="1"/>
  <c r="C85" i="35"/>
  <c r="B81" i="35" a="1"/>
  <c r="B73" i="35" a="1"/>
  <c r="H59" i="35"/>
  <c r="H58" i="35" s="1"/>
  <c r="D59" i="35"/>
  <c r="D58" i="35" s="1"/>
  <c r="G59" i="35"/>
  <c r="G58" i="35" s="1"/>
  <c r="C59" i="35"/>
  <c r="C58" i="35" s="1"/>
  <c r="F59" i="35"/>
  <c r="F58" i="35" s="1"/>
  <c r="E59" i="35"/>
  <c r="E58" i="35" s="1"/>
  <c r="B59" i="35"/>
  <c r="B58" i="35" s="1"/>
  <c r="H67" i="35"/>
  <c r="D67" i="35"/>
  <c r="G67" i="35"/>
  <c r="C67" i="35"/>
  <c r="F67" i="35"/>
  <c r="E67" i="35"/>
  <c r="B67" i="35"/>
  <c r="C85" i="34"/>
  <c r="B85" i="34"/>
  <c r="B83" i="34" a="1"/>
  <c r="B81" i="34" a="1"/>
  <c r="B79" i="34" a="1"/>
  <c r="B77" i="34" a="1"/>
  <c r="B75" i="34" a="1"/>
  <c r="B73" i="34" a="1"/>
  <c r="G65" i="34"/>
  <c r="C65" i="34"/>
  <c r="F65" i="34"/>
  <c r="B65" i="34"/>
  <c r="E65" i="34"/>
  <c r="H65" i="34"/>
  <c r="D65" i="34"/>
  <c r="G59" i="34"/>
  <c r="G58" i="34" s="1"/>
  <c r="C59" i="34"/>
  <c r="C58" i="34" s="1"/>
  <c r="F59" i="34"/>
  <c r="F58" i="34" s="1"/>
  <c r="B59" i="34"/>
  <c r="B58" i="34" s="1"/>
  <c r="E59" i="34"/>
  <c r="E58" i="34" s="1"/>
  <c r="H59" i="34"/>
  <c r="H58" i="34" s="1"/>
  <c r="D59" i="34"/>
  <c r="D58" i="34" s="1"/>
  <c r="G67" i="34"/>
  <c r="C67" i="34"/>
  <c r="F67" i="34"/>
  <c r="B67" i="34"/>
  <c r="E67" i="34"/>
  <c r="H67" i="34"/>
  <c r="D67" i="34"/>
  <c r="G63" i="34"/>
  <c r="C63" i="34"/>
  <c r="F63" i="34"/>
  <c r="B63" i="34"/>
  <c r="E63" i="34"/>
  <c r="H63" i="34"/>
  <c r="D63" i="34"/>
  <c r="G61" i="34"/>
  <c r="C61" i="34"/>
  <c r="F61" i="34"/>
  <c r="B61" i="34"/>
  <c r="E61" i="34"/>
  <c r="H61" i="34"/>
  <c r="D61" i="34"/>
  <c r="C69" i="34"/>
  <c r="B69" i="34"/>
  <c r="G65" i="33"/>
  <c r="C65" i="33"/>
  <c r="F65" i="33"/>
  <c r="B65" i="33"/>
  <c r="E65" i="33"/>
  <c r="H65" i="33"/>
  <c r="D65" i="33"/>
  <c r="G63" i="33"/>
  <c r="C63" i="33"/>
  <c r="F63" i="33"/>
  <c r="B63" i="33"/>
  <c r="E63" i="33"/>
  <c r="H63" i="33"/>
  <c r="D63" i="33"/>
  <c r="B83" i="33" a="1"/>
  <c r="B79" i="33" a="1"/>
  <c r="C85" i="33"/>
  <c r="B85" i="33"/>
  <c r="B81" i="33" a="1"/>
  <c r="B77" i="33" a="1"/>
  <c r="B75" i="33" a="1"/>
  <c r="B73" i="33" a="1"/>
  <c r="G59" i="33"/>
  <c r="G58" i="33" s="1"/>
  <c r="C59" i="33"/>
  <c r="C58" i="33" s="1"/>
  <c r="F59" i="33"/>
  <c r="F58" i="33" s="1"/>
  <c r="B59" i="33"/>
  <c r="B58" i="33" s="1"/>
  <c r="E59" i="33"/>
  <c r="E58" i="33" s="1"/>
  <c r="H59" i="33"/>
  <c r="H58" i="33" s="1"/>
  <c r="D59" i="33"/>
  <c r="D58" i="33" s="1"/>
  <c r="G67" i="33"/>
  <c r="C67" i="33"/>
  <c r="F67" i="33"/>
  <c r="B67" i="33"/>
  <c r="E67" i="33"/>
  <c r="H67" i="33"/>
  <c r="D67" i="33"/>
  <c r="G61" i="33"/>
  <c r="C61" i="33"/>
  <c r="F61" i="33"/>
  <c r="B61" i="33"/>
  <c r="E61" i="33"/>
  <c r="H61" i="33"/>
  <c r="D61" i="33"/>
  <c r="C69" i="33"/>
  <c r="B69" i="33"/>
  <c r="H61" i="32"/>
  <c r="D61" i="32"/>
  <c r="G61" i="32"/>
  <c r="C61" i="32"/>
  <c r="B61" i="32"/>
  <c r="F61" i="32"/>
  <c r="E61" i="32"/>
  <c r="H63" i="32"/>
  <c r="D63" i="32"/>
  <c r="G63" i="32"/>
  <c r="C63" i="32"/>
  <c r="B63" i="32"/>
  <c r="F63" i="32"/>
  <c r="E63" i="32"/>
  <c r="H67" i="32"/>
  <c r="D67" i="32"/>
  <c r="G67" i="32"/>
  <c r="C67" i="32"/>
  <c r="B67" i="32"/>
  <c r="F67" i="32"/>
  <c r="E67" i="32"/>
  <c r="C69" i="32"/>
  <c r="B69" i="32"/>
  <c r="H59" i="32"/>
  <c r="H58" i="32" s="1"/>
  <c r="D59" i="32"/>
  <c r="D58" i="32" s="1"/>
  <c r="G59" i="32"/>
  <c r="G58" i="32" s="1"/>
  <c r="C59" i="32"/>
  <c r="C58" i="32" s="1"/>
  <c r="B59" i="32"/>
  <c r="B58" i="32" s="1"/>
  <c r="F59" i="32"/>
  <c r="F58" i="32" s="1"/>
  <c r="E59" i="32"/>
  <c r="E58" i="32" s="1"/>
  <c r="B85" i="32"/>
  <c r="B81" i="32" a="1"/>
  <c r="B77" i="32" a="1"/>
  <c r="B83" i="32" a="1"/>
  <c r="B79" i="32" a="1"/>
  <c r="C85" i="32"/>
  <c r="B75" i="32" a="1"/>
  <c r="B73" i="32" a="1"/>
  <c r="H65" i="32"/>
  <c r="D65" i="32"/>
  <c r="G65" i="32"/>
  <c r="C65" i="32"/>
  <c r="B65" i="32"/>
  <c r="F65" i="32"/>
  <c r="E65" i="32"/>
  <c r="C69" i="31"/>
  <c r="B69" i="31"/>
  <c r="G59" i="31"/>
  <c r="G58" i="31" s="1"/>
  <c r="C59" i="31"/>
  <c r="C58" i="31" s="1"/>
  <c r="F59" i="31"/>
  <c r="F58" i="31" s="1"/>
  <c r="D59" i="31"/>
  <c r="D58" i="31" s="1"/>
  <c r="H59" i="31"/>
  <c r="H58" i="31" s="1"/>
  <c r="B59" i="31"/>
  <c r="B58" i="31" s="1"/>
  <c r="E59" i="31"/>
  <c r="E58" i="31" s="1"/>
  <c r="G61" i="31"/>
  <c r="C61" i="31"/>
  <c r="D61" i="31"/>
  <c r="F61" i="31"/>
  <c r="E61" i="31"/>
  <c r="H61" i="31"/>
  <c r="B61" i="31"/>
  <c r="G63" i="31"/>
  <c r="C63" i="31"/>
  <c r="F63" i="31"/>
  <c r="D63" i="31"/>
  <c r="H63" i="31"/>
  <c r="B63" i="31"/>
  <c r="E63" i="31"/>
  <c r="B83" i="31" a="1"/>
  <c r="B79" i="31" a="1"/>
  <c r="B81" i="31" a="1"/>
  <c r="B85" i="31"/>
  <c r="B75" i="31" a="1"/>
  <c r="B77" i="31" a="1"/>
  <c r="B73" i="31" a="1"/>
  <c r="C85" i="31"/>
  <c r="G65" i="31"/>
  <c r="C65" i="31"/>
  <c r="D65" i="31"/>
  <c r="F65" i="31"/>
  <c r="E65" i="31"/>
  <c r="H65" i="31"/>
  <c r="B65" i="31"/>
  <c r="G67" i="31"/>
  <c r="C67" i="31"/>
  <c r="F67" i="31"/>
  <c r="D67" i="31"/>
  <c r="H67" i="31"/>
  <c r="B67" i="31"/>
  <c r="E67" i="31"/>
  <c r="G63" i="30"/>
  <c r="C63" i="30"/>
  <c r="E63" i="30"/>
  <c r="D63" i="30"/>
  <c r="B63" i="30"/>
  <c r="H63" i="30"/>
  <c r="F63" i="30"/>
  <c r="B83" i="30" a="1"/>
  <c r="B79" i="30" a="1"/>
  <c r="B85" i="30"/>
  <c r="B81" i="30" a="1"/>
  <c r="B77" i="30" a="1"/>
  <c r="B75" i="30" a="1"/>
  <c r="B73" i="30" a="1"/>
  <c r="C85" i="30"/>
  <c r="G65" i="30"/>
  <c r="C65" i="30"/>
  <c r="E65" i="30"/>
  <c r="D65" i="30"/>
  <c r="B65" i="30"/>
  <c r="H65" i="30"/>
  <c r="F65" i="30"/>
  <c r="G59" i="30"/>
  <c r="G58" i="30" s="1"/>
  <c r="C59" i="30"/>
  <c r="C58" i="30" s="1"/>
  <c r="E59" i="30"/>
  <c r="E58" i="30" s="1"/>
  <c r="D59" i="30"/>
  <c r="D58" i="30" s="1"/>
  <c r="B59" i="30"/>
  <c r="B58" i="30" s="1"/>
  <c r="H59" i="30"/>
  <c r="H58" i="30" s="1"/>
  <c r="F59" i="30"/>
  <c r="F58" i="30" s="1"/>
  <c r="G67" i="30"/>
  <c r="C67" i="30"/>
  <c r="E67" i="30"/>
  <c r="D67" i="30"/>
  <c r="B67" i="30"/>
  <c r="H67" i="30"/>
  <c r="F67" i="30"/>
  <c r="G61" i="30"/>
  <c r="C61" i="30"/>
  <c r="E61" i="30"/>
  <c r="D61" i="30"/>
  <c r="B61" i="30"/>
  <c r="H61" i="30"/>
  <c r="F61" i="30"/>
  <c r="C69" i="30"/>
  <c r="B69" i="30"/>
  <c r="G59" i="29"/>
  <c r="G58" i="29" s="1"/>
  <c r="C59" i="29"/>
  <c r="C58" i="29" s="1"/>
  <c r="F59" i="29"/>
  <c r="F58" i="29" s="1"/>
  <c r="B59" i="29"/>
  <c r="B58" i="29" s="1"/>
  <c r="E59" i="29"/>
  <c r="E58" i="29" s="1"/>
  <c r="H59" i="29"/>
  <c r="H58" i="29" s="1"/>
  <c r="D59" i="29"/>
  <c r="D58" i="29" s="1"/>
  <c r="G61" i="29"/>
  <c r="C61" i="29"/>
  <c r="F61" i="29"/>
  <c r="B61" i="29"/>
  <c r="E61" i="29"/>
  <c r="D61" i="29"/>
  <c r="H61" i="29"/>
  <c r="C69" i="29"/>
  <c r="B69" i="29"/>
  <c r="C85" i="29"/>
  <c r="B85" i="29"/>
  <c r="B83" i="29" a="1"/>
  <c r="B81" i="29" a="1"/>
  <c r="B79" i="29" a="1"/>
  <c r="B77" i="29" a="1"/>
  <c r="B75" i="29" a="1"/>
  <c r="B73" i="29" a="1"/>
  <c r="G63" i="29"/>
  <c r="C63" i="29"/>
  <c r="F63" i="29"/>
  <c r="B63" i="29"/>
  <c r="E63" i="29"/>
  <c r="H63" i="29"/>
  <c r="D63" i="29"/>
  <c r="G67" i="29"/>
  <c r="C67" i="29"/>
  <c r="F67" i="29"/>
  <c r="B67" i="29"/>
  <c r="E67" i="29"/>
  <c r="H67" i="29"/>
  <c r="D67" i="29"/>
  <c r="G65" i="29"/>
  <c r="C65" i="29"/>
  <c r="F65" i="29"/>
  <c r="B65" i="29"/>
  <c r="E65" i="29"/>
  <c r="D65" i="29"/>
  <c r="H65" i="29"/>
  <c r="H59" i="28"/>
  <c r="H58" i="28" s="1"/>
  <c r="D59" i="28"/>
  <c r="D58" i="28" s="1"/>
  <c r="G59" i="28"/>
  <c r="G58" i="28" s="1"/>
  <c r="B59" i="28"/>
  <c r="B58" i="28" s="1"/>
  <c r="F59" i="28"/>
  <c r="F58" i="28" s="1"/>
  <c r="E59" i="28"/>
  <c r="E58" i="28" s="1"/>
  <c r="C59" i="28"/>
  <c r="C58" i="28" s="1"/>
  <c r="H61" i="28"/>
  <c r="D61" i="28"/>
  <c r="E61" i="28"/>
  <c r="C61" i="28"/>
  <c r="B61" i="28"/>
  <c r="G61" i="28"/>
  <c r="F61" i="28"/>
  <c r="H63" i="28"/>
  <c r="D63" i="28"/>
  <c r="G63" i="28"/>
  <c r="B63" i="28"/>
  <c r="F63" i="28"/>
  <c r="E63" i="28"/>
  <c r="C63" i="28"/>
  <c r="C69" i="28"/>
  <c r="B69" i="28"/>
  <c r="H67" i="28"/>
  <c r="D67" i="28"/>
  <c r="G67" i="28"/>
  <c r="B67" i="28"/>
  <c r="F67" i="28"/>
  <c r="C67" i="28"/>
  <c r="E67" i="28"/>
  <c r="C85" i="28"/>
  <c r="B79" i="28" a="1"/>
  <c r="B85" i="28"/>
  <c r="B81" i="28" a="1"/>
  <c r="B75" i="28" a="1"/>
  <c r="B83" i="28" a="1"/>
  <c r="B73" i="28" a="1"/>
  <c r="B77" i="28" a="1"/>
  <c r="H65" i="28"/>
  <c r="D65" i="28"/>
  <c r="E65" i="28"/>
  <c r="C65" i="28"/>
  <c r="G65" i="28"/>
  <c r="F65" i="28"/>
  <c r="B65" i="28"/>
  <c r="H65" i="27"/>
  <c r="D65" i="27"/>
  <c r="C65" i="27"/>
  <c r="F65" i="27"/>
  <c r="G65" i="27"/>
  <c r="B65" i="27"/>
  <c r="E65" i="27"/>
  <c r="H59" i="27"/>
  <c r="H58" i="27" s="1"/>
  <c r="D59" i="27"/>
  <c r="D58" i="27" s="1"/>
  <c r="F59" i="27"/>
  <c r="F58" i="27" s="1"/>
  <c r="C59" i="27"/>
  <c r="C58" i="27" s="1"/>
  <c r="E59" i="27"/>
  <c r="E58" i="27" s="1"/>
  <c r="G59" i="27"/>
  <c r="G58" i="27" s="1"/>
  <c r="B59" i="27"/>
  <c r="B58" i="27" s="1"/>
  <c r="B85" i="27"/>
  <c r="B81" i="27" a="1"/>
  <c r="B75" i="27" a="1"/>
  <c r="B83" i="27" a="1"/>
  <c r="C85" i="27"/>
  <c r="B79" i="27" a="1"/>
  <c r="B77" i="27" a="1"/>
  <c r="B73" i="27" a="1"/>
  <c r="H61" i="27"/>
  <c r="D61" i="27"/>
  <c r="C61" i="27"/>
  <c r="G61" i="27"/>
  <c r="B61" i="27"/>
  <c r="F61" i="27"/>
  <c r="E61" i="27"/>
  <c r="H63" i="27"/>
  <c r="D63" i="27"/>
  <c r="F63" i="27"/>
  <c r="E63" i="27"/>
  <c r="C63" i="27"/>
  <c r="B63" i="27"/>
  <c r="G63" i="27"/>
  <c r="C69" i="27"/>
  <c r="B69" i="27"/>
  <c r="H67" i="27"/>
  <c r="D67" i="27"/>
  <c r="F67" i="27"/>
  <c r="C67" i="27"/>
  <c r="E67" i="27"/>
  <c r="G67" i="27"/>
  <c r="B67" i="27"/>
  <c r="B69" i="26"/>
  <c r="C69" i="26"/>
  <c r="F63" i="26"/>
  <c r="B63" i="26"/>
  <c r="H63" i="26"/>
  <c r="D63" i="26"/>
  <c r="G63" i="26"/>
  <c r="E63" i="26"/>
  <c r="C63" i="26"/>
  <c r="F61" i="26"/>
  <c r="B61" i="26"/>
  <c r="H61" i="26"/>
  <c r="D61" i="26"/>
  <c r="G61" i="26"/>
  <c r="E61" i="26"/>
  <c r="C61" i="26"/>
  <c r="C85" i="26"/>
  <c r="B85" i="26"/>
  <c r="B81" i="26" a="1"/>
  <c r="B83" i="26" a="1"/>
  <c r="B77" i="26" a="1"/>
  <c r="B75" i="26" a="1"/>
  <c r="B73" i="26" a="1"/>
  <c r="B79" i="26" a="1"/>
  <c r="F65" i="26"/>
  <c r="B65" i="26"/>
  <c r="H65" i="26"/>
  <c r="D65" i="26"/>
  <c r="G65" i="26"/>
  <c r="E65" i="26"/>
  <c r="C65" i="26"/>
  <c r="F59" i="26"/>
  <c r="F58" i="26" s="1"/>
  <c r="B59" i="26"/>
  <c r="B58" i="26" s="1"/>
  <c r="H59" i="26"/>
  <c r="H58" i="26" s="1"/>
  <c r="D59" i="26"/>
  <c r="D58" i="26" s="1"/>
  <c r="G59" i="26"/>
  <c r="G58" i="26" s="1"/>
  <c r="E59" i="26"/>
  <c r="E58" i="26" s="1"/>
  <c r="C59" i="26"/>
  <c r="C58" i="26" s="1"/>
  <c r="F67" i="26"/>
  <c r="B67" i="26"/>
  <c r="H67" i="26"/>
  <c r="D67" i="26"/>
  <c r="G67" i="26"/>
  <c r="E67" i="26"/>
  <c r="C67" i="26"/>
  <c r="H59" i="25"/>
  <c r="H58" i="25" s="1"/>
  <c r="D59" i="25"/>
  <c r="D58" i="25" s="1"/>
  <c r="F59" i="25"/>
  <c r="F58" i="25" s="1"/>
  <c r="E59" i="25"/>
  <c r="E58" i="25" s="1"/>
  <c r="C59" i="25"/>
  <c r="C58" i="25" s="1"/>
  <c r="G59" i="25"/>
  <c r="G58" i="25" s="1"/>
  <c r="B59" i="25"/>
  <c r="B58" i="25" s="1"/>
  <c r="H61" i="25"/>
  <c r="D61" i="25"/>
  <c r="C61" i="25"/>
  <c r="G61" i="25"/>
  <c r="B61" i="25"/>
  <c r="F61" i="25"/>
  <c r="E61" i="25"/>
  <c r="H63" i="25"/>
  <c r="D63" i="25"/>
  <c r="F63" i="25"/>
  <c r="E63" i="25"/>
  <c r="C63" i="25"/>
  <c r="G63" i="25"/>
  <c r="B63" i="25"/>
  <c r="C69" i="25"/>
  <c r="B69" i="25"/>
  <c r="B85" i="25"/>
  <c r="B81" i="25" a="1"/>
  <c r="B79" i="25" a="1"/>
  <c r="B77" i="25" a="1"/>
  <c r="B73" i="25" a="1"/>
  <c r="C85" i="25"/>
  <c r="B83" i="25" a="1"/>
  <c r="B75" i="25" a="1"/>
  <c r="H65" i="25"/>
  <c r="D65" i="25"/>
  <c r="C65" i="25"/>
  <c r="G65" i="25"/>
  <c r="B65" i="25"/>
  <c r="F65" i="25"/>
  <c r="E65" i="25"/>
  <c r="H67" i="25"/>
  <c r="D67" i="25"/>
  <c r="F67" i="25"/>
  <c r="E67" i="25"/>
  <c r="C67" i="25"/>
  <c r="G67" i="25"/>
  <c r="B67" i="25"/>
  <c r="G59" i="24"/>
  <c r="G58" i="24" s="1"/>
  <c r="C59" i="24"/>
  <c r="C58" i="24" s="1"/>
  <c r="H59" i="24"/>
  <c r="H58" i="24" s="1"/>
  <c r="B59" i="24"/>
  <c r="B58" i="24" s="1"/>
  <c r="F59" i="24"/>
  <c r="F58" i="24" s="1"/>
  <c r="E59" i="24"/>
  <c r="E58" i="24" s="1"/>
  <c r="D59" i="24"/>
  <c r="D58" i="24" s="1"/>
  <c r="G65" i="24"/>
  <c r="C65" i="24"/>
  <c r="E65" i="24"/>
  <c r="D65" i="24"/>
  <c r="H65" i="24"/>
  <c r="B65" i="24"/>
  <c r="F65" i="24"/>
  <c r="G63" i="24"/>
  <c r="C63" i="24"/>
  <c r="H63" i="24"/>
  <c r="B63" i="24"/>
  <c r="F63" i="24"/>
  <c r="E63" i="24"/>
  <c r="D63" i="24"/>
  <c r="G61" i="24"/>
  <c r="C61" i="24"/>
  <c r="E61" i="24"/>
  <c r="D61" i="24"/>
  <c r="H61" i="24"/>
  <c r="B61" i="24"/>
  <c r="F61" i="24"/>
  <c r="G67" i="24"/>
  <c r="C67" i="24"/>
  <c r="H67" i="24"/>
  <c r="B67" i="24"/>
  <c r="F67" i="24"/>
  <c r="E67" i="24"/>
  <c r="D67" i="24"/>
  <c r="B85" i="24"/>
  <c r="B81" i="24" a="1"/>
  <c r="B83" i="24" a="1"/>
  <c r="B79" i="24" a="1"/>
  <c r="B75" i="24" a="1"/>
  <c r="C85" i="24"/>
  <c r="B77" i="24" a="1"/>
  <c r="B73" i="24" a="1"/>
  <c r="C69" i="24"/>
  <c r="B69" i="24"/>
  <c r="H65" i="23"/>
  <c r="D65" i="23"/>
  <c r="E65" i="23"/>
  <c r="C65" i="23"/>
  <c r="F65" i="23"/>
  <c r="G65" i="23"/>
  <c r="B65" i="23"/>
  <c r="H59" i="23"/>
  <c r="H58" i="23" s="1"/>
  <c r="D59" i="23"/>
  <c r="D58" i="23" s="1"/>
  <c r="G59" i="23"/>
  <c r="G58" i="23" s="1"/>
  <c r="B59" i="23"/>
  <c r="B58" i="23" s="1"/>
  <c r="F59" i="23"/>
  <c r="F58" i="23" s="1"/>
  <c r="C59" i="23"/>
  <c r="C58" i="23" s="1"/>
  <c r="E59" i="23"/>
  <c r="E58" i="23" s="1"/>
  <c r="B83" i="23" a="1"/>
  <c r="B75" i="23" a="1"/>
  <c r="B81" i="23" a="1"/>
  <c r="B85" i="23"/>
  <c r="B79" i="23" a="1"/>
  <c r="C85" i="23"/>
  <c r="B77" i="23" a="1"/>
  <c r="B73" i="23" a="1"/>
  <c r="C69" i="23"/>
  <c r="B69" i="23"/>
  <c r="H61" i="23"/>
  <c r="D61" i="23"/>
  <c r="E61" i="23"/>
  <c r="C61" i="23"/>
  <c r="F61" i="23"/>
  <c r="G61" i="23"/>
  <c r="B61" i="23"/>
  <c r="H67" i="23"/>
  <c r="D67" i="23"/>
  <c r="G67" i="23"/>
  <c r="B67" i="23"/>
  <c r="F67" i="23"/>
  <c r="E67" i="23"/>
  <c r="C67" i="23"/>
  <c r="H63" i="23"/>
  <c r="D63" i="23"/>
  <c r="G63" i="23"/>
  <c r="B63" i="23"/>
  <c r="F63" i="23"/>
  <c r="C63" i="23"/>
  <c r="E63" i="23"/>
  <c r="G59" i="22"/>
  <c r="G58" i="22" s="1"/>
  <c r="C59" i="22"/>
  <c r="C58" i="22" s="1"/>
  <c r="D59" i="22"/>
  <c r="D58" i="22" s="1"/>
  <c r="H59" i="22"/>
  <c r="H58" i="22" s="1"/>
  <c r="B59" i="22"/>
  <c r="B58" i="22" s="1"/>
  <c r="F59" i="22"/>
  <c r="F58" i="22" s="1"/>
  <c r="E59" i="22"/>
  <c r="E58" i="22" s="1"/>
  <c r="B85" i="22"/>
  <c r="B81" i="22" a="1"/>
  <c r="B77" i="22" a="1"/>
  <c r="B75" i="22" a="1"/>
  <c r="B73" i="22" a="1"/>
  <c r="B83" i="22" a="1"/>
  <c r="B79" i="22" a="1"/>
  <c r="C85" i="22"/>
  <c r="G67" i="22"/>
  <c r="C67" i="22"/>
  <c r="D67" i="22"/>
  <c r="H67" i="22"/>
  <c r="B67" i="22"/>
  <c r="F67" i="22"/>
  <c r="E67" i="22"/>
  <c r="C69" i="22"/>
  <c r="B69" i="22"/>
  <c r="G63" i="22"/>
  <c r="C63" i="22"/>
  <c r="D63" i="22"/>
  <c r="H63" i="22"/>
  <c r="B63" i="22"/>
  <c r="F63" i="22"/>
  <c r="E63" i="22"/>
  <c r="G61" i="22"/>
  <c r="C61" i="22"/>
  <c r="F61" i="22"/>
  <c r="E61" i="22"/>
  <c r="D61" i="22"/>
  <c r="B61" i="22"/>
  <c r="H61" i="22"/>
  <c r="G65" i="22"/>
  <c r="C65" i="22"/>
  <c r="F65" i="22"/>
  <c r="E65" i="22"/>
  <c r="H65" i="22"/>
  <c r="D65" i="22"/>
  <c r="B65" i="22"/>
  <c r="H67" i="21"/>
  <c r="D67" i="21"/>
  <c r="G67" i="21"/>
  <c r="C67" i="21"/>
  <c r="E67" i="21"/>
  <c r="B67" i="21"/>
  <c r="F67" i="21"/>
  <c r="H61" i="21"/>
  <c r="D61" i="21"/>
  <c r="G61" i="21"/>
  <c r="C61" i="21"/>
  <c r="E61" i="21"/>
  <c r="B61" i="21"/>
  <c r="F61" i="21"/>
  <c r="C69" i="21"/>
  <c r="B69" i="21"/>
  <c r="B83" i="21" a="1"/>
  <c r="B79" i="21" a="1"/>
  <c r="B77" i="21" a="1"/>
  <c r="B75" i="21" a="1"/>
  <c r="B73" i="21" a="1"/>
  <c r="C85" i="21"/>
  <c r="B85" i="21"/>
  <c r="B81" i="21" a="1"/>
  <c r="H63" i="21"/>
  <c r="D63" i="21"/>
  <c r="G63" i="21"/>
  <c r="C63" i="21"/>
  <c r="E63" i="21"/>
  <c r="B63" i="21"/>
  <c r="F63" i="21"/>
  <c r="H59" i="21"/>
  <c r="H58" i="21" s="1"/>
  <c r="D59" i="21"/>
  <c r="D58" i="21" s="1"/>
  <c r="G59" i="21"/>
  <c r="G58" i="21" s="1"/>
  <c r="C59" i="21"/>
  <c r="C58" i="21" s="1"/>
  <c r="E59" i="21"/>
  <c r="E58" i="21" s="1"/>
  <c r="B59" i="21"/>
  <c r="B58" i="21" s="1"/>
  <c r="F59" i="21"/>
  <c r="F58" i="21" s="1"/>
  <c r="H65" i="21"/>
  <c r="D65" i="21"/>
  <c r="G65" i="21"/>
  <c r="C65" i="21"/>
  <c r="E65" i="21"/>
  <c r="B65" i="21"/>
  <c r="F65" i="21"/>
  <c r="H59" i="20"/>
  <c r="H58" i="20" s="1"/>
  <c r="D59" i="20"/>
  <c r="D58" i="20" s="1"/>
  <c r="G59" i="20"/>
  <c r="G58" i="20" s="1"/>
  <c r="B59" i="20"/>
  <c r="B58" i="20" s="1"/>
  <c r="F59" i="20"/>
  <c r="F58" i="20" s="1"/>
  <c r="C59" i="20"/>
  <c r="C58" i="20" s="1"/>
  <c r="E59" i="20"/>
  <c r="E58" i="20" s="1"/>
  <c r="H61" i="20"/>
  <c r="D61" i="20"/>
  <c r="E61" i="20"/>
  <c r="C61" i="20"/>
  <c r="F61" i="20"/>
  <c r="G61" i="20"/>
  <c r="B61" i="20"/>
  <c r="H63" i="20"/>
  <c r="D63" i="20"/>
  <c r="G63" i="20"/>
  <c r="B63" i="20"/>
  <c r="F63" i="20"/>
  <c r="E63" i="20"/>
  <c r="C63" i="20"/>
  <c r="C69" i="20"/>
  <c r="B69" i="20"/>
  <c r="H67" i="20"/>
  <c r="D67" i="20"/>
  <c r="G67" i="20"/>
  <c r="B67" i="20"/>
  <c r="F67" i="20"/>
  <c r="C67" i="20"/>
  <c r="E67" i="20"/>
  <c r="C85" i="20"/>
  <c r="B85" i="20"/>
  <c r="B81" i="20" a="1"/>
  <c r="B75" i="20" a="1"/>
  <c r="B83" i="20" a="1"/>
  <c r="B73" i="20" a="1"/>
  <c r="B79" i="20" a="1"/>
  <c r="B77" i="20" a="1"/>
  <c r="H65" i="20"/>
  <c r="D65" i="20"/>
  <c r="E65" i="20"/>
  <c r="C65" i="20"/>
  <c r="B65" i="20"/>
  <c r="G65" i="20"/>
  <c r="F65" i="20"/>
  <c r="G61" i="19"/>
  <c r="C61" i="19"/>
  <c r="F61" i="19"/>
  <c r="B61" i="19"/>
  <c r="E61" i="19"/>
  <c r="H61" i="19"/>
  <c r="D61" i="19"/>
  <c r="G63" i="19"/>
  <c r="C63" i="19"/>
  <c r="F63" i="19"/>
  <c r="B63" i="19"/>
  <c r="E63" i="19"/>
  <c r="D63" i="19"/>
  <c r="H63" i="19"/>
  <c r="C69" i="19"/>
  <c r="B69" i="19"/>
  <c r="G65" i="19"/>
  <c r="C65" i="19"/>
  <c r="F65" i="19"/>
  <c r="B65" i="19"/>
  <c r="E65" i="19"/>
  <c r="H65" i="19"/>
  <c r="D65" i="19"/>
  <c r="C85" i="19"/>
  <c r="B85" i="19"/>
  <c r="B83" i="19" a="1"/>
  <c r="B81" i="19" a="1"/>
  <c r="B79" i="19" a="1"/>
  <c r="B77" i="19" a="1"/>
  <c r="B75" i="19" a="1"/>
  <c r="B73" i="19" a="1"/>
  <c r="G59" i="19"/>
  <c r="G58" i="19" s="1"/>
  <c r="C59" i="19"/>
  <c r="C58" i="19" s="1"/>
  <c r="F59" i="19"/>
  <c r="F58" i="19" s="1"/>
  <c r="B59" i="19"/>
  <c r="B58" i="19" s="1"/>
  <c r="E59" i="19"/>
  <c r="E58" i="19" s="1"/>
  <c r="D59" i="19"/>
  <c r="D58" i="19" s="1"/>
  <c r="H59" i="19"/>
  <c r="H58" i="19" s="1"/>
  <c r="G67" i="19"/>
  <c r="C67" i="19"/>
  <c r="F67" i="19"/>
  <c r="B67" i="19"/>
  <c r="E67" i="19"/>
  <c r="D67" i="19"/>
  <c r="H67" i="19"/>
  <c r="F67" i="18"/>
  <c r="B67" i="18"/>
  <c r="E67" i="18"/>
  <c r="D67" i="18"/>
  <c r="G67" i="18"/>
  <c r="H67" i="18"/>
  <c r="C67" i="18"/>
  <c r="B69" i="18"/>
  <c r="C69" i="18"/>
  <c r="F65" i="18"/>
  <c r="B65" i="18"/>
  <c r="H65" i="18"/>
  <c r="C65" i="18"/>
  <c r="G65" i="18"/>
  <c r="D65" i="18"/>
  <c r="E65" i="18"/>
  <c r="F63" i="18"/>
  <c r="B63" i="18"/>
  <c r="E63" i="18"/>
  <c r="D63" i="18"/>
  <c r="G63" i="18"/>
  <c r="H63" i="18"/>
  <c r="C63" i="18"/>
  <c r="B83" i="18" a="1"/>
  <c r="B79" i="18" a="1"/>
  <c r="C85" i="18"/>
  <c r="B85" i="18"/>
  <c r="B81" i="18" a="1"/>
  <c r="B77" i="18" a="1"/>
  <c r="B75" i="18" a="1"/>
  <c r="B73" i="18" a="1"/>
  <c r="F59" i="18"/>
  <c r="F58" i="18" s="1"/>
  <c r="B59" i="18"/>
  <c r="B58" i="18" s="1"/>
  <c r="E59" i="18"/>
  <c r="E58" i="18" s="1"/>
  <c r="D59" i="18"/>
  <c r="D58" i="18" s="1"/>
  <c r="G59" i="18"/>
  <c r="G58" i="18" s="1"/>
  <c r="H59" i="18"/>
  <c r="H58" i="18" s="1"/>
  <c r="C59" i="18"/>
  <c r="C58" i="18" s="1"/>
  <c r="F61" i="18"/>
  <c r="B61" i="18"/>
  <c r="H61" i="18"/>
  <c r="C61" i="18"/>
  <c r="G61" i="18"/>
  <c r="D61" i="18"/>
  <c r="E61" i="18"/>
  <c r="H67" i="17"/>
  <c r="D67" i="17"/>
  <c r="C67" i="17"/>
  <c r="G67" i="17"/>
  <c r="B67" i="17"/>
  <c r="E67" i="17"/>
  <c r="F67" i="17"/>
  <c r="H61" i="17"/>
  <c r="D61" i="17"/>
  <c r="F61" i="17"/>
  <c r="E61" i="17"/>
  <c r="B61" i="17"/>
  <c r="G61" i="17"/>
  <c r="C61" i="17"/>
  <c r="C85" i="17"/>
  <c r="B79" i="17" a="1"/>
  <c r="B85" i="17"/>
  <c r="B81" i="17" a="1"/>
  <c r="B75" i="17" a="1"/>
  <c r="B73" i="17" a="1"/>
  <c r="B83" i="17" a="1"/>
  <c r="B77" i="17" a="1"/>
  <c r="H63" i="17"/>
  <c r="D63" i="17"/>
  <c r="C63" i="17"/>
  <c r="G63" i="17"/>
  <c r="B63" i="17"/>
  <c r="E63" i="17"/>
  <c r="F63" i="17"/>
  <c r="H65" i="17"/>
  <c r="D65" i="17"/>
  <c r="F65" i="17"/>
  <c r="E65" i="17"/>
  <c r="G65" i="17"/>
  <c r="B65" i="17"/>
  <c r="C65" i="17"/>
  <c r="H59" i="17"/>
  <c r="H58" i="17" s="1"/>
  <c r="D59" i="17"/>
  <c r="D58" i="17" s="1"/>
  <c r="C59" i="17"/>
  <c r="C58" i="17" s="1"/>
  <c r="G59" i="17"/>
  <c r="G58" i="17" s="1"/>
  <c r="B59" i="17"/>
  <c r="B58" i="17" s="1"/>
  <c r="E59" i="17"/>
  <c r="E58" i="17" s="1"/>
  <c r="F59" i="17"/>
  <c r="F58" i="17" s="1"/>
  <c r="B69" i="17"/>
  <c r="C69" i="17"/>
  <c r="H63" i="16"/>
  <c r="D63" i="16"/>
  <c r="G63" i="16"/>
  <c r="C63" i="16"/>
  <c r="B63" i="16"/>
  <c r="F63" i="16"/>
  <c r="E63" i="16"/>
  <c r="H65" i="16"/>
  <c r="D65" i="16"/>
  <c r="G65" i="16"/>
  <c r="C65" i="16"/>
  <c r="B65" i="16"/>
  <c r="F65" i="16"/>
  <c r="E65" i="16"/>
  <c r="H59" i="16"/>
  <c r="H58" i="16" s="1"/>
  <c r="D59" i="16"/>
  <c r="D58" i="16" s="1"/>
  <c r="C59" i="16"/>
  <c r="C58" i="16" s="1"/>
  <c r="G59" i="16"/>
  <c r="G58" i="16" s="1"/>
  <c r="B59" i="16"/>
  <c r="B58" i="16" s="1"/>
  <c r="F59" i="16"/>
  <c r="F58" i="16" s="1"/>
  <c r="E59" i="16"/>
  <c r="E58" i="16" s="1"/>
  <c r="H67" i="16"/>
  <c r="D67" i="16"/>
  <c r="G67" i="16"/>
  <c r="C67" i="16"/>
  <c r="B67" i="16"/>
  <c r="F67" i="16"/>
  <c r="E67" i="16"/>
  <c r="C85" i="16"/>
  <c r="B85" i="16"/>
  <c r="B83" i="16" a="1"/>
  <c r="B79" i="16" a="1"/>
  <c r="B81" i="16" a="1"/>
  <c r="B77" i="16" a="1"/>
  <c r="B75" i="16" a="1"/>
  <c r="B73" i="16" a="1"/>
  <c r="H61" i="16"/>
  <c r="D61" i="16"/>
  <c r="G61" i="16"/>
  <c r="C61" i="16"/>
  <c r="B61" i="16"/>
  <c r="F61" i="16"/>
  <c r="E61" i="16"/>
  <c r="C69" i="16"/>
  <c r="B69" i="16"/>
  <c r="F61" i="15"/>
  <c r="B61" i="15"/>
  <c r="H61" i="15"/>
  <c r="D61" i="15"/>
  <c r="E61" i="15"/>
  <c r="C61" i="15"/>
  <c r="G61" i="15"/>
  <c r="F63" i="15"/>
  <c r="B63" i="15"/>
  <c r="H63" i="15"/>
  <c r="D63" i="15"/>
  <c r="E63" i="15"/>
  <c r="C63" i="15"/>
  <c r="G63" i="15"/>
  <c r="F65" i="15"/>
  <c r="B65" i="15"/>
  <c r="H65" i="15"/>
  <c r="D65" i="15"/>
  <c r="E65" i="15"/>
  <c r="C65" i="15"/>
  <c r="G65" i="15"/>
  <c r="C85" i="15"/>
  <c r="B77" i="15" a="1"/>
  <c r="B75" i="15" a="1"/>
  <c r="B73" i="15" a="1"/>
  <c r="B79" i="15" a="1"/>
  <c r="B83" i="15" a="1"/>
  <c r="B85" i="15"/>
  <c r="B81" i="15" a="1"/>
  <c r="B69" i="15"/>
  <c r="C69" i="15"/>
  <c r="F59" i="15"/>
  <c r="F58" i="15" s="1"/>
  <c r="B59" i="15"/>
  <c r="B58" i="15" s="1"/>
  <c r="H59" i="15"/>
  <c r="H58" i="15" s="1"/>
  <c r="D59" i="15"/>
  <c r="D58" i="15" s="1"/>
  <c r="E59" i="15"/>
  <c r="E58" i="15" s="1"/>
  <c r="C59" i="15"/>
  <c r="C58" i="15" s="1"/>
  <c r="G59" i="15"/>
  <c r="G58" i="15" s="1"/>
  <c r="F67" i="15"/>
  <c r="B67" i="15"/>
  <c r="H67" i="15"/>
  <c r="D67" i="15"/>
  <c r="E67" i="15"/>
  <c r="C67" i="15"/>
  <c r="G67" i="15"/>
  <c r="B75" i="14" a="1"/>
  <c r="B75" i="14" s="1"/>
  <c r="B83" i="14" a="1"/>
  <c r="B81" i="14" a="1"/>
  <c r="E81" i="14" s="1"/>
  <c r="B67" i="14"/>
  <c r="D63" i="14"/>
  <c r="C61" i="14"/>
  <c r="H61" i="14"/>
  <c r="B61" i="14"/>
  <c r="F63" i="14"/>
  <c r="B73" i="14" a="1"/>
  <c r="B79" i="14" a="1"/>
  <c r="D79" i="14" s="1"/>
  <c r="G61" i="14"/>
  <c r="C85" i="14"/>
  <c r="B85" i="14"/>
  <c r="F61" i="14"/>
  <c r="D61" i="14"/>
  <c r="B77" i="14" a="1"/>
  <c r="C77" i="14" s="1"/>
  <c r="H63" i="14"/>
  <c r="B69" i="14"/>
  <c r="D65" i="14"/>
  <c r="H59" i="14"/>
  <c r="H58" i="14" s="1"/>
  <c r="G67" i="14"/>
  <c r="D67" i="14"/>
  <c r="C63" i="14"/>
  <c r="G63" i="14"/>
  <c r="B63" i="14"/>
  <c r="G65" i="14"/>
  <c r="B65" i="14"/>
  <c r="C65" i="14"/>
  <c r="F59" i="14"/>
  <c r="F58" i="14" s="1"/>
  <c r="E59" i="14"/>
  <c r="E58" i="14" s="1"/>
  <c r="C59" i="14"/>
  <c r="C58" i="14" s="1"/>
  <c r="H67" i="14"/>
  <c r="G59" i="14"/>
  <c r="G58" i="14" s="1"/>
  <c r="H65" i="14"/>
  <c r="C67" i="14"/>
  <c r="F65" i="14"/>
  <c r="D59" i="14"/>
  <c r="D58" i="14" s="1"/>
  <c r="E67" i="14"/>
  <c r="G77" i="58" l="1"/>
  <c r="F77" i="58"/>
  <c r="A77" i="58"/>
  <c r="E77" i="58"/>
  <c r="D77" i="58"/>
  <c r="C77" i="58"/>
  <c r="B77" i="58"/>
  <c r="B83" i="58"/>
  <c r="A83" i="58"/>
  <c r="A99" i="58"/>
  <c r="A91" i="58" a="1"/>
  <c r="A93" i="58" a="1"/>
  <c r="B99" i="58"/>
  <c r="A87" i="58" a="1"/>
  <c r="A97" i="58" a="1"/>
  <c r="A95" i="58" a="1"/>
  <c r="A89" i="58" a="1"/>
  <c r="G73" i="58"/>
  <c r="G72" i="58" s="1"/>
  <c r="F73" i="58"/>
  <c r="F72" i="58" s="1"/>
  <c r="E73" i="58"/>
  <c r="E72" i="58" s="1"/>
  <c r="D73" i="58"/>
  <c r="D72" i="58" s="1"/>
  <c r="C73" i="58"/>
  <c r="C72" i="58" s="1"/>
  <c r="B73" i="58"/>
  <c r="B72" i="58" s="1"/>
  <c r="A73" i="58"/>
  <c r="A72" i="58" s="1"/>
  <c r="G75" i="58"/>
  <c r="F75" i="58"/>
  <c r="E75" i="58"/>
  <c r="D75" i="58"/>
  <c r="B75" i="58"/>
  <c r="C75" i="58"/>
  <c r="A75" i="58"/>
  <c r="G81" i="58"/>
  <c r="F81" i="58"/>
  <c r="E81" i="58"/>
  <c r="D81" i="58"/>
  <c r="B81" i="58"/>
  <c r="C81" i="58"/>
  <c r="A81" i="58"/>
  <c r="G79" i="58"/>
  <c r="F79" i="58"/>
  <c r="C79" i="58"/>
  <c r="B79" i="58"/>
  <c r="A79" i="58"/>
  <c r="D79" i="58"/>
  <c r="E79" i="58"/>
  <c r="A73" i="57"/>
  <c r="A72" i="57" s="1"/>
  <c r="G73" i="57"/>
  <c r="G72" i="57" s="1"/>
  <c r="F73" i="57"/>
  <c r="F72" i="57" s="1"/>
  <c r="E73" i="57"/>
  <c r="E72" i="57" s="1"/>
  <c r="C73" i="57"/>
  <c r="C72" i="57" s="1"/>
  <c r="B73" i="57"/>
  <c r="B72" i="57" s="1"/>
  <c r="D73" i="57"/>
  <c r="D72" i="57" s="1"/>
  <c r="A77" i="57"/>
  <c r="G77" i="57"/>
  <c r="F77" i="57"/>
  <c r="E77" i="57"/>
  <c r="C77" i="57"/>
  <c r="B77" i="57"/>
  <c r="D77" i="57"/>
  <c r="A81" i="57"/>
  <c r="G81" i="57"/>
  <c r="F81" i="57"/>
  <c r="E81" i="57"/>
  <c r="C81" i="57"/>
  <c r="B81" i="57"/>
  <c r="D81" i="57"/>
  <c r="A75" i="57"/>
  <c r="G75" i="57"/>
  <c r="F75" i="57"/>
  <c r="E75" i="57"/>
  <c r="B75" i="57"/>
  <c r="D75" i="57"/>
  <c r="C75" i="57"/>
  <c r="A99" i="57"/>
  <c r="B99" i="57"/>
  <c r="A91" i="57" a="1"/>
  <c r="A93" i="57" a="1"/>
  <c r="A89" i="57" a="1"/>
  <c r="A97" i="57" a="1"/>
  <c r="A87" i="57" a="1"/>
  <c r="A95" i="57" a="1"/>
  <c r="A79" i="57"/>
  <c r="G79" i="57"/>
  <c r="F79" i="57"/>
  <c r="E79" i="57"/>
  <c r="B79" i="57"/>
  <c r="D79" i="57"/>
  <c r="C79" i="57"/>
  <c r="A83" i="57"/>
  <c r="B83" i="57"/>
  <c r="A77" i="56"/>
  <c r="G77" i="56"/>
  <c r="F77" i="56"/>
  <c r="E77" i="56"/>
  <c r="D77" i="56"/>
  <c r="C77" i="56"/>
  <c r="B77" i="56"/>
  <c r="A79" i="56"/>
  <c r="G79" i="56"/>
  <c r="F79" i="56"/>
  <c r="E79" i="56"/>
  <c r="D79" i="56"/>
  <c r="C79" i="56"/>
  <c r="B79" i="56"/>
  <c r="A75" i="56"/>
  <c r="G75" i="56"/>
  <c r="D75" i="56"/>
  <c r="C75" i="56"/>
  <c r="B75" i="56"/>
  <c r="F75" i="56"/>
  <c r="E75" i="56"/>
  <c r="A83" i="56"/>
  <c r="B83" i="56"/>
  <c r="A73" i="56"/>
  <c r="A72" i="56" s="1"/>
  <c r="G73" i="56"/>
  <c r="G72" i="56" s="1"/>
  <c r="B73" i="56"/>
  <c r="B72" i="56" s="1"/>
  <c r="F73" i="56"/>
  <c r="F72" i="56" s="1"/>
  <c r="E73" i="56"/>
  <c r="E72" i="56" s="1"/>
  <c r="D73" i="56"/>
  <c r="D72" i="56" s="1"/>
  <c r="C73" i="56"/>
  <c r="C72" i="56" s="1"/>
  <c r="A99" i="56"/>
  <c r="A93" i="56" a="1"/>
  <c r="B99" i="56"/>
  <c r="A95" i="56" a="1"/>
  <c r="A87" i="56" a="1"/>
  <c r="A97" i="56" a="1"/>
  <c r="A89" i="56" a="1"/>
  <c r="A91" i="56" a="1"/>
  <c r="A81" i="56"/>
  <c r="G81" i="56"/>
  <c r="B81" i="56"/>
  <c r="F81" i="56"/>
  <c r="D81" i="56"/>
  <c r="C81" i="56"/>
  <c r="E81" i="56"/>
  <c r="F81" i="55"/>
  <c r="B81" i="55"/>
  <c r="C81" i="55"/>
  <c r="E81" i="55"/>
  <c r="D81" i="55"/>
  <c r="G81" i="55"/>
  <c r="A81" i="55"/>
  <c r="F77" i="55"/>
  <c r="B77" i="55"/>
  <c r="C77" i="55"/>
  <c r="G77" i="55"/>
  <c r="E77" i="55"/>
  <c r="D77" i="55"/>
  <c r="A77" i="55"/>
  <c r="F75" i="55"/>
  <c r="B75" i="55"/>
  <c r="C75" i="55"/>
  <c r="G75" i="55"/>
  <c r="A75" i="55"/>
  <c r="E75" i="55"/>
  <c r="D75" i="55"/>
  <c r="A99" i="55"/>
  <c r="A87" i="55" a="1"/>
  <c r="A97" i="55" a="1"/>
  <c r="A95" i="55" a="1"/>
  <c r="A91" i="55" a="1"/>
  <c r="B99" i="55"/>
  <c r="A93" i="55" a="1"/>
  <c r="A89" i="55" a="1"/>
  <c r="F79" i="55"/>
  <c r="B79" i="55"/>
  <c r="E79" i="55"/>
  <c r="G79" i="55"/>
  <c r="D79" i="55"/>
  <c r="C79" i="55"/>
  <c r="A79" i="55"/>
  <c r="F73" i="55"/>
  <c r="F72" i="55" s="1"/>
  <c r="B73" i="55"/>
  <c r="B72" i="55" s="1"/>
  <c r="E73" i="55"/>
  <c r="E72" i="55" s="1"/>
  <c r="D73" i="55"/>
  <c r="D72" i="55" s="1"/>
  <c r="C73" i="55"/>
  <c r="C72" i="55" s="1"/>
  <c r="A73" i="55"/>
  <c r="A72" i="55" s="1"/>
  <c r="G73" i="55"/>
  <c r="G72" i="55" s="1"/>
  <c r="B83" i="55"/>
  <c r="A83" i="55"/>
  <c r="F73" i="54"/>
  <c r="F72" i="54" s="1"/>
  <c r="B73" i="54"/>
  <c r="B72" i="54" s="1"/>
  <c r="C73" i="54"/>
  <c r="C72" i="54" s="1"/>
  <c r="G73" i="54"/>
  <c r="G72" i="54" s="1"/>
  <c r="A73" i="54"/>
  <c r="A72" i="54" s="1"/>
  <c r="E73" i="54"/>
  <c r="E72" i="54" s="1"/>
  <c r="D73" i="54"/>
  <c r="D72" i="54" s="1"/>
  <c r="F75" i="54"/>
  <c r="B75" i="54"/>
  <c r="E75" i="54"/>
  <c r="D75" i="54"/>
  <c r="C75" i="54"/>
  <c r="A75" i="54"/>
  <c r="G75" i="54"/>
  <c r="F77" i="54"/>
  <c r="B77" i="54"/>
  <c r="C77" i="54"/>
  <c r="D77" i="54"/>
  <c r="A77" i="54"/>
  <c r="G77" i="54"/>
  <c r="E77" i="54"/>
  <c r="F79" i="54"/>
  <c r="B79" i="54"/>
  <c r="E79" i="54"/>
  <c r="C79" i="54"/>
  <c r="A79" i="54"/>
  <c r="G79" i="54"/>
  <c r="D79" i="54"/>
  <c r="A95" i="54" a="1"/>
  <c r="A93" i="54" a="1"/>
  <c r="B99" i="54"/>
  <c r="A91" i="54" a="1"/>
  <c r="A89" i="54" a="1"/>
  <c r="A99" i="54"/>
  <c r="A87" i="54" a="1"/>
  <c r="A97" i="54" a="1"/>
  <c r="B83" i="54"/>
  <c r="A83" i="54"/>
  <c r="F81" i="54"/>
  <c r="B81" i="54"/>
  <c r="C81" i="54"/>
  <c r="A81" i="54"/>
  <c r="G81" i="54"/>
  <c r="E81" i="54"/>
  <c r="D81" i="54"/>
  <c r="F77" i="53"/>
  <c r="B77" i="53"/>
  <c r="G77" i="53"/>
  <c r="A77" i="53"/>
  <c r="C77" i="53"/>
  <c r="E77" i="53"/>
  <c r="D77" i="53"/>
  <c r="A91" i="53" a="1"/>
  <c r="B99" i="53"/>
  <c r="A93" i="53" a="1"/>
  <c r="A99" i="53"/>
  <c r="A95" i="53" a="1"/>
  <c r="A87" i="53" a="1"/>
  <c r="A97" i="53" a="1"/>
  <c r="A89" i="53" a="1"/>
  <c r="E75" i="53"/>
  <c r="A75" i="53"/>
  <c r="D75" i="53"/>
  <c r="C75" i="53"/>
  <c r="G75" i="53"/>
  <c r="B75" i="53"/>
  <c r="F75" i="53"/>
  <c r="F79" i="53"/>
  <c r="B79" i="53"/>
  <c r="D79" i="53"/>
  <c r="A79" i="53"/>
  <c r="G79" i="53"/>
  <c r="E79" i="53"/>
  <c r="C79" i="53"/>
  <c r="F81" i="53"/>
  <c r="B81" i="53"/>
  <c r="G81" i="53"/>
  <c r="A81" i="53"/>
  <c r="E81" i="53"/>
  <c r="D81" i="53"/>
  <c r="C81" i="53"/>
  <c r="E73" i="53"/>
  <c r="E72" i="53" s="1"/>
  <c r="A73" i="53"/>
  <c r="A72" i="53" s="1"/>
  <c r="G73" i="53"/>
  <c r="G72" i="53" s="1"/>
  <c r="B73" i="53"/>
  <c r="B72" i="53" s="1"/>
  <c r="F73" i="53"/>
  <c r="F72" i="53" s="1"/>
  <c r="D73" i="53"/>
  <c r="D72" i="53" s="1"/>
  <c r="C73" i="53"/>
  <c r="C72" i="53" s="1"/>
  <c r="B83" i="53"/>
  <c r="A83" i="53"/>
  <c r="F81" i="52"/>
  <c r="B81" i="52"/>
  <c r="E81" i="52"/>
  <c r="A81" i="52"/>
  <c r="G81" i="52"/>
  <c r="C81" i="52"/>
  <c r="D81" i="52"/>
  <c r="A99" i="52"/>
  <c r="A97" i="52" a="1"/>
  <c r="A95" i="52" a="1"/>
  <c r="A91" i="52" a="1"/>
  <c r="A87" i="52" a="1"/>
  <c r="A93" i="52" a="1"/>
  <c r="A89" i="52" a="1"/>
  <c r="B99" i="52"/>
  <c r="G73" i="52"/>
  <c r="G72" i="52" s="1"/>
  <c r="C73" i="52"/>
  <c r="C72" i="52" s="1"/>
  <c r="E73" i="52"/>
  <c r="E72" i="52" s="1"/>
  <c r="A73" i="52"/>
  <c r="A72" i="52" s="1"/>
  <c r="B73" i="52"/>
  <c r="B72" i="52" s="1"/>
  <c r="F73" i="52"/>
  <c r="F72" i="52" s="1"/>
  <c r="D73" i="52"/>
  <c r="D72" i="52" s="1"/>
  <c r="F79" i="52"/>
  <c r="B79" i="52"/>
  <c r="E79" i="52"/>
  <c r="A79" i="52"/>
  <c r="G79" i="52"/>
  <c r="C79" i="52"/>
  <c r="D79" i="52"/>
  <c r="G75" i="52"/>
  <c r="C75" i="52"/>
  <c r="E75" i="52"/>
  <c r="A75" i="52"/>
  <c r="B75" i="52"/>
  <c r="F75" i="52"/>
  <c r="D75" i="52"/>
  <c r="B83" i="52"/>
  <c r="A83" i="52"/>
  <c r="F77" i="52"/>
  <c r="B77" i="52"/>
  <c r="E77" i="52"/>
  <c r="A77" i="52"/>
  <c r="G77" i="52"/>
  <c r="C77" i="52"/>
  <c r="D77" i="52"/>
  <c r="G77" i="51"/>
  <c r="C77" i="51"/>
  <c r="D77" i="51"/>
  <c r="H77" i="51"/>
  <c r="B77" i="51"/>
  <c r="E77" i="51"/>
  <c r="F77" i="51"/>
  <c r="G75" i="51"/>
  <c r="C75" i="51"/>
  <c r="F75" i="51"/>
  <c r="B75" i="51"/>
  <c r="H75" i="51"/>
  <c r="D75" i="51"/>
  <c r="E75" i="51"/>
  <c r="B97" i="51" a="1"/>
  <c r="B93" i="51" a="1"/>
  <c r="B89" i="51" a="1"/>
  <c r="B91" i="51" a="1"/>
  <c r="B99" i="51"/>
  <c r="B95" i="51" a="1"/>
  <c r="B87" i="51" a="1"/>
  <c r="C99" i="51"/>
  <c r="G81" i="51"/>
  <c r="C81" i="51"/>
  <c r="D81" i="51"/>
  <c r="H81" i="51"/>
  <c r="B81" i="51"/>
  <c r="E81" i="51"/>
  <c r="F81" i="51"/>
  <c r="G79" i="51"/>
  <c r="C79" i="51"/>
  <c r="F79" i="51"/>
  <c r="E79" i="51"/>
  <c r="B79" i="51"/>
  <c r="H79" i="51"/>
  <c r="D79" i="51"/>
  <c r="G73" i="51"/>
  <c r="G72" i="51" s="1"/>
  <c r="C73" i="51"/>
  <c r="C72" i="51" s="1"/>
  <c r="F73" i="51"/>
  <c r="F72" i="51" s="1"/>
  <c r="B73" i="51"/>
  <c r="B72" i="51" s="1"/>
  <c r="H73" i="51"/>
  <c r="H72" i="51" s="1"/>
  <c r="D73" i="51"/>
  <c r="D72" i="51" s="1"/>
  <c r="E73" i="51"/>
  <c r="E72" i="51" s="1"/>
  <c r="C83" i="51"/>
  <c r="B83" i="51"/>
  <c r="A91" i="50" a="1"/>
  <c r="B99" i="50"/>
  <c r="A93" i="50" a="1"/>
  <c r="A99" i="50"/>
  <c r="A95" i="50" a="1"/>
  <c r="A87" i="50" a="1"/>
  <c r="A97" i="50" a="1"/>
  <c r="A89" i="50" a="1"/>
  <c r="E75" i="50"/>
  <c r="A75" i="50"/>
  <c r="G75" i="50"/>
  <c r="B75" i="50"/>
  <c r="F75" i="50"/>
  <c r="D75" i="50"/>
  <c r="C75" i="50"/>
  <c r="E73" i="50"/>
  <c r="E72" i="50" s="1"/>
  <c r="A73" i="50"/>
  <c r="A72" i="50" s="1"/>
  <c r="D73" i="50"/>
  <c r="D72" i="50" s="1"/>
  <c r="C73" i="50"/>
  <c r="C72" i="50" s="1"/>
  <c r="G73" i="50"/>
  <c r="G72" i="50" s="1"/>
  <c r="B73" i="50"/>
  <c r="B72" i="50" s="1"/>
  <c r="F73" i="50"/>
  <c r="F72" i="50" s="1"/>
  <c r="F81" i="50"/>
  <c r="B81" i="50"/>
  <c r="E81" i="50"/>
  <c r="A81" i="50"/>
  <c r="C81" i="50"/>
  <c r="D81" i="50"/>
  <c r="G81" i="50"/>
  <c r="B83" i="50"/>
  <c r="A83" i="50"/>
  <c r="F77" i="50"/>
  <c r="B77" i="50"/>
  <c r="E77" i="50"/>
  <c r="A77" i="50"/>
  <c r="C77" i="50"/>
  <c r="G77" i="50"/>
  <c r="D77" i="50"/>
  <c r="F79" i="50"/>
  <c r="B79" i="50"/>
  <c r="E79" i="50"/>
  <c r="A79" i="50"/>
  <c r="C79" i="50"/>
  <c r="D79" i="50"/>
  <c r="G79" i="50"/>
  <c r="A97" i="49" a="1"/>
  <c r="A93" i="49" a="1"/>
  <c r="A89" i="49" a="1"/>
  <c r="A99" i="49"/>
  <c r="A87" i="49" a="1"/>
  <c r="A95" i="49" a="1"/>
  <c r="B99" i="49"/>
  <c r="A91" i="49" a="1"/>
  <c r="E81" i="49"/>
  <c r="A81" i="49"/>
  <c r="G81" i="49"/>
  <c r="B81" i="49"/>
  <c r="F81" i="49"/>
  <c r="D81" i="49"/>
  <c r="C81" i="49"/>
  <c r="E73" i="49"/>
  <c r="E72" i="49" s="1"/>
  <c r="A73" i="49"/>
  <c r="A72" i="49" s="1"/>
  <c r="F73" i="49"/>
  <c r="F72" i="49" s="1"/>
  <c r="D73" i="49"/>
  <c r="D72" i="49" s="1"/>
  <c r="C73" i="49"/>
  <c r="C72" i="49" s="1"/>
  <c r="G73" i="49"/>
  <c r="G72" i="49" s="1"/>
  <c r="B73" i="49"/>
  <c r="B72" i="49" s="1"/>
  <c r="A83" i="49"/>
  <c r="B83" i="49"/>
  <c r="E77" i="49"/>
  <c r="A77" i="49"/>
  <c r="G77" i="49"/>
  <c r="B77" i="49"/>
  <c r="F77" i="49"/>
  <c r="D77" i="49"/>
  <c r="C77" i="49"/>
  <c r="E75" i="49"/>
  <c r="A75" i="49"/>
  <c r="C75" i="49"/>
  <c r="G75" i="49"/>
  <c r="B75" i="49"/>
  <c r="F75" i="49"/>
  <c r="D75" i="49"/>
  <c r="E79" i="49"/>
  <c r="A79" i="49"/>
  <c r="D79" i="49"/>
  <c r="G79" i="49"/>
  <c r="F79" i="49"/>
  <c r="C79" i="49"/>
  <c r="B79" i="49"/>
  <c r="C99" i="48"/>
  <c r="B91" i="48" a="1"/>
  <c r="B89" i="48" a="1"/>
  <c r="B99" i="48"/>
  <c r="B87" i="48" a="1"/>
  <c r="B93" i="48" a="1"/>
  <c r="B95" i="48" a="1"/>
  <c r="B97" i="48" a="1"/>
  <c r="G75" i="48"/>
  <c r="C75" i="48"/>
  <c r="E75" i="48"/>
  <c r="D75" i="48"/>
  <c r="F75" i="48"/>
  <c r="B75" i="48"/>
  <c r="H75" i="48"/>
  <c r="G81" i="48"/>
  <c r="C81" i="48"/>
  <c r="D81" i="48"/>
  <c r="H81" i="48"/>
  <c r="F81" i="48"/>
  <c r="B81" i="48"/>
  <c r="E81" i="48"/>
  <c r="G73" i="48"/>
  <c r="G72" i="48" s="1"/>
  <c r="C73" i="48"/>
  <c r="C72" i="48" s="1"/>
  <c r="H73" i="48"/>
  <c r="H72" i="48" s="1"/>
  <c r="B73" i="48"/>
  <c r="B72" i="48" s="1"/>
  <c r="F73" i="48"/>
  <c r="F72" i="48" s="1"/>
  <c r="E73" i="48"/>
  <c r="E72" i="48" s="1"/>
  <c r="D73" i="48"/>
  <c r="D72" i="48" s="1"/>
  <c r="G79" i="48"/>
  <c r="C79" i="48"/>
  <c r="F79" i="48"/>
  <c r="B79" i="48"/>
  <c r="H79" i="48"/>
  <c r="E79" i="48"/>
  <c r="D79" i="48"/>
  <c r="G77" i="48"/>
  <c r="C77" i="48"/>
  <c r="D77" i="48"/>
  <c r="B77" i="48"/>
  <c r="H77" i="48"/>
  <c r="E77" i="48"/>
  <c r="F77" i="48"/>
  <c r="C83" i="48"/>
  <c r="B83" i="48"/>
  <c r="B99" i="47"/>
  <c r="B93" i="47" a="1"/>
  <c r="C99" i="47"/>
  <c r="B95" i="47" a="1"/>
  <c r="B87" i="47" a="1"/>
  <c r="B97" i="47" a="1"/>
  <c r="B89" i="47" a="1"/>
  <c r="B91" i="47" a="1"/>
  <c r="C81" i="47"/>
  <c r="H81" i="47"/>
  <c r="B81" i="47"/>
  <c r="G81" i="47"/>
  <c r="F81" i="47"/>
  <c r="E81" i="47"/>
  <c r="D81" i="47"/>
  <c r="C79" i="47"/>
  <c r="H79" i="47"/>
  <c r="G79" i="47"/>
  <c r="F79" i="47"/>
  <c r="E79" i="47"/>
  <c r="D79" i="47"/>
  <c r="B79" i="47"/>
  <c r="C77" i="47"/>
  <c r="H77" i="47"/>
  <c r="G77" i="47"/>
  <c r="F77" i="47"/>
  <c r="E77" i="47"/>
  <c r="D77" i="47"/>
  <c r="B77" i="47"/>
  <c r="C75" i="47"/>
  <c r="H75" i="47"/>
  <c r="E75" i="47"/>
  <c r="D75" i="47"/>
  <c r="B75" i="47"/>
  <c r="G75" i="47"/>
  <c r="F75" i="47"/>
  <c r="C83" i="47"/>
  <c r="B83" i="47"/>
  <c r="C73" i="47"/>
  <c r="C72" i="47" s="1"/>
  <c r="H73" i="47"/>
  <c r="H72" i="47" s="1"/>
  <c r="B73" i="47"/>
  <c r="B72" i="47" s="1"/>
  <c r="F73" i="47"/>
  <c r="F72" i="47" s="1"/>
  <c r="G73" i="47"/>
  <c r="G72" i="47" s="1"/>
  <c r="E73" i="47"/>
  <c r="E72" i="47" s="1"/>
  <c r="D73" i="47"/>
  <c r="D72" i="47" s="1"/>
  <c r="B77" i="46"/>
  <c r="H77" i="46"/>
  <c r="G77" i="46"/>
  <c r="C77" i="46"/>
  <c r="E77" i="46"/>
  <c r="F77" i="46"/>
  <c r="D77" i="46"/>
  <c r="B81" i="46"/>
  <c r="H81" i="46"/>
  <c r="G81" i="46"/>
  <c r="D81" i="46"/>
  <c r="E81" i="46"/>
  <c r="F81" i="46"/>
  <c r="C81" i="46"/>
  <c r="B79" i="46"/>
  <c r="H79" i="46"/>
  <c r="G79" i="46"/>
  <c r="F79" i="46"/>
  <c r="E79" i="46"/>
  <c r="D79" i="46"/>
  <c r="C79" i="46"/>
  <c r="B73" i="46"/>
  <c r="B72" i="46" s="1"/>
  <c r="H73" i="46"/>
  <c r="H72" i="46" s="1"/>
  <c r="G73" i="46"/>
  <c r="G72" i="46" s="1"/>
  <c r="E73" i="46"/>
  <c r="E72" i="46" s="1"/>
  <c r="D73" i="46"/>
  <c r="D72" i="46" s="1"/>
  <c r="C73" i="46"/>
  <c r="C72" i="46" s="1"/>
  <c r="F73" i="46"/>
  <c r="F72" i="46" s="1"/>
  <c r="B75" i="46"/>
  <c r="H75" i="46"/>
  <c r="G75" i="46"/>
  <c r="C75" i="46"/>
  <c r="F75" i="46"/>
  <c r="D75" i="46"/>
  <c r="E75" i="46"/>
  <c r="B99" i="46"/>
  <c r="B91" i="46" a="1"/>
  <c r="B97" i="46" a="1"/>
  <c r="B95" i="46" a="1"/>
  <c r="B87" i="46" a="1"/>
  <c r="B89" i="46" a="1"/>
  <c r="B93" i="46" a="1"/>
  <c r="C99" i="46"/>
  <c r="B83" i="46"/>
  <c r="C83" i="46"/>
  <c r="C73" i="45"/>
  <c r="C72" i="45" s="1"/>
  <c r="H73" i="45"/>
  <c r="H72" i="45" s="1"/>
  <c r="G73" i="45"/>
  <c r="G72" i="45" s="1"/>
  <c r="F73" i="45"/>
  <c r="F72" i="45" s="1"/>
  <c r="E73" i="45"/>
  <c r="E72" i="45" s="1"/>
  <c r="B73" i="45"/>
  <c r="B72" i="45" s="1"/>
  <c r="D73" i="45"/>
  <c r="D72" i="45" s="1"/>
  <c r="C77" i="45"/>
  <c r="H77" i="45"/>
  <c r="G77" i="45"/>
  <c r="F77" i="45"/>
  <c r="E77" i="45"/>
  <c r="B77" i="45"/>
  <c r="D77" i="45"/>
  <c r="B99" i="45"/>
  <c r="C99" i="45"/>
  <c r="B97" i="45" a="1"/>
  <c r="B93" i="45" a="1"/>
  <c r="B89" i="45" a="1"/>
  <c r="B87" i="45" a="1"/>
  <c r="B95" i="45" a="1"/>
  <c r="B91" i="45" a="1"/>
  <c r="C81" i="45"/>
  <c r="H81" i="45"/>
  <c r="G81" i="45"/>
  <c r="F81" i="45"/>
  <c r="E81" i="45"/>
  <c r="D81" i="45"/>
  <c r="B81" i="45"/>
  <c r="C75" i="45"/>
  <c r="H75" i="45"/>
  <c r="G75" i="45"/>
  <c r="F75" i="45"/>
  <c r="E75" i="45"/>
  <c r="D75" i="45"/>
  <c r="B75" i="45"/>
  <c r="C79" i="45"/>
  <c r="H79" i="45"/>
  <c r="G79" i="45"/>
  <c r="F79" i="45"/>
  <c r="E79" i="45"/>
  <c r="D79" i="45"/>
  <c r="B79" i="45"/>
  <c r="C83" i="45"/>
  <c r="B83" i="45"/>
  <c r="C77" i="43"/>
  <c r="B77" i="43"/>
  <c r="H77" i="43"/>
  <c r="G77" i="43"/>
  <c r="F77" i="43"/>
  <c r="E77" i="43"/>
  <c r="D77" i="43"/>
  <c r="C73" i="43"/>
  <c r="C72" i="43" s="1"/>
  <c r="B73" i="43"/>
  <c r="B72" i="43" s="1"/>
  <c r="H73" i="43"/>
  <c r="H72" i="43" s="1"/>
  <c r="F73" i="43"/>
  <c r="F72" i="43" s="1"/>
  <c r="E73" i="43"/>
  <c r="E72" i="43" s="1"/>
  <c r="G73" i="43"/>
  <c r="G72" i="43" s="1"/>
  <c r="D73" i="43"/>
  <c r="D72" i="43" s="1"/>
  <c r="C79" i="43"/>
  <c r="B79" i="43"/>
  <c r="H79" i="43"/>
  <c r="D79" i="43"/>
  <c r="G79" i="43"/>
  <c r="F79" i="43"/>
  <c r="E79" i="43"/>
  <c r="C83" i="43"/>
  <c r="B83" i="43"/>
  <c r="B99" i="43"/>
  <c r="B87" i="43" a="1"/>
  <c r="B93" i="43" a="1"/>
  <c r="B89" i="43" a="1"/>
  <c r="C99" i="43"/>
  <c r="B95" i="43" a="1"/>
  <c r="B91" i="43" a="1"/>
  <c r="B97" i="43" a="1"/>
  <c r="C81" i="43"/>
  <c r="B81" i="43"/>
  <c r="H81" i="43"/>
  <c r="G81" i="43"/>
  <c r="F81" i="43"/>
  <c r="E81" i="43"/>
  <c r="D81" i="43"/>
  <c r="C75" i="43"/>
  <c r="B75" i="43"/>
  <c r="H75" i="43"/>
  <c r="F75" i="43"/>
  <c r="E75" i="43"/>
  <c r="D75" i="43"/>
  <c r="G75" i="43"/>
  <c r="C83" i="42"/>
  <c r="B83" i="42"/>
  <c r="G77" i="42"/>
  <c r="F77" i="42"/>
  <c r="D77" i="42"/>
  <c r="H77" i="42"/>
  <c r="C77" i="42"/>
  <c r="E77" i="42"/>
  <c r="B77" i="42"/>
  <c r="G81" i="42"/>
  <c r="F81" i="42"/>
  <c r="D81" i="42"/>
  <c r="H81" i="42"/>
  <c r="E81" i="42"/>
  <c r="C81" i="42"/>
  <c r="B81" i="42"/>
  <c r="G75" i="42"/>
  <c r="F75" i="42"/>
  <c r="D75" i="42"/>
  <c r="E75" i="42"/>
  <c r="C75" i="42"/>
  <c r="B75" i="42"/>
  <c r="H75" i="42"/>
  <c r="B93" i="42" a="1"/>
  <c r="B89" i="42" a="1"/>
  <c r="C99" i="42"/>
  <c r="B99" i="42"/>
  <c r="B91" i="42" a="1"/>
  <c r="B95" i="42" a="1"/>
  <c r="B97" i="42" a="1"/>
  <c r="B87" i="42" a="1"/>
  <c r="G79" i="42"/>
  <c r="F79" i="42"/>
  <c r="D79" i="42"/>
  <c r="B79" i="42"/>
  <c r="C79" i="42"/>
  <c r="H79" i="42"/>
  <c r="E79" i="42"/>
  <c r="G73" i="42"/>
  <c r="G72" i="42" s="1"/>
  <c r="F73" i="42"/>
  <c r="F72" i="42" s="1"/>
  <c r="D73" i="42"/>
  <c r="D72" i="42" s="1"/>
  <c r="H73" i="42"/>
  <c r="H72" i="42" s="1"/>
  <c r="C73" i="42"/>
  <c r="C72" i="42" s="1"/>
  <c r="B73" i="42"/>
  <c r="B72" i="42" s="1"/>
  <c r="E73" i="42"/>
  <c r="E72" i="42" s="1"/>
  <c r="G75" i="41"/>
  <c r="C75" i="41"/>
  <c r="F75" i="41"/>
  <c r="B75" i="41"/>
  <c r="E75" i="41"/>
  <c r="H75" i="41"/>
  <c r="D75" i="41"/>
  <c r="C83" i="41"/>
  <c r="B83" i="41"/>
  <c r="G77" i="41"/>
  <c r="C77" i="41"/>
  <c r="F77" i="41"/>
  <c r="B77" i="41"/>
  <c r="E77" i="41"/>
  <c r="D77" i="41"/>
  <c r="H77" i="41"/>
  <c r="G79" i="41"/>
  <c r="C79" i="41"/>
  <c r="F79" i="41"/>
  <c r="B79" i="41"/>
  <c r="E79" i="41"/>
  <c r="D79" i="41"/>
  <c r="H79" i="41"/>
  <c r="B97" i="41" a="1"/>
  <c r="B95" i="41" a="1"/>
  <c r="B93" i="41" a="1"/>
  <c r="B91" i="41" a="1"/>
  <c r="B89" i="41" a="1"/>
  <c r="B87" i="41" a="1"/>
  <c r="C99" i="41"/>
  <c r="B99" i="41"/>
  <c r="G73" i="41"/>
  <c r="G72" i="41" s="1"/>
  <c r="C73" i="41"/>
  <c r="C72" i="41" s="1"/>
  <c r="F73" i="41"/>
  <c r="F72" i="41" s="1"/>
  <c r="B73" i="41"/>
  <c r="B72" i="41" s="1"/>
  <c r="E73" i="41"/>
  <c r="E72" i="41" s="1"/>
  <c r="H73" i="41"/>
  <c r="H72" i="41" s="1"/>
  <c r="D73" i="41"/>
  <c r="D72" i="41" s="1"/>
  <c r="G81" i="41"/>
  <c r="C81" i="41"/>
  <c r="F81" i="41"/>
  <c r="B81" i="41"/>
  <c r="E81" i="41"/>
  <c r="D81" i="41"/>
  <c r="H81" i="41"/>
  <c r="B97" i="40" a="1"/>
  <c r="B95" i="40" a="1"/>
  <c r="B93" i="40" a="1"/>
  <c r="B91" i="40" a="1"/>
  <c r="B89" i="40" a="1"/>
  <c r="B87" i="40" a="1"/>
  <c r="B99" i="40"/>
  <c r="C99" i="40"/>
  <c r="G77" i="40"/>
  <c r="C77" i="40"/>
  <c r="F77" i="40"/>
  <c r="B77" i="40"/>
  <c r="E77" i="40"/>
  <c r="D77" i="40"/>
  <c r="H77" i="40"/>
  <c r="G79" i="40"/>
  <c r="C79" i="40"/>
  <c r="F79" i="40"/>
  <c r="B79" i="40"/>
  <c r="E79" i="40"/>
  <c r="D79" i="40"/>
  <c r="H79" i="40"/>
  <c r="G73" i="40"/>
  <c r="G72" i="40" s="1"/>
  <c r="C73" i="40"/>
  <c r="C72" i="40" s="1"/>
  <c r="F73" i="40"/>
  <c r="F72" i="40" s="1"/>
  <c r="B73" i="40"/>
  <c r="B72" i="40" s="1"/>
  <c r="H73" i="40"/>
  <c r="H72" i="40" s="1"/>
  <c r="D73" i="40"/>
  <c r="D72" i="40" s="1"/>
  <c r="E73" i="40"/>
  <c r="E72" i="40" s="1"/>
  <c r="G81" i="40"/>
  <c r="C81" i="40"/>
  <c r="F81" i="40"/>
  <c r="B81" i="40"/>
  <c r="E81" i="40"/>
  <c r="H81" i="40"/>
  <c r="D81" i="40"/>
  <c r="G75" i="40"/>
  <c r="C75" i="40"/>
  <c r="F75" i="40"/>
  <c r="B75" i="40"/>
  <c r="H75" i="40"/>
  <c r="D75" i="40"/>
  <c r="E75" i="40"/>
  <c r="C83" i="40"/>
  <c r="B83" i="40"/>
  <c r="H73" i="39"/>
  <c r="H72" i="39" s="1"/>
  <c r="D73" i="39"/>
  <c r="D72" i="39" s="1"/>
  <c r="F73" i="39"/>
  <c r="F72" i="39" s="1"/>
  <c r="B73" i="39"/>
  <c r="B72" i="39" s="1"/>
  <c r="C73" i="39"/>
  <c r="C72" i="39" s="1"/>
  <c r="G73" i="39"/>
  <c r="G72" i="39" s="1"/>
  <c r="E73" i="39"/>
  <c r="E72" i="39" s="1"/>
  <c r="B99" i="39"/>
  <c r="B95" i="39" a="1"/>
  <c r="B91" i="39" a="1"/>
  <c r="B87" i="39" a="1"/>
  <c r="B97" i="39" a="1"/>
  <c r="B93" i="39" a="1"/>
  <c r="B89" i="39" a="1"/>
  <c r="C99" i="39"/>
  <c r="G81" i="39"/>
  <c r="C81" i="39"/>
  <c r="E81" i="39"/>
  <c r="H81" i="39"/>
  <c r="B81" i="39"/>
  <c r="F81" i="39"/>
  <c r="D81" i="39"/>
  <c r="H75" i="39"/>
  <c r="D75" i="39"/>
  <c r="F75" i="39"/>
  <c r="B75" i="39"/>
  <c r="C75" i="39"/>
  <c r="G75" i="39"/>
  <c r="E75" i="39"/>
  <c r="G77" i="39"/>
  <c r="C77" i="39"/>
  <c r="E77" i="39"/>
  <c r="H77" i="39"/>
  <c r="B77" i="39"/>
  <c r="D77" i="39"/>
  <c r="F77" i="39"/>
  <c r="G79" i="39"/>
  <c r="C79" i="39"/>
  <c r="H79" i="39"/>
  <c r="B79" i="39"/>
  <c r="E79" i="39"/>
  <c r="F79" i="39"/>
  <c r="D79" i="39"/>
  <c r="C83" i="39"/>
  <c r="B83" i="39"/>
  <c r="C83" i="38"/>
  <c r="B83" i="38"/>
  <c r="G81" i="38"/>
  <c r="C81" i="38"/>
  <c r="F81" i="38"/>
  <c r="B81" i="38"/>
  <c r="H81" i="38"/>
  <c r="E81" i="38"/>
  <c r="D81" i="38"/>
  <c r="G77" i="38"/>
  <c r="C77" i="38"/>
  <c r="F77" i="38"/>
  <c r="B77" i="38"/>
  <c r="H77" i="38"/>
  <c r="D77" i="38"/>
  <c r="E77" i="38"/>
  <c r="H73" i="38"/>
  <c r="H72" i="38" s="1"/>
  <c r="D73" i="38"/>
  <c r="D72" i="38" s="1"/>
  <c r="G73" i="38"/>
  <c r="G72" i="38" s="1"/>
  <c r="B73" i="38"/>
  <c r="B72" i="38" s="1"/>
  <c r="F73" i="38"/>
  <c r="F72" i="38" s="1"/>
  <c r="C73" i="38"/>
  <c r="C72" i="38" s="1"/>
  <c r="E73" i="38"/>
  <c r="E72" i="38" s="1"/>
  <c r="B99" i="38"/>
  <c r="B89" i="38" a="1"/>
  <c r="B97" i="38" a="1"/>
  <c r="B95" i="38" a="1"/>
  <c r="B91" i="38" a="1"/>
  <c r="B87" i="38" a="1"/>
  <c r="C99" i="38"/>
  <c r="B93" i="38" a="1"/>
  <c r="G79" i="38"/>
  <c r="C79" i="38"/>
  <c r="F79" i="38"/>
  <c r="B79" i="38"/>
  <c r="H79" i="38"/>
  <c r="E79" i="38"/>
  <c r="D79" i="38"/>
  <c r="H75" i="38"/>
  <c r="D75" i="38"/>
  <c r="E75" i="38"/>
  <c r="F75" i="38"/>
  <c r="C75" i="38"/>
  <c r="G75" i="38"/>
  <c r="B75" i="38"/>
  <c r="F75" i="37"/>
  <c r="B75" i="37"/>
  <c r="D75" i="37"/>
  <c r="H75" i="37"/>
  <c r="C75" i="37"/>
  <c r="G75" i="37"/>
  <c r="E75" i="37"/>
  <c r="G77" i="37"/>
  <c r="C77" i="37"/>
  <c r="F77" i="37"/>
  <c r="B77" i="37"/>
  <c r="D77" i="37"/>
  <c r="H77" i="37"/>
  <c r="E77" i="37"/>
  <c r="F73" i="37"/>
  <c r="F72" i="37" s="1"/>
  <c r="B73" i="37"/>
  <c r="B72" i="37" s="1"/>
  <c r="G73" i="37"/>
  <c r="G72" i="37" s="1"/>
  <c r="E73" i="37"/>
  <c r="E72" i="37" s="1"/>
  <c r="D73" i="37"/>
  <c r="D72" i="37" s="1"/>
  <c r="H73" i="37"/>
  <c r="H72" i="37" s="1"/>
  <c r="C73" i="37"/>
  <c r="C72" i="37" s="1"/>
  <c r="G79" i="37"/>
  <c r="C79" i="37"/>
  <c r="F79" i="37"/>
  <c r="B79" i="37"/>
  <c r="H79" i="37"/>
  <c r="D79" i="37"/>
  <c r="E79" i="37"/>
  <c r="G81" i="37"/>
  <c r="C81" i="37"/>
  <c r="F81" i="37"/>
  <c r="B81" i="37"/>
  <c r="H81" i="37"/>
  <c r="D81" i="37"/>
  <c r="E81" i="37"/>
  <c r="B99" i="37"/>
  <c r="B97" i="37" a="1"/>
  <c r="B93" i="37" a="1"/>
  <c r="B89" i="37" a="1"/>
  <c r="B95" i="37" a="1"/>
  <c r="B91" i="37" a="1"/>
  <c r="B87" i="37" a="1"/>
  <c r="C99" i="37"/>
  <c r="C83" i="37"/>
  <c r="B83" i="37"/>
  <c r="H73" i="36"/>
  <c r="H72" i="36" s="1"/>
  <c r="D73" i="36"/>
  <c r="D72" i="36" s="1"/>
  <c r="G73" i="36"/>
  <c r="G72" i="36" s="1"/>
  <c r="C73" i="36"/>
  <c r="C72" i="36" s="1"/>
  <c r="F73" i="36"/>
  <c r="F72" i="36" s="1"/>
  <c r="E73" i="36"/>
  <c r="E72" i="36" s="1"/>
  <c r="B73" i="36"/>
  <c r="B72" i="36" s="1"/>
  <c r="B99" i="36"/>
  <c r="B95" i="36" a="1"/>
  <c r="B91" i="36" a="1"/>
  <c r="B87" i="36" a="1"/>
  <c r="B93" i="36" a="1"/>
  <c r="C99" i="36"/>
  <c r="B97" i="36" a="1"/>
  <c r="B89" i="36" a="1"/>
  <c r="C83" i="36"/>
  <c r="B83" i="36"/>
  <c r="H75" i="36"/>
  <c r="D75" i="36"/>
  <c r="G75" i="36"/>
  <c r="C75" i="36"/>
  <c r="F75" i="36"/>
  <c r="E75" i="36"/>
  <c r="B75" i="36"/>
  <c r="G81" i="36"/>
  <c r="C81" i="36"/>
  <c r="E81" i="36"/>
  <c r="D81" i="36"/>
  <c r="B81" i="36"/>
  <c r="H81" i="36"/>
  <c r="F81" i="36"/>
  <c r="G77" i="36"/>
  <c r="C77" i="36"/>
  <c r="E77" i="36"/>
  <c r="D77" i="36"/>
  <c r="H77" i="36"/>
  <c r="F77" i="36"/>
  <c r="B77" i="36"/>
  <c r="G79" i="36"/>
  <c r="C79" i="36"/>
  <c r="H79" i="36"/>
  <c r="B79" i="36"/>
  <c r="F79" i="36"/>
  <c r="E79" i="36"/>
  <c r="D79" i="36"/>
  <c r="H75" i="35"/>
  <c r="D75" i="35"/>
  <c r="G75" i="35"/>
  <c r="C75" i="35"/>
  <c r="B75" i="35"/>
  <c r="F75" i="35"/>
  <c r="E75" i="35"/>
  <c r="C99" i="35"/>
  <c r="B99" i="35"/>
  <c r="B95" i="35" a="1"/>
  <c r="B91" i="35" a="1"/>
  <c r="B87" i="35" a="1"/>
  <c r="B89" i="35" a="1"/>
  <c r="B93" i="35" a="1"/>
  <c r="B97" i="35" a="1"/>
  <c r="H73" i="35"/>
  <c r="H72" i="35" s="1"/>
  <c r="D73" i="35"/>
  <c r="D72" i="35" s="1"/>
  <c r="G73" i="35"/>
  <c r="G72" i="35" s="1"/>
  <c r="C73" i="35"/>
  <c r="C72" i="35" s="1"/>
  <c r="B73" i="35"/>
  <c r="B72" i="35" s="1"/>
  <c r="F73" i="35"/>
  <c r="F72" i="35" s="1"/>
  <c r="E73" i="35"/>
  <c r="E72" i="35" s="1"/>
  <c r="G77" i="35"/>
  <c r="C77" i="35"/>
  <c r="E77" i="35"/>
  <c r="D77" i="35"/>
  <c r="B77" i="35"/>
  <c r="H77" i="35"/>
  <c r="F77" i="35"/>
  <c r="G81" i="35"/>
  <c r="C81" i="35"/>
  <c r="E81" i="35"/>
  <c r="D81" i="35"/>
  <c r="H81" i="35"/>
  <c r="F81" i="35"/>
  <c r="B81" i="35"/>
  <c r="G79" i="35"/>
  <c r="C79" i="35"/>
  <c r="H79" i="35"/>
  <c r="B79" i="35"/>
  <c r="F79" i="35"/>
  <c r="E79" i="35"/>
  <c r="D79" i="35"/>
  <c r="C83" i="35"/>
  <c r="B83" i="35"/>
  <c r="G79" i="34"/>
  <c r="C79" i="34"/>
  <c r="F79" i="34"/>
  <c r="B79" i="34"/>
  <c r="E79" i="34"/>
  <c r="D79" i="34"/>
  <c r="H79" i="34"/>
  <c r="G73" i="34"/>
  <c r="G72" i="34" s="1"/>
  <c r="C73" i="34"/>
  <c r="C72" i="34" s="1"/>
  <c r="F73" i="34"/>
  <c r="F72" i="34" s="1"/>
  <c r="B73" i="34"/>
  <c r="B72" i="34" s="1"/>
  <c r="E73" i="34"/>
  <c r="E72" i="34" s="1"/>
  <c r="D73" i="34"/>
  <c r="D72" i="34" s="1"/>
  <c r="H73" i="34"/>
  <c r="H72" i="34" s="1"/>
  <c r="G81" i="34"/>
  <c r="C81" i="34"/>
  <c r="F81" i="34"/>
  <c r="B81" i="34"/>
  <c r="E81" i="34"/>
  <c r="D81" i="34"/>
  <c r="H81" i="34"/>
  <c r="G75" i="34"/>
  <c r="C75" i="34"/>
  <c r="F75" i="34"/>
  <c r="B75" i="34"/>
  <c r="E75" i="34"/>
  <c r="H75" i="34"/>
  <c r="D75" i="34"/>
  <c r="C83" i="34"/>
  <c r="B83" i="34"/>
  <c r="B97" i="34" a="1"/>
  <c r="B95" i="34" a="1"/>
  <c r="B93" i="34" a="1"/>
  <c r="B91" i="34" a="1"/>
  <c r="B89" i="34" a="1"/>
  <c r="B87" i="34" a="1"/>
  <c r="C99" i="34"/>
  <c r="B99" i="34"/>
  <c r="G77" i="34"/>
  <c r="C77" i="34"/>
  <c r="F77" i="34"/>
  <c r="B77" i="34"/>
  <c r="E77" i="34"/>
  <c r="D77" i="34"/>
  <c r="H77" i="34"/>
  <c r="F79" i="33"/>
  <c r="B79" i="33"/>
  <c r="G79" i="33"/>
  <c r="E79" i="33"/>
  <c r="D79" i="33"/>
  <c r="H79" i="33"/>
  <c r="C79" i="33"/>
  <c r="F81" i="33"/>
  <c r="B81" i="33"/>
  <c r="D81" i="33"/>
  <c r="H81" i="33"/>
  <c r="C81" i="33"/>
  <c r="G81" i="33"/>
  <c r="E81" i="33"/>
  <c r="B83" i="33"/>
  <c r="C83" i="33"/>
  <c r="G73" i="33"/>
  <c r="G72" i="33" s="1"/>
  <c r="C73" i="33"/>
  <c r="C72" i="33" s="1"/>
  <c r="F73" i="33"/>
  <c r="F72" i="33" s="1"/>
  <c r="B73" i="33"/>
  <c r="B72" i="33" s="1"/>
  <c r="E73" i="33"/>
  <c r="E72" i="33" s="1"/>
  <c r="H73" i="33"/>
  <c r="H72" i="33" s="1"/>
  <c r="D73" i="33"/>
  <c r="D72" i="33" s="1"/>
  <c r="F77" i="33"/>
  <c r="B77" i="33"/>
  <c r="D77" i="33"/>
  <c r="H77" i="33"/>
  <c r="C77" i="33"/>
  <c r="G77" i="33"/>
  <c r="E77" i="33"/>
  <c r="B97" i="33" a="1"/>
  <c r="B95" i="33" a="1"/>
  <c r="B93" i="33" a="1"/>
  <c r="B91" i="33" a="1"/>
  <c r="B89" i="33" a="1"/>
  <c r="B87" i="33" a="1"/>
  <c r="C99" i="33"/>
  <c r="B99" i="33"/>
  <c r="G75" i="33"/>
  <c r="C75" i="33"/>
  <c r="F75" i="33"/>
  <c r="B75" i="33"/>
  <c r="E75" i="33"/>
  <c r="D75" i="33"/>
  <c r="H75" i="33"/>
  <c r="C99" i="32"/>
  <c r="B99" i="32"/>
  <c r="B95" i="32" a="1"/>
  <c r="B91" i="32" a="1"/>
  <c r="B87" i="32" a="1"/>
  <c r="B93" i="32" a="1"/>
  <c r="B97" i="32" a="1"/>
  <c r="B89" i="32" a="1"/>
  <c r="G79" i="32"/>
  <c r="C79" i="32"/>
  <c r="D79" i="32"/>
  <c r="H79" i="32"/>
  <c r="B79" i="32"/>
  <c r="F79" i="32"/>
  <c r="E79" i="32"/>
  <c r="G81" i="32"/>
  <c r="C81" i="32"/>
  <c r="F81" i="32"/>
  <c r="E81" i="32"/>
  <c r="D81" i="32"/>
  <c r="B81" i="32"/>
  <c r="H81" i="32"/>
  <c r="H73" i="32"/>
  <c r="H72" i="32" s="1"/>
  <c r="D73" i="32"/>
  <c r="D72" i="32" s="1"/>
  <c r="G73" i="32"/>
  <c r="G72" i="32" s="1"/>
  <c r="C73" i="32"/>
  <c r="C72" i="32" s="1"/>
  <c r="F73" i="32"/>
  <c r="F72" i="32" s="1"/>
  <c r="E73" i="32"/>
  <c r="E72" i="32" s="1"/>
  <c r="B73" i="32"/>
  <c r="B72" i="32" s="1"/>
  <c r="C83" i="32"/>
  <c r="B83" i="32"/>
  <c r="H75" i="32"/>
  <c r="D75" i="32"/>
  <c r="G75" i="32"/>
  <c r="C75" i="32"/>
  <c r="F75" i="32"/>
  <c r="E75" i="32"/>
  <c r="B75" i="32"/>
  <c r="G77" i="32"/>
  <c r="C77" i="32"/>
  <c r="F77" i="32"/>
  <c r="E77" i="32"/>
  <c r="D77" i="32"/>
  <c r="H77" i="32"/>
  <c r="B77" i="32"/>
  <c r="G75" i="31"/>
  <c r="C75" i="31"/>
  <c r="E75" i="31"/>
  <c r="H75" i="31"/>
  <c r="B75" i="31"/>
  <c r="F75" i="31"/>
  <c r="D75" i="31"/>
  <c r="C83" i="31"/>
  <c r="B83" i="31"/>
  <c r="C99" i="31"/>
  <c r="B91" i="31" a="1"/>
  <c r="B89" i="31" a="1"/>
  <c r="B93" i="31" a="1"/>
  <c r="B87" i="31" a="1"/>
  <c r="B99" i="31"/>
  <c r="B95" i="31" a="1"/>
  <c r="B97" i="31" a="1"/>
  <c r="G73" i="31"/>
  <c r="G72" i="31" s="1"/>
  <c r="C73" i="31"/>
  <c r="C72" i="31" s="1"/>
  <c r="H73" i="31"/>
  <c r="H72" i="31" s="1"/>
  <c r="B73" i="31"/>
  <c r="B72" i="31" s="1"/>
  <c r="E73" i="31"/>
  <c r="E72" i="31" s="1"/>
  <c r="D73" i="31"/>
  <c r="D72" i="31" s="1"/>
  <c r="F73" i="31"/>
  <c r="F72" i="31" s="1"/>
  <c r="G81" i="31"/>
  <c r="C81" i="31"/>
  <c r="D81" i="31"/>
  <c r="H81" i="31"/>
  <c r="E81" i="31"/>
  <c r="B81" i="31"/>
  <c r="F81" i="31"/>
  <c r="G77" i="31"/>
  <c r="C77" i="31"/>
  <c r="D77" i="31"/>
  <c r="B77" i="31"/>
  <c r="F77" i="31"/>
  <c r="E77" i="31"/>
  <c r="H77" i="31"/>
  <c r="G79" i="31"/>
  <c r="C79" i="31"/>
  <c r="F79" i="31"/>
  <c r="B79" i="31"/>
  <c r="E79" i="31"/>
  <c r="D79" i="31"/>
  <c r="H79" i="31"/>
  <c r="C83" i="30"/>
  <c r="B83" i="30"/>
  <c r="G81" i="30"/>
  <c r="C81" i="30"/>
  <c r="D81" i="30"/>
  <c r="F81" i="30"/>
  <c r="E81" i="30"/>
  <c r="B81" i="30"/>
  <c r="H81" i="30"/>
  <c r="G77" i="30"/>
  <c r="C77" i="30"/>
  <c r="D77" i="30"/>
  <c r="F77" i="30"/>
  <c r="H77" i="30"/>
  <c r="E77" i="30"/>
  <c r="B77" i="30"/>
  <c r="B97" i="30" a="1"/>
  <c r="C99" i="30"/>
  <c r="B99" i="30"/>
  <c r="B91" i="30" a="1"/>
  <c r="B93" i="30" a="1"/>
  <c r="B95" i="30" a="1"/>
  <c r="B87" i="30" a="1"/>
  <c r="B89" i="30" a="1"/>
  <c r="G73" i="30"/>
  <c r="G72" i="30" s="1"/>
  <c r="C73" i="30"/>
  <c r="C72" i="30" s="1"/>
  <c r="E73" i="30"/>
  <c r="E72" i="30" s="1"/>
  <c r="H73" i="30"/>
  <c r="H72" i="30" s="1"/>
  <c r="F73" i="30"/>
  <c r="F72" i="30" s="1"/>
  <c r="D73" i="30"/>
  <c r="D72" i="30" s="1"/>
  <c r="B73" i="30"/>
  <c r="B72" i="30" s="1"/>
  <c r="G75" i="30"/>
  <c r="C75" i="30"/>
  <c r="E75" i="30"/>
  <c r="H75" i="30"/>
  <c r="F75" i="30"/>
  <c r="D75" i="30"/>
  <c r="B75" i="30"/>
  <c r="G79" i="30"/>
  <c r="C79" i="30"/>
  <c r="F79" i="30"/>
  <c r="D79" i="30"/>
  <c r="B79" i="30"/>
  <c r="H79" i="30"/>
  <c r="E79" i="30"/>
  <c r="G81" i="29"/>
  <c r="C81" i="29"/>
  <c r="F81" i="29"/>
  <c r="B81" i="29"/>
  <c r="E81" i="29"/>
  <c r="D81" i="29"/>
  <c r="H81" i="29"/>
  <c r="G75" i="29"/>
  <c r="C75" i="29"/>
  <c r="F75" i="29"/>
  <c r="B75" i="29"/>
  <c r="E75" i="29"/>
  <c r="H75" i="29"/>
  <c r="D75" i="29"/>
  <c r="C83" i="29"/>
  <c r="B83" i="29"/>
  <c r="G73" i="29"/>
  <c r="G72" i="29" s="1"/>
  <c r="C73" i="29"/>
  <c r="C72" i="29" s="1"/>
  <c r="F73" i="29"/>
  <c r="F72" i="29" s="1"/>
  <c r="B73" i="29"/>
  <c r="B72" i="29" s="1"/>
  <c r="E73" i="29"/>
  <c r="E72" i="29" s="1"/>
  <c r="H73" i="29"/>
  <c r="H72" i="29" s="1"/>
  <c r="D73" i="29"/>
  <c r="D72" i="29" s="1"/>
  <c r="G77" i="29"/>
  <c r="C77" i="29"/>
  <c r="F77" i="29"/>
  <c r="B77" i="29"/>
  <c r="E77" i="29"/>
  <c r="D77" i="29"/>
  <c r="H77" i="29"/>
  <c r="B97" i="29" a="1"/>
  <c r="B95" i="29" a="1"/>
  <c r="B93" i="29" a="1"/>
  <c r="B91" i="29" a="1"/>
  <c r="B89" i="29" a="1"/>
  <c r="B87" i="29" a="1"/>
  <c r="C99" i="29"/>
  <c r="B99" i="29"/>
  <c r="G79" i="29"/>
  <c r="C79" i="29"/>
  <c r="F79" i="29"/>
  <c r="B79" i="29"/>
  <c r="E79" i="29"/>
  <c r="D79" i="29"/>
  <c r="H79" i="29"/>
  <c r="B99" i="28"/>
  <c r="B97" i="28" a="1"/>
  <c r="B95" i="28" a="1"/>
  <c r="B93" i="28" a="1"/>
  <c r="B91" i="28" a="1"/>
  <c r="C99" i="28"/>
  <c r="B87" i="28" a="1"/>
  <c r="B89" i="28" a="1"/>
  <c r="C83" i="28"/>
  <c r="B83" i="28"/>
  <c r="H75" i="28"/>
  <c r="D75" i="28"/>
  <c r="F75" i="28"/>
  <c r="E75" i="28"/>
  <c r="C75" i="28"/>
  <c r="B75" i="28"/>
  <c r="G75" i="28"/>
  <c r="G77" i="28"/>
  <c r="C77" i="28"/>
  <c r="F77" i="28"/>
  <c r="B77" i="28"/>
  <c r="H77" i="28"/>
  <c r="E77" i="28"/>
  <c r="D77" i="28"/>
  <c r="G81" i="28"/>
  <c r="C81" i="28"/>
  <c r="F81" i="28"/>
  <c r="B81" i="28"/>
  <c r="H81" i="28"/>
  <c r="D81" i="28"/>
  <c r="E81" i="28"/>
  <c r="G79" i="28"/>
  <c r="C79" i="28"/>
  <c r="F79" i="28"/>
  <c r="B79" i="28"/>
  <c r="H79" i="28"/>
  <c r="E79" i="28"/>
  <c r="D79" i="28"/>
  <c r="H73" i="28"/>
  <c r="H72" i="28" s="1"/>
  <c r="D73" i="28"/>
  <c r="D72" i="28" s="1"/>
  <c r="C73" i="28"/>
  <c r="C72" i="28" s="1"/>
  <c r="G73" i="28"/>
  <c r="G72" i="28" s="1"/>
  <c r="B73" i="28"/>
  <c r="B72" i="28" s="1"/>
  <c r="F73" i="28"/>
  <c r="F72" i="28" s="1"/>
  <c r="E73" i="28"/>
  <c r="E72" i="28" s="1"/>
  <c r="G81" i="27"/>
  <c r="C81" i="27"/>
  <c r="F81" i="27"/>
  <c r="B81" i="27"/>
  <c r="H81" i="27"/>
  <c r="D81" i="27"/>
  <c r="E81" i="27"/>
  <c r="B99" i="27"/>
  <c r="B97" i="27" a="1"/>
  <c r="B95" i="27" a="1"/>
  <c r="B93" i="27" a="1"/>
  <c r="B91" i="27" a="1"/>
  <c r="C99" i="27"/>
  <c r="B87" i="27" a="1"/>
  <c r="B89" i="27" a="1"/>
  <c r="H73" i="27"/>
  <c r="H72" i="27" s="1"/>
  <c r="D73" i="27"/>
  <c r="D72" i="27" s="1"/>
  <c r="C73" i="27"/>
  <c r="C72" i="27" s="1"/>
  <c r="G73" i="27"/>
  <c r="G72" i="27" s="1"/>
  <c r="B73" i="27"/>
  <c r="B72" i="27" s="1"/>
  <c r="F73" i="27"/>
  <c r="F72" i="27" s="1"/>
  <c r="E73" i="27"/>
  <c r="E72" i="27" s="1"/>
  <c r="C83" i="27"/>
  <c r="B83" i="27"/>
  <c r="G79" i="27"/>
  <c r="C79" i="27"/>
  <c r="F79" i="27"/>
  <c r="B79" i="27"/>
  <c r="H79" i="27"/>
  <c r="E79" i="27"/>
  <c r="D79" i="27"/>
  <c r="G77" i="27"/>
  <c r="C77" i="27"/>
  <c r="F77" i="27"/>
  <c r="B77" i="27"/>
  <c r="H77" i="27"/>
  <c r="E77" i="27"/>
  <c r="D77" i="27"/>
  <c r="H75" i="27"/>
  <c r="D75" i="27"/>
  <c r="F75" i="27"/>
  <c r="E75" i="27"/>
  <c r="C75" i="27"/>
  <c r="G75" i="27"/>
  <c r="B75" i="27"/>
  <c r="C83" i="26"/>
  <c r="B83" i="26"/>
  <c r="F73" i="26"/>
  <c r="F72" i="26" s="1"/>
  <c r="B73" i="26"/>
  <c r="B72" i="26" s="1"/>
  <c r="H73" i="26"/>
  <c r="H72" i="26" s="1"/>
  <c r="D73" i="26"/>
  <c r="D72" i="26" s="1"/>
  <c r="E73" i="26"/>
  <c r="E72" i="26" s="1"/>
  <c r="C73" i="26"/>
  <c r="C72" i="26" s="1"/>
  <c r="G73" i="26"/>
  <c r="G72" i="26" s="1"/>
  <c r="G81" i="26"/>
  <c r="C81" i="26"/>
  <c r="H81" i="26"/>
  <c r="B81" i="26"/>
  <c r="E81" i="26"/>
  <c r="F81" i="26"/>
  <c r="D81" i="26"/>
  <c r="G79" i="26"/>
  <c r="C79" i="26"/>
  <c r="E79" i="26"/>
  <c r="H79" i="26"/>
  <c r="B79" i="26"/>
  <c r="F79" i="26"/>
  <c r="D79" i="26"/>
  <c r="B97" i="26" a="1"/>
  <c r="B93" i="26" a="1"/>
  <c r="B89" i="26" a="1"/>
  <c r="B99" i="26"/>
  <c r="B95" i="26" a="1"/>
  <c r="B91" i="26" a="1"/>
  <c r="B87" i="26" a="1"/>
  <c r="C99" i="26"/>
  <c r="F75" i="26"/>
  <c r="B75" i="26"/>
  <c r="H75" i="26"/>
  <c r="D75" i="26"/>
  <c r="E75" i="26"/>
  <c r="C75" i="26"/>
  <c r="G75" i="26"/>
  <c r="G77" i="26"/>
  <c r="C77" i="26"/>
  <c r="H77" i="26"/>
  <c r="B77" i="26"/>
  <c r="E77" i="26"/>
  <c r="F77" i="26"/>
  <c r="D77" i="26"/>
  <c r="H73" i="25"/>
  <c r="H72" i="25" s="1"/>
  <c r="D73" i="25"/>
  <c r="D72" i="25" s="1"/>
  <c r="G73" i="25"/>
  <c r="G72" i="25" s="1"/>
  <c r="B73" i="25"/>
  <c r="B72" i="25" s="1"/>
  <c r="F73" i="25"/>
  <c r="F72" i="25" s="1"/>
  <c r="E73" i="25"/>
  <c r="E72" i="25" s="1"/>
  <c r="C73" i="25"/>
  <c r="C72" i="25" s="1"/>
  <c r="H75" i="25"/>
  <c r="D75" i="25"/>
  <c r="E75" i="25"/>
  <c r="C75" i="25"/>
  <c r="G75" i="25"/>
  <c r="B75" i="25"/>
  <c r="F75" i="25"/>
  <c r="F77" i="25"/>
  <c r="B77" i="25"/>
  <c r="E77" i="25"/>
  <c r="C77" i="25"/>
  <c r="H77" i="25"/>
  <c r="G77" i="25"/>
  <c r="D77" i="25"/>
  <c r="C83" i="25"/>
  <c r="B83" i="25"/>
  <c r="F79" i="25"/>
  <c r="B79" i="25"/>
  <c r="H79" i="25"/>
  <c r="C79" i="25"/>
  <c r="G79" i="25"/>
  <c r="E79" i="25"/>
  <c r="D79" i="25"/>
  <c r="B99" i="25"/>
  <c r="B97" i="25" a="1"/>
  <c r="B89" i="25" a="1"/>
  <c r="B91" i="25" a="1"/>
  <c r="B93" i="25" a="1"/>
  <c r="C99" i="25"/>
  <c r="B95" i="25" a="1"/>
  <c r="B87" i="25" a="1"/>
  <c r="F81" i="25"/>
  <c r="B81" i="25"/>
  <c r="E81" i="25"/>
  <c r="H81" i="25"/>
  <c r="G81" i="25"/>
  <c r="D81" i="25"/>
  <c r="C81" i="25"/>
  <c r="G75" i="24"/>
  <c r="C75" i="24"/>
  <c r="F75" i="24"/>
  <c r="E75" i="24"/>
  <c r="D75" i="24"/>
  <c r="B75" i="24"/>
  <c r="H75" i="24"/>
  <c r="G73" i="24"/>
  <c r="G72" i="24" s="1"/>
  <c r="C73" i="24"/>
  <c r="C72" i="24" s="1"/>
  <c r="D73" i="24"/>
  <c r="D72" i="24" s="1"/>
  <c r="H73" i="24"/>
  <c r="H72" i="24" s="1"/>
  <c r="B73" i="24"/>
  <c r="B72" i="24" s="1"/>
  <c r="F73" i="24"/>
  <c r="F72" i="24" s="1"/>
  <c r="E73" i="24"/>
  <c r="E72" i="24" s="1"/>
  <c r="G79" i="24"/>
  <c r="C79" i="24"/>
  <c r="F79" i="24"/>
  <c r="D79" i="24"/>
  <c r="B79" i="24"/>
  <c r="E79" i="24"/>
  <c r="H79" i="24"/>
  <c r="G77" i="24"/>
  <c r="C77" i="24"/>
  <c r="D77" i="24"/>
  <c r="E77" i="24"/>
  <c r="B77" i="24"/>
  <c r="H77" i="24"/>
  <c r="F77" i="24"/>
  <c r="C83" i="24"/>
  <c r="B83" i="24"/>
  <c r="C99" i="24"/>
  <c r="B91" i="24" a="1"/>
  <c r="B93" i="24" a="1"/>
  <c r="B97" i="24" a="1"/>
  <c r="B99" i="24"/>
  <c r="B95" i="24" a="1"/>
  <c r="B87" i="24" a="1"/>
  <c r="B89" i="24" a="1"/>
  <c r="G81" i="24"/>
  <c r="C81" i="24"/>
  <c r="F81" i="24"/>
  <c r="D81" i="24"/>
  <c r="E81" i="24"/>
  <c r="B81" i="24"/>
  <c r="H81" i="24"/>
  <c r="H75" i="23"/>
  <c r="D75" i="23"/>
  <c r="F75" i="23"/>
  <c r="E75" i="23"/>
  <c r="B75" i="23"/>
  <c r="C75" i="23"/>
  <c r="G75" i="23"/>
  <c r="B97" i="23" a="1"/>
  <c r="B99" i="23"/>
  <c r="B95" i="23" a="1"/>
  <c r="B91" i="23" a="1"/>
  <c r="B87" i="23" a="1"/>
  <c r="C99" i="23"/>
  <c r="B93" i="23" a="1"/>
  <c r="B89" i="23" a="1"/>
  <c r="G79" i="23"/>
  <c r="C79" i="23"/>
  <c r="H79" i="23"/>
  <c r="B79" i="23"/>
  <c r="D79" i="23"/>
  <c r="E79" i="23"/>
  <c r="F79" i="23"/>
  <c r="C83" i="23"/>
  <c r="B83" i="23"/>
  <c r="H73" i="23"/>
  <c r="H72" i="23" s="1"/>
  <c r="D73" i="23"/>
  <c r="D72" i="23" s="1"/>
  <c r="C73" i="23"/>
  <c r="C72" i="23" s="1"/>
  <c r="G73" i="23"/>
  <c r="G72" i="23" s="1"/>
  <c r="B73" i="23"/>
  <c r="B72" i="23" s="1"/>
  <c r="E73" i="23"/>
  <c r="E72" i="23" s="1"/>
  <c r="F73" i="23"/>
  <c r="F72" i="23" s="1"/>
  <c r="G77" i="23"/>
  <c r="C77" i="23"/>
  <c r="E77" i="23"/>
  <c r="D77" i="23"/>
  <c r="B77" i="23"/>
  <c r="F77" i="23"/>
  <c r="H77" i="23"/>
  <c r="G81" i="23"/>
  <c r="C81" i="23"/>
  <c r="E81" i="23"/>
  <c r="B81" i="23"/>
  <c r="H81" i="23"/>
  <c r="F81" i="23"/>
  <c r="D81" i="23"/>
  <c r="E73" i="22"/>
  <c r="E72" i="22" s="1"/>
  <c r="G73" i="22"/>
  <c r="G72" i="22" s="1"/>
  <c r="C73" i="22"/>
  <c r="C72" i="22" s="1"/>
  <c r="F73" i="22"/>
  <c r="F72" i="22" s="1"/>
  <c r="D73" i="22"/>
  <c r="D72" i="22" s="1"/>
  <c r="H73" i="22"/>
  <c r="H72" i="22" s="1"/>
  <c r="B73" i="22"/>
  <c r="B72" i="22" s="1"/>
  <c r="E75" i="22"/>
  <c r="G75" i="22"/>
  <c r="C75" i="22"/>
  <c r="F75" i="22"/>
  <c r="B75" i="22"/>
  <c r="D75" i="22"/>
  <c r="H75" i="22"/>
  <c r="C99" i="22"/>
  <c r="B99" i="22"/>
  <c r="B95" i="22" a="1"/>
  <c r="B91" i="22" a="1"/>
  <c r="B87" i="22" a="1"/>
  <c r="B97" i="22" a="1"/>
  <c r="B93" i="22" a="1"/>
  <c r="B89" i="22" a="1"/>
  <c r="G79" i="22"/>
  <c r="C79" i="22"/>
  <c r="D79" i="22"/>
  <c r="H79" i="22"/>
  <c r="B79" i="22"/>
  <c r="F79" i="22"/>
  <c r="E79" i="22"/>
  <c r="G77" i="22"/>
  <c r="C77" i="22"/>
  <c r="F77" i="22"/>
  <c r="D77" i="22"/>
  <c r="H77" i="22"/>
  <c r="B77" i="22"/>
  <c r="E77" i="22"/>
  <c r="C83" i="22"/>
  <c r="B83" i="22"/>
  <c r="G81" i="22"/>
  <c r="C81" i="22"/>
  <c r="F81" i="22"/>
  <c r="E81" i="22"/>
  <c r="D81" i="22"/>
  <c r="B81" i="22"/>
  <c r="H81" i="22"/>
  <c r="G81" i="21"/>
  <c r="C81" i="21"/>
  <c r="E81" i="21"/>
  <c r="D81" i="21"/>
  <c r="F81" i="21"/>
  <c r="B81" i="21"/>
  <c r="H81" i="21"/>
  <c r="H75" i="21"/>
  <c r="D75" i="21"/>
  <c r="G75" i="21"/>
  <c r="C75" i="21"/>
  <c r="F75" i="21"/>
  <c r="E75" i="21"/>
  <c r="B75" i="21"/>
  <c r="G77" i="21"/>
  <c r="C77" i="21"/>
  <c r="E77" i="21"/>
  <c r="D77" i="21"/>
  <c r="H77" i="21"/>
  <c r="F77" i="21"/>
  <c r="B77" i="21"/>
  <c r="G79" i="21"/>
  <c r="C79" i="21"/>
  <c r="H79" i="21"/>
  <c r="B79" i="21"/>
  <c r="F79" i="21"/>
  <c r="D79" i="21"/>
  <c r="E79" i="21"/>
  <c r="B99" i="21"/>
  <c r="B95" i="21" a="1"/>
  <c r="B91" i="21" a="1"/>
  <c r="B87" i="21" a="1"/>
  <c r="B93" i="21" a="1"/>
  <c r="C99" i="21"/>
  <c r="B97" i="21" a="1"/>
  <c r="B89" i="21" a="1"/>
  <c r="H73" i="21"/>
  <c r="H72" i="21" s="1"/>
  <c r="D73" i="21"/>
  <c r="D72" i="21" s="1"/>
  <c r="G73" i="21"/>
  <c r="G72" i="21" s="1"/>
  <c r="C73" i="21"/>
  <c r="C72" i="21" s="1"/>
  <c r="F73" i="21"/>
  <c r="F72" i="21" s="1"/>
  <c r="E73" i="21"/>
  <c r="E72" i="21" s="1"/>
  <c r="B73" i="21"/>
  <c r="B72" i="21" s="1"/>
  <c r="C83" i="21"/>
  <c r="B83" i="21"/>
  <c r="B99" i="20"/>
  <c r="B93" i="20" a="1"/>
  <c r="C99" i="20"/>
  <c r="B95" i="20" a="1"/>
  <c r="B87" i="20" a="1"/>
  <c r="B97" i="20" a="1"/>
  <c r="B89" i="20" a="1"/>
  <c r="B91" i="20" a="1"/>
  <c r="H73" i="20"/>
  <c r="H72" i="20" s="1"/>
  <c r="D73" i="20"/>
  <c r="D72" i="20" s="1"/>
  <c r="C73" i="20"/>
  <c r="C72" i="20" s="1"/>
  <c r="G73" i="20"/>
  <c r="G72" i="20" s="1"/>
  <c r="B73" i="20"/>
  <c r="B72" i="20" s="1"/>
  <c r="E73" i="20"/>
  <c r="E72" i="20" s="1"/>
  <c r="F73" i="20"/>
  <c r="F72" i="20" s="1"/>
  <c r="C83" i="20"/>
  <c r="B83" i="20"/>
  <c r="G77" i="20"/>
  <c r="C77" i="20"/>
  <c r="F77" i="20"/>
  <c r="B77" i="20"/>
  <c r="H77" i="20"/>
  <c r="E77" i="20"/>
  <c r="D77" i="20"/>
  <c r="H75" i="20"/>
  <c r="D75" i="20"/>
  <c r="F75" i="20"/>
  <c r="E75" i="20"/>
  <c r="G75" i="20"/>
  <c r="C75" i="20"/>
  <c r="B75" i="20"/>
  <c r="G79" i="20"/>
  <c r="C79" i="20"/>
  <c r="F79" i="20"/>
  <c r="B79" i="20"/>
  <c r="H79" i="20"/>
  <c r="E79" i="20"/>
  <c r="D79" i="20"/>
  <c r="G81" i="20"/>
  <c r="C81" i="20"/>
  <c r="F81" i="20"/>
  <c r="B81" i="20"/>
  <c r="H81" i="20"/>
  <c r="D81" i="20"/>
  <c r="E81" i="20"/>
  <c r="G79" i="19"/>
  <c r="C79" i="19"/>
  <c r="F79" i="19"/>
  <c r="B79" i="19"/>
  <c r="E79" i="19"/>
  <c r="D79" i="19"/>
  <c r="H79" i="19"/>
  <c r="B97" i="19" a="1"/>
  <c r="B95" i="19" a="1"/>
  <c r="B93" i="19" a="1"/>
  <c r="B91" i="19" a="1"/>
  <c r="B89" i="19" a="1"/>
  <c r="B87" i="19" a="1"/>
  <c r="C99" i="19"/>
  <c r="B99" i="19"/>
  <c r="G73" i="19"/>
  <c r="G72" i="19" s="1"/>
  <c r="C73" i="19"/>
  <c r="C72" i="19" s="1"/>
  <c r="F73" i="19"/>
  <c r="F72" i="19" s="1"/>
  <c r="B73" i="19"/>
  <c r="B72" i="19" s="1"/>
  <c r="E73" i="19"/>
  <c r="E72" i="19" s="1"/>
  <c r="H73" i="19"/>
  <c r="H72" i="19" s="1"/>
  <c r="D73" i="19"/>
  <c r="D72" i="19" s="1"/>
  <c r="G81" i="19"/>
  <c r="C81" i="19"/>
  <c r="F81" i="19"/>
  <c r="B81" i="19"/>
  <c r="E81" i="19"/>
  <c r="D81" i="19"/>
  <c r="H81" i="19"/>
  <c r="G75" i="19"/>
  <c r="C75" i="19"/>
  <c r="F75" i="19"/>
  <c r="B75" i="19"/>
  <c r="E75" i="19"/>
  <c r="H75" i="19"/>
  <c r="D75" i="19"/>
  <c r="C83" i="19"/>
  <c r="B83" i="19"/>
  <c r="G77" i="19"/>
  <c r="C77" i="19"/>
  <c r="F77" i="19"/>
  <c r="B77" i="19"/>
  <c r="E77" i="19"/>
  <c r="D77" i="19"/>
  <c r="H77" i="19"/>
  <c r="G81" i="18"/>
  <c r="C81" i="18"/>
  <c r="D81" i="18"/>
  <c r="H81" i="18"/>
  <c r="B81" i="18"/>
  <c r="F81" i="18"/>
  <c r="E81" i="18"/>
  <c r="C83" i="18"/>
  <c r="B83" i="18"/>
  <c r="F73" i="18"/>
  <c r="F72" i="18" s="1"/>
  <c r="B73" i="18"/>
  <c r="B72" i="18" s="1"/>
  <c r="E73" i="18"/>
  <c r="E72" i="18" s="1"/>
  <c r="C73" i="18"/>
  <c r="C72" i="18" s="1"/>
  <c r="H73" i="18"/>
  <c r="H72" i="18" s="1"/>
  <c r="D73" i="18"/>
  <c r="D72" i="18" s="1"/>
  <c r="G73" i="18"/>
  <c r="G72" i="18" s="1"/>
  <c r="B97" i="18" a="1"/>
  <c r="B93" i="18" a="1"/>
  <c r="B89" i="18" a="1"/>
  <c r="C99" i="18"/>
  <c r="B99" i="18"/>
  <c r="B87" i="18" a="1"/>
  <c r="B91" i="18" a="1"/>
  <c r="B95" i="18" a="1"/>
  <c r="G75" i="18"/>
  <c r="C75" i="18"/>
  <c r="F75" i="18"/>
  <c r="B75" i="18"/>
  <c r="E75" i="18"/>
  <c r="D75" i="18"/>
  <c r="H75" i="18"/>
  <c r="G77" i="18"/>
  <c r="C77" i="18"/>
  <c r="D77" i="18"/>
  <c r="H77" i="18"/>
  <c r="B77" i="18"/>
  <c r="F77" i="18"/>
  <c r="E77" i="18"/>
  <c r="G79" i="18"/>
  <c r="C79" i="18"/>
  <c r="F79" i="18"/>
  <c r="E79" i="18"/>
  <c r="D79" i="18"/>
  <c r="H79" i="18"/>
  <c r="B79" i="18"/>
  <c r="H73" i="17"/>
  <c r="H72" i="17" s="1"/>
  <c r="D73" i="17"/>
  <c r="D72" i="17" s="1"/>
  <c r="E73" i="17"/>
  <c r="E72" i="17" s="1"/>
  <c r="C73" i="17"/>
  <c r="C72" i="17" s="1"/>
  <c r="F73" i="17"/>
  <c r="F72" i="17" s="1"/>
  <c r="G73" i="17"/>
  <c r="G72" i="17" s="1"/>
  <c r="B73" i="17"/>
  <c r="B72" i="17" s="1"/>
  <c r="G79" i="17"/>
  <c r="C79" i="17"/>
  <c r="F79" i="17"/>
  <c r="B79" i="17"/>
  <c r="H79" i="17"/>
  <c r="D79" i="17"/>
  <c r="E79" i="17"/>
  <c r="H75" i="17"/>
  <c r="D75" i="17"/>
  <c r="G75" i="17"/>
  <c r="B75" i="17"/>
  <c r="F75" i="17"/>
  <c r="C75" i="17"/>
  <c r="E75" i="17"/>
  <c r="G77" i="17"/>
  <c r="C77" i="17"/>
  <c r="F77" i="17"/>
  <c r="B77" i="17"/>
  <c r="H77" i="17"/>
  <c r="E77" i="17"/>
  <c r="D77" i="17"/>
  <c r="G81" i="17"/>
  <c r="C81" i="17"/>
  <c r="F81" i="17"/>
  <c r="B81" i="17"/>
  <c r="H81" i="17"/>
  <c r="D81" i="17"/>
  <c r="E81" i="17"/>
  <c r="B99" i="17"/>
  <c r="B93" i="17" a="1"/>
  <c r="C99" i="17"/>
  <c r="B95" i="17" a="1"/>
  <c r="B87" i="17" a="1"/>
  <c r="B91" i="17" a="1"/>
  <c r="B89" i="17" a="1"/>
  <c r="B97" i="17" a="1"/>
  <c r="C83" i="17"/>
  <c r="B83" i="17"/>
  <c r="B99" i="16"/>
  <c r="B97" i="16" a="1"/>
  <c r="B95" i="16" a="1"/>
  <c r="B93" i="16" a="1"/>
  <c r="B91" i="16" a="1"/>
  <c r="B89" i="16" a="1"/>
  <c r="B87" i="16" a="1"/>
  <c r="C99" i="16"/>
  <c r="H73" i="16"/>
  <c r="H72" i="16" s="1"/>
  <c r="D73" i="16"/>
  <c r="D72" i="16" s="1"/>
  <c r="G73" i="16"/>
  <c r="G72" i="16" s="1"/>
  <c r="C73" i="16"/>
  <c r="C72" i="16" s="1"/>
  <c r="F73" i="16"/>
  <c r="F72" i="16" s="1"/>
  <c r="E73" i="16"/>
  <c r="E72" i="16" s="1"/>
  <c r="B73" i="16"/>
  <c r="B72" i="16" s="1"/>
  <c r="H75" i="16"/>
  <c r="D75" i="16"/>
  <c r="G75" i="16"/>
  <c r="C75" i="16"/>
  <c r="F75" i="16"/>
  <c r="E75" i="16"/>
  <c r="B75" i="16"/>
  <c r="C83" i="16"/>
  <c r="B83" i="16"/>
  <c r="G79" i="16"/>
  <c r="C79" i="16"/>
  <c r="F79" i="16"/>
  <c r="B79" i="16"/>
  <c r="H79" i="16"/>
  <c r="E79" i="16"/>
  <c r="D79" i="16"/>
  <c r="G77" i="16"/>
  <c r="C77" i="16"/>
  <c r="F77" i="16"/>
  <c r="B77" i="16"/>
  <c r="H77" i="16"/>
  <c r="E77" i="16"/>
  <c r="D77" i="16"/>
  <c r="G81" i="16"/>
  <c r="C81" i="16"/>
  <c r="F81" i="16"/>
  <c r="B81" i="16"/>
  <c r="H81" i="16"/>
  <c r="E81" i="16"/>
  <c r="D81" i="16"/>
  <c r="B97" i="15" a="1"/>
  <c r="B93" i="15" a="1"/>
  <c r="B89" i="15" a="1"/>
  <c r="B99" i="15"/>
  <c r="B95" i="15" a="1"/>
  <c r="B91" i="15" a="1"/>
  <c r="B87" i="15" a="1"/>
  <c r="C99" i="15"/>
  <c r="C83" i="15"/>
  <c r="B83" i="15"/>
  <c r="G77" i="15"/>
  <c r="C77" i="15"/>
  <c r="H77" i="15"/>
  <c r="B77" i="15"/>
  <c r="E77" i="15"/>
  <c r="F77" i="15"/>
  <c r="D77" i="15"/>
  <c r="G79" i="15"/>
  <c r="C79" i="15"/>
  <c r="E79" i="15"/>
  <c r="H79" i="15"/>
  <c r="B79" i="15"/>
  <c r="D79" i="15"/>
  <c r="F79" i="15"/>
  <c r="F75" i="15"/>
  <c r="B75" i="15"/>
  <c r="H75" i="15"/>
  <c r="D75" i="15"/>
  <c r="G75" i="15"/>
  <c r="E75" i="15"/>
  <c r="C75" i="15"/>
  <c r="G81" i="15"/>
  <c r="C81" i="15"/>
  <c r="H81" i="15"/>
  <c r="B81" i="15"/>
  <c r="E81" i="15"/>
  <c r="F81" i="15"/>
  <c r="D81" i="15"/>
  <c r="F73" i="15"/>
  <c r="F72" i="15" s="1"/>
  <c r="B73" i="15"/>
  <c r="B72" i="15" s="1"/>
  <c r="H73" i="15"/>
  <c r="H72" i="15" s="1"/>
  <c r="D73" i="15"/>
  <c r="D72" i="15" s="1"/>
  <c r="G73" i="15"/>
  <c r="G72" i="15" s="1"/>
  <c r="E73" i="15"/>
  <c r="E72" i="15" s="1"/>
  <c r="C73" i="15"/>
  <c r="C72" i="15" s="1"/>
  <c r="C75" i="14"/>
  <c r="E75" i="14"/>
  <c r="D75" i="14"/>
  <c r="H75" i="14"/>
  <c r="F75" i="14"/>
  <c r="B97" i="14" a="1"/>
  <c r="C97" i="14" s="1"/>
  <c r="G75" i="14"/>
  <c r="C81" i="14"/>
  <c r="B81" i="14"/>
  <c r="F81" i="14"/>
  <c r="B91" i="14" a="1"/>
  <c r="D91" i="14" s="1"/>
  <c r="G79" i="14"/>
  <c r="C99" i="14"/>
  <c r="C79" i="14"/>
  <c r="H81" i="14"/>
  <c r="B93" i="14" a="1"/>
  <c r="H93" i="14" s="1"/>
  <c r="G81" i="14"/>
  <c r="D81" i="14"/>
  <c r="B83" i="14"/>
  <c r="C83" i="14"/>
  <c r="C73" i="14"/>
  <c r="C72" i="14" s="1"/>
  <c r="B73" i="14"/>
  <c r="B72" i="14" s="1"/>
  <c r="B89" i="14" a="1"/>
  <c r="B87" i="14" a="1"/>
  <c r="E73" i="14"/>
  <c r="E72" i="14" s="1"/>
  <c r="B99" i="14"/>
  <c r="B95" i="14" a="1"/>
  <c r="H95" i="14" s="1"/>
  <c r="H73" i="14"/>
  <c r="H72" i="14" s="1"/>
  <c r="F73" i="14"/>
  <c r="F72" i="14" s="1"/>
  <c r="G73" i="14"/>
  <c r="G72" i="14" s="1"/>
  <c r="D73" i="14"/>
  <c r="D72" i="14" s="1"/>
  <c r="E77" i="14"/>
  <c r="H77" i="14"/>
  <c r="F77" i="14"/>
  <c r="G77" i="14"/>
  <c r="D77" i="14"/>
  <c r="B77" i="14"/>
  <c r="B79" i="14"/>
  <c r="F79" i="14"/>
  <c r="H79" i="14"/>
  <c r="E79" i="14"/>
  <c r="C95" i="58" l="1"/>
  <c r="B95" i="58"/>
  <c r="G95" i="58"/>
  <c r="F95" i="58"/>
  <c r="D95" i="58"/>
  <c r="E95" i="58"/>
  <c r="A95" i="58"/>
  <c r="B97" i="58"/>
  <c r="A97" i="58"/>
  <c r="C87" i="58"/>
  <c r="C86" i="58" s="1"/>
  <c r="B87" i="58"/>
  <c r="B86" i="58" s="1"/>
  <c r="G87" i="58"/>
  <c r="G86" i="58" s="1"/>
  <c r="D87" i="58"/>
  <c r="D86" i="58" s="1"/>
  <c r="F87" i="58"/>
  <c r="F86" i="58" s="1"/>
  <c r="E87" i="58"/>
  <c r="E86" i="58" s="1"/>
  <c r="A87" i="58"/>
  <c r="A86" i="58" s="1"/>
  <c r="C93" i="58"/>
  <c r="B93" i="58"/>
  <c r="E93" i="58"/>
  <c r="D93" i="58"/>
  <c r="A93" i="58"/>
  <c r="G93" i="58"/>
  <c r="F93" i="58"/>
  <c r="C91" i="58"/>
  <c r="B91" i="58"/>
  <c r="A91" i="58"/>
  <c r="F91" i="58"/>
  <c r="D91" i="58"/>
  <c r="E91" i="58"/>
  <c r="G91" i="58"/>
  <c r="B113" i="58"/>
  <c r="A113" i="58"/>
  <c r="A109" i="58" a="1"/>
  <c r="A103" i="58" a="1"/>
  <c r="A111" i="58" a="1"/>
  <c r="A105" i="58" a="1"/>
  <c r="A107" i="58" a="1"/>
  <c r="A101" i="58" a="1"/>
  <c r="C89" i="58"/>
  <c r="B89" i="58"/>
  <c r="F89" i="58"/>
  <c r="G89" i="58"/>
  <c r="E89" i="58"/>
  <c r="D89" i="58"/>
  <c r="A89" i="58"/>
  <c r="E93" i="57"/>
  <c r="C93" i="57"/>
  <c r="B93" i="57"/>
  <c r="A93" i="57"/>
  <c r="G93" i="57"/>
  <c r="D93" i="57"/>
  <c r="F93" i="57"/>
  <c r="E91" i="57"/>
  <c r="C91" i="57"/>
  <c r="B91" i="57"/>
  <c r="A91" i="57"/>
  <c r="F91" i="57"/>
  <c r="D91" i="57"/>
  <c r="G91" i="57"/>
  <c r="A109" i="57" a="1"/>
  <c r="A105" i="57" a="1"/>
  <c r="A101" i="57" a="1"/>
  <c r="A113" i="57"/>
  <c r="A103" i="57" a="1"/>
  <c r="A111" i="57" a="1"/>
  <c r="A107" i="57" a="1"/>
  <c r="B113" i="57"/>
  <c r="E95" i="57"/>
  <c r="C95" i="57"/>
  <c r="B95" i="57"/>
  <c r="A95" i="57"/>
  <c r="F95" i="57"/>
  <c r="D95" i="57"/>
  <c r="G95" i="57"/>
  <c r="E87" i="57"/>
  <c r="E86" i="57" s="1"/>
  <c r="C87" i="57"/>
  <c r="C86" i="57" s="1"/>
  <c r="B87" i="57"/>
  <c r="B86" i="57" s="1"/>
  <c r="A87" i="57"/>
  <c r="A86" i="57" s="1"/>
  <c r="F87" i="57"/>
  <c r="F86" i="57" s="1"/>
  <c r="D87" i="57"/>
  <c r="D86" i="57" s="1"/>
  <c r="G87" i="57"/>
  <c r="G86" i="57" s="1"/>
  <c r="B97" i="57"/>
  <c r="A97" i="57"/>
  <c r="E89" i="57"/>
  <c r="C89" i="57"/>
  <c r="B89" i="57"/>
  <c r="A89" i="57"/>
  <c r="G89" i="57"/>
  <c r="D89" i="57"/>
  <c r="F89" i="57"/>
  <c r="E93" i="56"/>
  <c r="C93" i="56"/>
  <c r="G93" i="56"/>
  <c r="F93" i="56"/>
  <c r="D93" i="56"/>
  <c r="B93" i="56"/>
  <c r="A93" i="56"/>
  <c r="A107" i="56" a="1"/>
  <c r="B113" i="56"/>
  <c r="A113" i="56"/>
  <c r="A109" i="56" a="1"/>
  <c r="A101" i="56" a="1"/>
  <c r="A111" i="56" a="1"/>
  <c r="A105" i="56" a="1"/>
  <c r="A103" i="56" a="1"/>
  <c r="E91" i="56"/>
  <c r="C91" i="56"/>
  <c r="G91" i="56"/>
  <c r="F91" i="56"/>
  <c r="D91" i="56"/>
  <c r="B91" i="56"/>
  <c r="A91" i="56"/>
  <c r="E89" i="56"/>
  <c r="C89" i="56"/>
  <c r="F89" i="56"/>
  <c r="D89" i="56"/>
  <c r="B89" i="56"/>
  <c r="A89" i="56"/>
  <c r="G89" i="56"/>
  <c r="B97" i="56"/>
  <c r="A97" i="56"/>
  <c r="E87" i="56"/>
  <c r="E86" i="56" s="1"/>
  <c r="C87" i="56"/>
  <c r="C86" i="56" s="1"/>
  <c r="B87" i="56"/>
  <c r="B86" i="56" s="1"/>
  <c r="A87" i="56"/>
  <c r="A86" i="56" s="1"/>
  <c r="G87" i="56"/>
  <c r="G86" i="56" s="1"/>
  <c r="F87" i="56"/>
  <c r="F86" i="56" s="1"/>
  <c r="D87" i="56"/>
  <c r="D86" i="56" s="1"/>
  <c r="E95" i="56"/>
  <c r="C95" i="56"/>
  <c r="B95" i="56"/>
  <c r="A95" i="56"/>
  <c r="G95" i="56"/>
  <c r="F95" i="56"/>
  <c r="D95" i="56"/>
  <c r="F93" i="55"/>
  <c r="B93" i="55"/>
  <c r="G93" i="55"/>
  <c r="A93" i="55"/>
  <c r="D93" i="55"/>
  <c r="C93" i="55"/>
  <c r="E93" i="55"/>
  <c r="B97" i="55"/>
  <c r="A97" i="55"/>
  <c r="F87" i="55"/>
  <c r="F86" i="55" s="1"/>
  <c r="B87" i="55"/>
  <c r="B86" i="55" s="1"/>
  <c r="D87" i="55"/>
  <c r="D86" i="55" s="1"/>
  <c r="G87" i="55"/>
  <c r="G86" i="55" s="1"/>
  <c r="E87" i="55"/>
  <c r="E86" i="55" s="1"/>
  <c r="C87" i="55"/>
  <c r="C86" i="55" s="1"/>
  <c r="A87" i="55"/>
  <c r="A86" i="55" s="1"/>
  <c r="A111" i="55" a="1"/>
  <c r="A113" i="55"/>
  <c r="A109" i="55" a="1"/>
  <c r="A105" i="55" a="1"/>
  <c r="A101" i="55" a="1"/>
  <c r="A107" i="55" a="1"/>
  <c r="A103" i="55" a="1"/>
  <c r="B113" i="55"/>
  <c r="F91" i="55"/>
  <c r="B91" i="55"/>
  <c r="D91" i="55"/>
  <c r="E91" i="55"/>
  <c r="C91" i="55"/>
  <c r="A91" i="55"/>
  <c r="G91" i="55"/>
  <c r="F89" i="55"/>
  <c r="B89" i="55"/>
  <c r="G89" i="55"/>
  <c r="A89" i="55"/>
  <c r="E89" i="55"/>
  <c r="D89" i="55"/>
  <c r="C89" i="55"/>
  <c r="F95" i="55"/>
  <c r="B95" i="55"/>
  <c r="D95" i="55"/>
  <c r="C95" i="55"/>
  <c r="A95" i="55"/>
  <c r="G95" i="55"/>
  <c r="E95" i="55"/>
  <c r="B97" i="54"/>
  <c r="A97" i="54"/>
  <c r="F91" i="54"/>
  <c r="B91" i="54"/>
  <c r="D91" i="54"/>
  <c r="A91" i="54"/>
  <c r="G91" i="54"/>
  <c r="E91" i="54"/>
  <c r="C91" i="54"/>
  <c r="F87" i="54"/>
  <c r="F86" i="54" s="1"/>
  <c r="B87" i="54"/>
  <c r="B86" i="54" s="1"/>
  <c r="D87" i="54"/>
  <c r="D86" i="54" s="1"/>
  <c r="C87" i="54"/>
  <c r="C86" i="54" s="1"/>
  <c r="A87" i="54"/>
  <c r="A86" i="54" s="1"/>
  <c r="G87" i="54"/>
  <c r="G86" i="54" s="1"/>
  <c r="E87" i="54"/>
  <c r="E86" i="54" s="1"/>
  <c r="B113" i="54"/>
  <c r="A105" i="54" a="1"/>
  <c r="A107" i="54" a="1"/>
  <c r="A113" i="54"/>
  <c r="A109" i="54" a="1"/>
  <c r="A101" i="54" a="1"/>
  <c r="A111" i="54" a="1"/>
  <c r="A103" i="54" a="1"/>
  <c r="F93" i="54"/>
  <c r="B93" i="54"/>
  <c r="G93" i="54"/>
  <c r="A93" i="54"/>
  <c r="E93" i="54"/>
  <c r="D93" i="54"/>
  <c r="C93" i="54"/>
  <c r="F89" i="54"/>
  <c r="B89" i="54"/>
  <c r="G89" i="54"/>
  <c r="A89" i="54"/>
  <c r="C89" i="54"/>
  <c r="E89" i="54"/>
  <c r="D89" i="54"/>
  <c r="F95" i="54"/>
  <c r="B95" i="54"/>
  <c r="D95" i="54"/>
  <c r="G95" i="54"/>
  <c r="E95" i="54"/>
  <c r="C95" i="54"/>
  <c r="A95" i="54"/>
  <c r="F95" i="53"/>
  <c r="B95" i="53"/>
  <c r="E95" i="53"/>
  <c r="A95" i="53"/>
  <c r="G95" i="53"/>
  <c r="D95" i="53"/>
  <c r="C95" i="53"/>
  <c r="F91" i="53"/>
  <c r="B91" i="53"/>
  <c r="E91" i="53"/>
  <c r="A91" i="53"/>
  <c r="G91" i="53"/>
  <c r="D91" i="53"/>
  <c r="C91" i="53"/>
  <c r="A113" i="53"/>
  <c r="A105" i="53" a="1"/>
  <c r="A107" i="53" a="1"/>
  <c r="B113" i="53"/>
  <c r="A109" i="53" a="1"/>
  <c r="A101" i="53" a="1"/>
  <c r="A111" i="53" a="1"/>
  <c r="A103" i="53" a="1"/>
  <c r="F89" i="53"/>
  <c r="B89" i="53"/>
  <c r="E89" i="53"/>
  <c r="A89" i="53"/>
  <c r="G89" i="53"/>
  <c r="D89" i="53"/>
  <c r="C89" i="53"/>
  <c r="B97" i="53"/>
  <c r="A97" i="53"/>
  <c r="F93" i="53"/>
  <c r="B93" i="53"/>
  <c r="E93" i="53"/>
  <c r="A93" i="53"/>
  <c r="G93" i="53"/>
  <c r="C93" i="53"/>
  <c r="D93" i="53"/>
  <c r="F87" i="53"/>
  <c r="F86" i="53" s="1"/>
  <c r="B87" i="53"/>
  <c r="B86" i="53" s="1"/>
  <c r="E87" i="53"/>
  <c r="E86" i="53" s="1"/>
  <c r="A87" i="53"/>
  <c r="A86" i="53" s="1"/>
  <c r="G87" i="53"/>
  <c r="G86" i="53" s="1"/>
  <c r="D87" i="53"/>
  <c r="D86" i="53" s="1"/>
  <c r="C87" i="53"/>
  <c r="C86" i="53" s="1"/>
  <c r="F87" i="52"/>
  <c r="F86" i="52" s="1"/>
  <c r="B87" i="52"/>
  <c r="B86" i="52" s="1"/>
  <c r="E87" i="52"/>
  <c r="E86" i="52" s="1"/>
  <c r="A87" i="52"/>
  <c r="A86" i="52" s="1"/>
  <c r="C87" i="52"/>
  <c r="C86" i="52" s="1"/>
  <c r="G87" i="52"/>
  <c r="G86" i="52" s="1"/>
  <c r="D87" i="52"/>
  <c r="D86" i="52" s="1"/>
  <c r="B113" i="52"/>
  <c r="A113" i="52"/>
  <c r="A105" i="52" a="1"/>
  <c r="A107" i="52" a="1"/>
  <c r="A111" i="52" a="1"/>
  <c r="A103" i="52" a="1"/>
  <c r="A109" i="52" a="1"/>
  <c r="A101" i="52" a="1"/>
  <c r="F91" i="52"/>
  <c r="B91" i="52"/>
  <c r="E91" i="52"/>
  <c r="A91" i="52"/>
  <c r="C91" i="52"/>
  <c r="G91" i="52"/>
  <c r="D91" i="52"/>
  <c r="F89" i="52"/>
  <c r="B89" i="52"/>
  <c r="E89" i="52"/>
  <c r="A89" i="52"/>
  <c r="C89" i="52"/>
  <c r="G89" i="52"/>
  <c r="D89" i="52"/>
  <c r="F95" i="52"/>
  <c r="B95" i="52"/>
  <c r="E95" i="52"/>
  <c r="A95" i="52"/>
  <c r="C95" i="52"/>
  <c r="G95" i="52"/>
  <c r="D95" i="52"/>
  <c r="F93" i="52"/>
  <c r="B93" i="52"/>
  <c r="E93" i="52"/>
  <c r="A93" i="52"/>
  <c r="C93" i="52"/>
  <c r="G93" i="52"/>
  <c r="D93" i="52"/>
  <c r="B97" i="52"/>
  <c r="A97" i="52"/>
  <c r="C97" i="51"/>
  <c r="B97" i="51"/>
  <c r="G95" i="51"/>
  <c r="C95" i="51"/>
  <c r="E95" i="51"/>
  <c r="D95" i="51"/>
  <c r="F95" i="51"/>
  <c r="H95" i="51"/>
  <c r="B95" i="51"/>
  <c r="G91" i="51"/>
  <c r="C91" i="51"/>
  <c r="E91" i="51"/>
  <c r="D91" i="51"/>
  <c r="F91" i="51"/>
  <c r="H91" i="51"/>
  <c r="B91" i="51"/>
  <c r="G93" i="51"/>
  <c r="C93" i="51"/>
  <c r="H93" i="51"/>
  <c r="B93" i="51"/>
  <c r="F93" i="51"/>
  <c r="D93" i="51"/>
  <c r="E93" i="51"/>
  <c r="B105" i="51" a="1"/>
  <c r="B101" i="51" a="1"/>
  <c r="C113" i="51"/>
  <c r="B109" i="51" a="1"/>
  <c r="B111" i="51" a="1"/>
  <c r="B107" i="51" a="1"/>
  <c r="B113" i="51"/>
  <c r="B103" i="51" a="1"/>
  <c r="G87" i="51"/>
  <c r="G86" i="51" s="1"/>
  <c r="C87" i="51"/>
  <c r="C86" i="51" s="1"/>
  <c r="E87" i="51"/>
  <c r="E86" i="51" s="1"/>
  <c r="D87" i="51"/>
  <c r="D86" i="51" s="1"/>
  <c r="F87" i="51"/>
  <c r="F86" i="51" s="1"/>
  <c r="H87" i="51"/>
  <c r="H86" i="51" s="1"/>
  <c r="B87" i="51"/>
  <c r="B86" i="51" s="1"/>
  <c r="G89" i="51"/>
  <c r="C89" i="51"/>
  <c r="H89" i="51"/>
  <c r="B89" i="51"/>
  <c r="F89" i="51"/>
  <c r="D89" i="51"/>
  <c r="E89" i="51"/>
  <c r="F93" i="50"/>
  <c r="B93" i="50"/>
  <c r="E93" i="50"/>
  <c r="A93" i="50"/>
  <c r="G93" i="50"/>
  <c r="C93" i="50"/>
  <c r="D93" i="50"/>
  <c r="F87" i="50"/>
  <c r="F86" i="50" s="1"/>
  <c r="B87" i="50"/>
  <c r="B86" i="50" s="1"/>
  <c r="E87" i="50"/>
  <c r="E86" i="50" s="1"/>
  <c r="A87" i="50"/>
  <c r="A86" i="50" s="1"/>
  <c r="G87" i="50"/>
  <c r="G86" i="50" s="1"/>
  <c r="D87" i="50"/>
  <c r="D86" i="50" s="1"/>
  <c r="C87" i="50"/>
  <c r="C86" i="50" s="1"/>
  <c r="F89" i="50"/>
  <c r="B89" i="50"/>
  <c r="E89" i="50"/>
  <c r="A89" i="50"/>
  <c r="G89" i="50"/>
  <c r="D89" i="50"/>
  <c r="C89" i="50"/>
  <c r="B97" i="50"/>
  <c r="A97" i="50"/>
  <c r="A113" i="50"/>
  <c r="A111" i="50" a="1"/>
  <c r="A109" i="50" a="1"/>
  <c r="A107" i="50" a="1"/>
  <c r="A105" i="50" a="1"/>
  <c r="A103" i="50" a="1"/>
  <c r="B113" i="50"/>
  <c r="A101" i="50" a="1"/>
  <c r="F95" i="50"/>
  <c r="B95" i="50"/>
  <c r="E95" i="50"/>
  <c r="A95" i="50"/>
  <c r="G95" i="50"/>
  <c r="D95" i="50"/>
  <c r="C95" i="50"/>
  <c r="F91" i="50"/>
  <c r="B91" i="50"/>
  <c r="E91" i="50"/>
  <c r="A91" i="50"/>
  <c r="G91" i="50"/>
  <c r="C91" i="50"/>
  <c r="D91" i="50"/>
  <c r="A111" i="49" a="1"/>
  <c r="A109" i="49" a="1"/>
  <c r="A107" i="49" a="1"/>
  <c r="B113" i="49"/>
  <c r="A105" i="49" a="1"/>
  <c r="A103" i="49" a="1"/>
  <c r="A101" i="49" a="1"/>
  <c r="A113" i="49"/>
  <c r="E89" i="49"/>
  <c r="A89" i="49"/>
  <c r="F89" i="49"/>
  <c r="G89" i="49"/>
  <c r="D89" i="49"/>
  <c r="C89" i="49"/>
  <c r="B89" i="49"/>
  <c r="E95" i="49"/>
  <c r="A95" i="49"/>
  <c r="C95" i="49"/>
  <c r="D95" i="49"/>
  <c r="B95" i="49"/>
  <c r="G95" i="49"/>
  <c r="F95" i="49"/>
  <c r="E93" i="49"/>
  <c r="A93" i="49"/>
  <c r="F93" i="49"/>
  <c r="D93" i="49"/>
  <c r="C93" i="49"/>
  <c r="B93" i="49"/>
  <c r="G93" i="49"/>
  <c r="E91" i="49"/>
  <c r="A91" i="49"/>
  <c r="C91" i="49"/>
  <c r="F91" i="49"/>
  <c r="D91" i="49"/>
  <c r="B91" i="49"/>
  <c r="G91" i="49"/>
  <c r="E87" i="49"/>
  <c r="E86" i="49" s="1"/>
  <c r="A87" i="49"/>
  <c r="A86" i="49" s="1"/>
  <c r="C87" i="49"/>
  <c r="C86" i="49" s="1"/>
  <c r="G87" i="49"/>
  <c r="G86" i="49" s="1"/>
  <c r="F87" i="49"/>
  <c r="F86" i="49" s="1"/>
  <c r="D87" i="49"/>
  <c r="D86" i="49" s="1"/>
  <c r="B87" i="49"/>
  <c r="B86" i="49" s="1"/>
  <c r="A97" i="49"/>
  <c r="B97" i="49"/>
  <c r="C97" i="48"/>
  <c r="B97" i="48"/>
  <c r="B111" i="48" a="1"/>
  <c r="B113" i="48"/>
  <c r="B109" i="48" a="1"/>
  <c r="B105" i="48" a="1"/>
  <c r="B101" i="48" a="1"/>
  <c r="C113" i="48"/>
  <c r="B107" i="48" a="1"/>
  <c r="B103" i="48" a="1"/>
  <c r="G95" i="48"/>
  <c r="C95" i="48"/>
  <c r="E95" i="48"/>
  <c r="F95" i="48"/>
  <c r="D95" i="48"/>
  <c r="H95" i="48"/>
  <c r="B95" i="48"/>
  <c r="G89" i="48"/>
  <c r="C89" i="48"/>
  <c r="H89" i="48"/>
  <c r="B89" i="48"/>
  <c r="F89" i="48"/>
  <c r="D89" i="48"/>
  <c r="E89" i="48"/>
  <c r="G93" i="48"/>
  <c r="C93" i="48"/>
  <c r="H93" i="48"/>
  <c r="B93" i="48"/>
  <c r="F93" i="48"/>
  <c r="E93" i="48"/>
  <c r="D93" i="48"/>
  <c r="G91" i="48"/>
  <c r="C91" i="48"/>
  <c r="E91" i="48"/>
  <c r="H91" i="48"/>
  <c r="F91" i="48"/>
  <c r="B91" i="48"/>
  <c r="D91" i="48"/>
  <c r="G87" i="48"/>
  <c r="G86" i="48" s="1"/>
  <c r="C87" i="48"/>
  <c r="C86" i="48" s="1"/>
  <c r="E87" i="48"/>
  <c r="E86" i="48" s="1"/>
  <c r="B87" i="48"/>
  <c r="B86" i="48" s="1"/>
  <c r="H87" i="48"/>
  <c r="H86" i="48" s="1"/>
  <c r="F87" i="48"/>
  <c r="F86" i="48" s="1"/>
  <c r="D87" i="48"/>
  <c r="D86" i="48" s="1"/>
  <c r="G91" i="47"/>
  <c r="D91" i="47"/>
  <c r="H91" i="47"/>
  <c r="F91" i="47"/>
  <c r="E91" i="47"/>
  <c r="C91" i="47"/>
  <c r="B91" i="47"/>
  <c r="G89" i="47"/>
  <c r="D89" i="47"/>
  <c r="F89" i="47"/>
  <c r="E89" i="47"/>
  <c r="C89" i="47"/>
  <c r="B89" i="47"/>
  <c r="H89" i="47"/>
  <c r="G87" i="47"/>
  <c r="G86" i="47" s="1"/>
  <c r="D87" i="47"/>
  <c r="D86" i="47" s="1"/>
  <c r="C87" i="47"/>
  <c r="C86" i="47" s="1"/>
  <c r="B87" i="47"/>
  <c r="B86" i="47" s="1"/>
  <c r="H87" i="47"/>
  <c r="H86" i="47" s="1"/>
  <c r="F87" i="47"/>
  <c r="F86" i="47" s="1"/>
  <c r="E87" i="47"/>
  <c r="E86" i="47" s="1"/>
  <c r="G95" i="47"/>
  <c r="D95" i="47"/>
  <c r="C95" i="47"/>
  <c r="B95" i="47"/>
  <c r="H95" i="47"/>
  <c r="F95" i="47"/>
  <c r="E95" i="47"/>
  <c r="G93" i="47"/>
  <c r="D93" i="47"/>
  <c r="H93" i="47"/>
  <c r="F93" i="47"/>
  <c r="E93" i="47"/>
  <c r="C93" i="47"/>
  <c r="B93" i="47"/>
  <c r="C97" i="47"/>
  <c r="B97" i="47"/>
  <c r="B107" i="47" a="1"/>
  <c r="C113" i="47"/>
  <c r="B113" i="47"/>
  <c r="B109" i="47" a="1"/>
  <c r="B101" i="47" a="1"/>
  <c r="B103" i="47" a="1"/>
  <c r="B111" i="47" a="1"/>
  <c r="B105" i="47" a="1"/>
  <c r="F87" i="46"/>
  <c r="F86" i="46" s="1"/>
  <c r="D87" i="46"/>
  <c r="D86" i="46" s="1"/>
  <c r="C87" i="46"/>
  <c r="C86" i="46" s="1"/>
  <c r="E87" i="46"/>
  <c r="E86" i="46" s="1"/>
  <c r="H87" i="46"/>
  <c r="H86" i="46" s="1"/>
  <c r="B87" i="46"/>
  <c r="B86" i="46" s="1"/>
  <c r="G87" i="46"/>
  <c r="G86" i="46" s="1"/>
  <c r="F95" i="46"/>
  <c r="D95" i="46"/>
  <c r="C95" i="46"/>
  <c r="B95" i="46"/>
  <c r="H95" i="46"/>
  <c r="G95" i="46"/>
  <c r="E95" i="46"/>
  <c r="F91" i="46"/>
  <c r="D91" i="46"/>
  <c r="C91" i="46"/>
  <c r="E91" i="46"/>
  <c r="H91" i="46"/>
  <c r="G91" i="46"/>
  <c r="B91" i="46"/>
  <c r="C97" i="46"/>
  <c r="B97" i="46"/>
  <c r="B105" i="46" a="1"/>
  <c r="B111" i="46" a="1"/>
  <c r="B103" i="46" a="1"/>
  <c r="C113" i="46"/>
  <c r="B101" i="46" a="1"/>
  <c r="B109" i="46" a="1"/>
  <c r="B107" i="46" a="1"/>
  <c r="B113" i="46"/>
  <c r="F93" i="46"/>
  <c r="D93" i="46"/>
  <c r="C93" i="46"/>
  <c r="G93" i="46"/>
  <c r="E93" i="46"/>
  <c r="B93" i="46"/>
  <c r="H93" i="46"/>
  <c r="F89" i="46"/>
  <c r="D89" i="46"/>
  <c r="C89" i="46"/>
  <c r="H89" i="46"/>
  <c r="G89" i="46"/>
  <c r="E89" i="46"/>
  <c r="B89" i="46"/>
  <c r="B111" i="45" a="1"/>
  <c r="B107" i="45" a="1"/>
  <c r="B103" i="45" a="1"/>
  <c r="C113" i="45"/>
  <c r="B109" i="45" a="1"/>
  <c r="B105" i="45" a="1"/>
  <c r="B101" i="45" a="1"/>
  <c r="B113" i="45"/>
  <c r="G91" i="45"/>
  <c r="D91" i="45"/>
  <c r="C91" i="45"/>
  <c r="B91" i="45"/>
  <c r="H91" i="45"/>
  <c r="F91" i="45"/>
  <c r="E91" i="45"/>
  <c r="G95" i="45"/>
  <c r="D95" i="45"/>
  <c r="C95" i="45"/>
  <c r="B95" i="45"/>
  <c r="H95" i="45"/>
  <c r="F95" i="45"/>
  <c r="E95" i="45"/>
  <c r="G87" i="45"/>
  <c r="G86" i="45" s="1"/>
  <c r="D87" i="45"/>
  <c r="D86" i="45" s="1"/>
  <c r="C87" i="45"/>
  <c r="C86" i="45" s="1"/>
  <c r="B87" i="45"/>
  <c r="B86" i="45" s="1"/>
  <c r="H87" i="45"/>
  <c r="H86" i="45" s="1"/>
  <c r="F87" i="45"/>
  <c r="F86" i="45" s="1"/>
  <c r="E87" i="45"/>
  <c r="E86" i="45" s="1"/>
  <c r="G89" i="45"/>
  <c r="D89" i="45"/>
  <c r="C89" i="45"/>
  <c r="B89" i="45"/>
  <c r="E89" i="45"/>
  <c r="F89" i="45"/>
  <c r="H89" i="45"/>
  <c r="G93" i="45"/>
  <c r="D93" i="45"/>
  <c r="C93" i="45"/>
  <c r="B93" i="45"/>
  <c r="E93" i="45"/>
  <c r="F93" i="45"/>
  <c r="H93" i="45"/>
  <c r="C97" i="45"/>
  <c r="B97" i="45"/>
  <c r="C97" i="43"/>
  <c r="B97" i="43"/>
  <c r="G91" i="43"/>
  <c r="F91" i="43"/>
  <c r="D91" i="43"/>
  <c r="H91" i="43"/>
  <c r="B91" i="43"/>
  <c r="E91" i="43"/>
  <c r="C91" i="43"/>
  <c r="G95" i="43"/>
  <c r="F95" i="43"/>
  <c r="D95" i="43"/>
  <c r="H95" i="43"/>
  <c r="E95" i="43"/>
  <c r="C95" i="43"/>
  <c r="B95" i="43"/>
  <c r="G89" i="43"/>
  <c r="F89" i="43"/>
  <c r="D89" i="43"/>
  <c r="E89" i="43"/>
  <c r="C89" i="43"/>
  <c r="B89" i="43"/>
  <c r="H89" i="43"/>
  <c r="G93" i="43"/>
  <c r="F93" i="43"/>
  <c r="D93" i="43"/>
  <c r="B93" i="43"/>
  <c r="H93" i="43"/>
  <c r="E93" i="43"/>
  <c r="C93" i="43"/>
  <c r="B107" i="43" a="1"/>
  <c r="B103" i="43" a="1"/>
  <c r="B113" i="43"/>
  <c r="B111" i="43" a="1"/>
  <c r="B109" i="43" a="1"/>
  <c r="B105" i="43" a="1"/>
  <c r="C113" i="43"/>
  <c r="B101" i="43" a="1"/>
  <c r="G87" i="43"/>
  <c r="G86" i="43" s="1"/>
  <c r="F87" i="43"/>
  <c r="F86" i="43" s="1"/>
  <c r="D87" i="43"/>
  <c r="D86" i="43" s="1"/>
  <c r="C87" i="43"/>
  <c r="C86" i="43" s="1"/>
  <c r="E87" i="43"/>
  <c r="E86" i="43" s="1"/>
  <c r="H87" i="43"/>
  <c r="H86" i="43" s="1"/>
  <c r="B87" i="43"/>
  <c r="B86" i="43" s="1"/>
  <c r="C93" i="42"/>
  <c r="B93" i="42"/>
  <c r="H93" i="42"/>
  <c r="F93" i="42"/>
  <c r="G93" i="42"/>
  <c r="E93" i="42"/>
  <c r="D93" i="42"/>
  <c r="C87" i="42"/>
  <c r="C86" i="42" s="1"/>
  <c r="B87" i="42"/>
  <c r="B86" i="42" s="1"/>
  <c r="H87" i="42"/>
  <c r="H86" i="42" s="1"/>
  <c r="F87" i="42"/>
  <c r="F86" i="42" s="1"/>
  <c r="G87" i="42"/>
  <c r="G86" i="42" s="1"/>
  <c r="E87" i="42"/>
  <c r="E86" i="42" s="1"/>
  <c r="D87" i="42"/>
  <c r="D86" i="42" s="1"/>
  <c r="C97" i="42"/>
  <c r="B97" i="42"/>
  <c r="B113" i="42"/>
  <c r="B107" i="42" a="1"/>
  <c r="B103" i="42" a="1"/>
  <c r="C113" i="42"/>
  <c r="B109" i="42" a="1"/>
  <c r="B105" i="42" a="1"/>
  <c r="B101" i="42" a="1"/>
  <c r="B111" i="42" a="1"/>
  <c r="C95" i="42"/>
  <c r="B95" i="42"/>
  <c r="H95" i="42"/>
  <c r="F95" i="42"/>
  <c r="E95" i="42"/>
  <c r="D95" i="42"/>
  <c r="G95" i="42"/>
  <c r="C91" i="42"/>
  <c r="B91" i="42"/>
  <c r="H91" i="42"/>
  <c r="G91" i="42"/>
  <c r="F91" i="42"/>
  <c r="D91" i="42"/>
  <c r="E91" i="42"/>
  <c r="C89" i="42"/>
  <c r="B89" i="42"/>
  <c r="H89" i="42"/>
  <c r="E89" i="42"/>
  <c r="D89" i="42"/>
  <c r="F89" i="42"/>
  <c r="G89" i="42"/>
  <c r="G89" i="41"/>
  <c r="C89" i="41"/>
  <c r="F89" i="41"/>
  <c r="B89" i="41"/>
  <c r="H89" i="41"/>
  <c r="E89" i="41"/>
  <c r="D89" i="41"/>
  <c r="C97" i="41"/>
  <c r="B97" i="41"/>
  <c r="G91" i="41"/>
  <c r="C91" i="41"/>
  <c r="F91" i="41"/>
  <c r="B91" i="41"/>
  <c r="H91" i="41"/>
  <c r="E91" i="41"/>
  <c r="D91" i="41"/>
  <c r="G93" i="41"/>
  <c r="C93" i="41"/>
  <c r="F93" i="41"/>
  <c r="B93" i="41"/>
  <c r="H93" i="41"/>
  <c r="E93" i="41"/>
  <c r="D93" i="41"/>
  <c r="C113" i="41"/>
  <c r="B113" i="41"/>
  <c r="B111" i="41" a="1"/>
  <c r="B109" i="41" a="1"/>
  <c r="B107" i="41" a="1"/>
  <c r="B105" i="41" a="1"/>
  <c r="B103" i="41" a="1"/>
  <c r="B101" i="41" a="1"/>
  <c r="G87" i="41"/>
  <c r="G86" i="41" s="1"/>
  <c r="C87" i="41"/>
  <c r="C86" i="41" s="1"/>
  <c r="F87" i="41"/>
  <c r="F86" i="41" s="1"/>
  <c r="B87" i="41"/>
  <c r="B86" i="41" s="1"/>
  <c r="H87" i="41"/>
  <c r="H86" i="41" s="1"/>
  <c r="E87" i="41"/>
  <c r="E86" i="41" s="1"/>
  <c r="D87" i="41"/>
  <c r="D86" i="41" s="1"/>
  <c r="G95" i="41"/>
  <c r="C95" i="41"/>
  <c r="F95" i="41"/>
  <c r="B95" i="41"/>
  <c r="H95" i="41"/>
  <c r="E95" i="41"/>
  <c r="D95" i="41"/>
  <c r="C113" i="40"/>
  <c r="B113" i="40"/>
  <c r="B111" i="40" a="1"/>
  <c r="B109" i="40" a="1"/>
  <c r="B107" i="40" a="1"/>
  <c r="B105" i="40" a="1"/>
  <c r="B103" i="40" a="1"/>
  <c r="B101" i="40" a="1"/>
  <c r="G91" i="40"/>
  <c r="C91" i="40"/>
  <c r="F91" i="40"/>
  <c r="B91" i="40"/>
  <c r="D91" i="40"/>
  <c r="H91" i="40"/>
  <c r="E91" i="40"/>
  <c r="G93" i="40"/>
  <c r="C93" i="40"/>
  <c r="F93" i="40"/>
  <c r="B93" i="40"/>
  <c r="H93" i="40"/>
  <c r="D93" i="40"/>
  <c r="E93" i="40"/>
  <c r="G87" i="40"/>
  <c r="G86" i="40" s="1"/>
  <c r="C87" i="40"/>
  <c r="C86" i="40" s="1"/>
  <c r="F87" i="40"/>
  <c r="F86" i="40" s="1"/>
  <c r="B87" i="40"/>
  <c r="B86" i="40" s="1"/>
  <c r="D87" i="40"/>
  <c r="D86" i="40" s="1"/>
  <c r="H87" i="40"/>
  <c r="H86" i="40" s="1"/>
  <c r="E87" i="40"/>
  <c r="E86" i="40" s="1"/>
  <c r="G95" i="40"/>
  <c r="C95" i="40"/>
  <c r="F95" i="40"/>
  <c r="B95" i="40"/>
  <c r="H95" i="40"/>
  <c r="D95" i="40"/>
  <c r="E95" i="40"/>
  <c r="G89" i="40"/>
  <c r="C89" i="40"/>
  <c r="F89" i="40"/>
  <c r="B89" i="40"/>
  <c r="H89" i="40"/>
  <c r="D89" i="40"/>
  <c r="E89" i="40"/>
  <c r="C97" i="40"/>
  <c r="B97" i="40"/>
  <c r="C97" i="39"/>
  <c r="B97" i="39"/>
  <c r="C113" i="39"/>
  <c r="B113" i="39"/>
  <c r="B109" i="39" a="1"/>
  <c r="B101" i="39" a="1"/>
  <c r="B111" i="39" a="1"/>
  <c r="B103" i="39" a="1"/>
  <c r="B105" i="39" a="1"/>
  <c r="B107" i="39" a="1"/>
  <c r="G87" i="39"/>
  <c r="G86" i="39" s="1"/>
  <c r="C87" i="39"/>
  <c r="C86" i="39" s="1"/>
  <c r="F87" i="39"/>
  <c r="F86" i="39" s="1"/>
  <c r="D87" i="39"/>
  <c r="D86" i="39" s="1"/>
  <c r="H87" i="39"/>
  <c r="H86" i="39" s="1"/>
  <c r="E87" i="39"/>
  <c r="E86" i="39" s="1"/>
  <c r="B87" i="39"/>
  <c r="B86" i="39" s="1"/>
  <c r="G89" i="39"/>
  <c r="C89" i="39"/>
  <c r="D89" i="39"/>
  <c r="F89" i="39"/>
  <c r="B89" i="39"/>
  <c r="H89" i="39"/>
  <c r="E89" i="39"/>
  <c r="G91" i="39"/>
  <c r="C91" i="39"/>
  <c r="F91" i="39"/>
  <c r="D91" i="39"/>
  <c r="E91" i="39"/>
  <c r="B91" i="39"/>
  <c r="H91" i="39"/>
  <c r="G93" i="39"/>
  <c r="C93" i="39"/>
  <c r="D93" i="39"/>
  <c r="F93" i="39"/>
  <c r="H93" i="39"/>
  <c r="E93" i="39"/>
  <c r="B93" i="39"/>
  <c r="G95" i="39"/>
  <c r="C95" i="39"/>
  <c r="F95" i="39"/>
  <c r="D95" i="39"/>
  <c r="H95" i="39"/>
  <c r="E95" i="39"/>
  <c r="B95" i="39"/>
  <c r="G91" i="38"/>
  <c r="C91" i="38"/>
  <c r="F91" i="38"/>
  <c r="B91" i="38"/>
  <c r="H91" i="38"/>
  <c r="D91" i="38"/>
  <c r="E91" i="38"/>
  <c r="G93" i="38"/>
  <c r="C93" i="38"/>
  <c r="F93" i="38"/>
  <c r="B93" i="38"/>
  <c r="H93" i="38"/>
  <c r="D93" i="38"/>
  <c r="E93" i="38"/>
  <c r="G95" i="38"/>
  <c r="C95" i="38"/>
  <c r="F95" i="38"/>
  <c r="B95" i="38"/>
  <c r="H95" i="38"/>
  <c r="D95" i="38"/>
  <c r="E95" i="38"/>
  <c r="B113" i="38"/>
  <c r="B109" i="38" a="1"/>
  <c r="B105" i="38" a="1"/>
  <c r="B101" i="38" a="1"/>
  <c r="C113" i="38"/>
  <c r="B111" i="38" a="1"/>
  <c r="B107" i="38" a="1"/>
  <c r="B103" i="38" a="1"/>
  <c r="C97" i="38"/>
  <c r="B97" i="38"/>
  <c r="G87" i="38"/>
  <c r="G86" i="38" s="1"/>
  <c r="C87" i="38"/>
  <c r="C86" i="38" s="1"/>
  <c r="F87" i="38"/>
  <c r="F86" i="38" s="1"/>
  <c r="B87" i="38"/>
  <c r="B86" i="38" s="1"/>
  <c r="D87" i="38"/>
  <c r="D86" i="38" s="1"/>
  <c r="H87" i="38"/>
  <c r="H86" i="38" s="1"/>
  <c r="E87" i="38"/>
  <c r="E86" i="38" s="1"/>
  <c r="G89" i="38"/>
  <c r="C89" i="38"/>
  <c r="F89" i="38"/>
  <c r="B89" i="38"/>
  <c r="D89" i="38"/>
  <c r="E89" i="38"/>
  <c r="H89" i="38"/>
  <c r="G95" i="37"/>
  <c r="C95" i="37"/>
  <c r="F95" i="37"/>
  <c r="B95" i="37"/>
  <c r="D95" i="37"/>
  <c r="H95" i="37"/>
  <c r="E95" i="37"/>
  <c r="G89" i="37"/>
  <c r="C89" i="37"/>
  <c r="F89" i="37"/>
  <c r="B89" i="37"/>
  <c r="D89" i="37"/>
  <c r="H89" i="37"/>
  <c r="E89" i="37"/>
  <c r="B113" i="37"/>
  <c r="B109" i="37" a="1"/>
  <c r="B105" i="37" a="1"/>
  <c r="B101" i="37" a="1"/>
  <c r="C113" i="37"/>
  <c r="B111" i="37" a="1"/>
  <c r="B107" i="37" a="1"/>
  <c r="B103" i="37" a="1"/>
  <c r="G87" i="37"/>
  <c r="G86" i="37" s="1"/>
  <c r="C87" i="37"/>
  <c r="C86" i="37" s="1"/>
  <c r="F87" i="37"/>
  <c r="F86" i="37" s="1"/>
  <c r="B87" i="37"/>
  <c r="B86" i="37" s="1"/>
  <c r="D87" i="37"/>
  <c r="D86" i="37" s="1"/>
  <c r="H87" i="37"/>
  <c r="H86" i="37" s="1"/>
  <c r="E87" i="37"/>
  <c r="E86" i="37" s="1"/>
  <c r="G93" i="37"/>
  <c r="C93" i="37"/>
  <c r="F93" i="37"/>
  <c r="B93" i="37"/>
  <c r="D93" i="37"/>
  <c r="H93" i="37"/>
  <c r="E93" i="37"/>
  <c r="G91" i="37"/>
  <c r="C91" i="37"/>
  <c r="F91" i="37"/>
  <c r="B91" i="37"/>
  <c r="D91" i="37"/>
  <c r="H91" i="37"/>
  <c r="E91" i="37"/>
  <c r="C97" i="37"/>
  <c r="B97" i="37"/>
  <c r="G93" i="36"/>
  <c r="C93" i="36"/>
  <c r="D93" i="36"/>
  <c r="H93" i="36"/>
  <c r="B93" i="36"/>
  <c r="F93" i="36"/>
  <c r="E93" i="36"/>
  <c r="B111" i="36" a="1"/>
  <c r="B107" i="36" a="1"/>
  <c r="B103" i="36" a="1"/>
  <c r="C113" i="36"/>
  <c r="B113" i="36"/>
  <c r="B109" i="36" a="1"/>
  <c r="B105" i="36" a="1"/>
  <c r="B101" i="36" a="1"/>
  <c r="G89" i="36"/>
  <c r="C89" i="36"/>
  <c r="D89" i="36"/>
  <c r="H89" i="36"/>
  <c r="B89" i="36"/>
  <c r="F89" i="36"/>
  <c r="E89" i="36"/>
  <c r="G87" i="36"/>
  <c r="G86" i="36" s="1"/>
  <c r="C87" i="36"/>
  <c r="C86" i="36" s="1"/>
  <c r="F87" i="36"/>
  <c r="F86" i="36" s="1"/>
  <c r="E87" i="36"/>
  <c r="E86" i="36" s="1"/>
  <c r="D87" i="36"/>
  <c r="D86" i="36" s="1"/>
  <c r="B87" i="36"/>
  <c r="B86" i="36" s="1"/>
  <c r="H87" i="36"/>
  <c r="H86" i="36" s="1"/>
  <c r="C97" i="36"/>
  <c r="B97" i="36"/>
  <c r="G91" i="36"/>
  <c r="C91" i="36"/>
  <c r="F91" i="36"/>
  <c r="E91" i="36"/>
  <c r="H91" i="36"/>
  <c r="D91" i="36"/>
  <c r="B91" i="36"/>
  <c r="G95" i="36"/>
  <c r="C95" i="36"/>
  <c r="F95" i="36"/>
  <c r="E95" i="36"/>
  <c r="D95" i="36"/>
  <c r="B95" i="36"/>
  <c r="H95" i="36"/>
  <c r="G87" i="35"/>
  <c r="G86" i="35" s="1"/>
  <c r="C87" i="35"/>
  <c r="C86" i="35" s="1"/>
  <c r="H87" i="35"/>
  <c r="H86" i="35" s="1"/>
  <c r="B87" i="35"/>
  <c r="B86" i="35" s="1"/>
  <c r="F87" i="35"/>
  <c r="F86" i="35" s="1"/>
  <c r="E87" i="35"/>
  <c r="E86" i="35" s="1"/>
  <c r="D87" i="35"/>
  <c r="D86" i="35" s="1"/>
  <c r="B111" i="35" a="1"/>
  <c r="B107" i="35" a="1"/>
  <c r="B103" i="35" a="1"/>
  <c r="C113" i="35"/>
  <c r="B113" i="35"/>
  <c r="B109" i="35" a="1"/>
  <c r="B105" i="35" a="1"/>
  <c r="B101" i="35" a="1"/>
  <c r="C97" i="35"/>
  <c r="B97" i="35"/>
  <c r="G91" i="35"/>
  <c r="C91" i="35"/>
  <c r="H91" i="35"/>
  <c r="B91" i="35"/>
  <c r="F91" i="35"/>
  <c r="E91" i="35"/>
  <c r="D91" i="35"/>
  <c r="G93" i="35"/>
  <c r="C93" i="35"/>
  <c r="E93" i="35"/>
  <c r="D93" i="35"/>
  <c r="H93" i="35"/>
  <c r="B93" i="35"/>
  <c r="F93" i="35"/>
  <c r="G95" i="35"/>
  <c r="C95" i="35"/>
  <c r="H95" i="35"/>
  <c r="B95" i="35"/>
  <c r="F95" i="35"/>
  <c r="E95" i="35"/>
  <c r="D95" i="35"/>
  <c r="G89" i="35"/>
  <c r="C89" i="35"/>
  <c r="E89" i="35"/>
  <c r="D89" i="35"/>
  <c r="H89" i="35"/>
  <c r="B89" i="35"/>
  <c r="F89" i="35"/>
  <c r="G89" i="34"/>
  <c r="C89" i="34"/>
  <c r="F89" i="34"/>
  <c r="B89" i="34"/>
  <c r="H89" i="34"/>
  <c r="E89" i="34"/>
  <c r="D89" i="34"/>
  <c r="C97" i="34"/>
  <c r="B97" i="34"/>
  <c r="G87" i="34"/>
  <c r="G86" i="34" s="1"/>
  <c r="C87" i="34"/>
  <c r="C86" i="34" s="1"/>
  <c r="F87" i="34"/>
  <c r="F86" i="34" s="1"/>
  <c r="B87" i="34"/>
  <c r="B86" i="34" s="1"/>
  <c r="H87" i="34"/>
  <c r="H86" i="34" s="1"/>
  <c r="E87" i="34"/>
  <c r="E86" i="34" s="1"/>
  <c r="D87" i="34"/>
  <c r="D86" i="34" s="1"/>
  <c r="G95" i="34"/>
  <c r="C95" i="34"/>
  <c r="F95" i="34"/>
  <c r="B95" i="34"/>
  <c r="H95" i="34"/>
  <c r="E95" i="34"/>
  <c r="D95" i="34"/>
  <c r="C113" i="34"/>
  <c r="B113" i="34"/>
  <c r="B111" i="34" a="1"/>
  <c r="B109" i="34" a="1"/>
  <c r="B107" i="34" a="1"/>
  <c r="B105" i="34" a="1"/>
  <c r="B103" i="34" a="1"/>
  <c r="B101" i="34" a="1"/>
  <c r="G91" i="34"/>
  <c r="C91" i="34"/>
  <c r="F91" i="34"/>
  <c r="B91" i="34"/>
  <c r="H91" i="34"/>
  <c r="E91" i="34"/>
  <c r="D91" i="34"/>
  <c r="G93" i="34"/>
  <c r="C93" i="34"/>
  <c r="F93" i="34"/>
  <c r="B93" i="34"/>
  <c r="H93" i="34"/>
  <c r="E93" i="34"/>
  <c r="D93" i="34"/>
  <c r="G87" i="33"/>
  <c r="G86" i="33" s="1"/>
  <c r="C87" i="33"/>
  <c r="C86" i="33" s="1"/>
  <c r="F87" i="33"/>
  <c r="F86" i="33" s="1"/>
  <c r="B87" i="33"/>
  <c r="B86" i="33" s="1"/>
  <c r="H87" i="33"/>
  <c r="H86" i="33" s="1"/>
  <c r="E87" i="33"/>
  <c r="E86" i="33" s="1"/>
  <c r="D87" i="33"/>
  <c r="D86" i="33" s="1"/>
  <c r="G89" i="33"/>
  <c r="C89" i="33"/>
  <c r="F89" i="33"/>
  <c r="B89" i="33"/>
  <c r="H89" i="33"/>
  <c r="E89" i="33"/>
  <c r="D89" i="33"/>
  <c r="C97" i="33"/>
  <c r="B97" i="33"/>
  <c r="G95" i="33"/>
  <c r="C95" i="33"/>
  <c r="F95" i="33"/>
  <c r="B95" i="33"/>
  <c r="H95" i="33"/>
  <c r="E95" i="33"/>
  <c r="D95" i="33"/>
  <c r="G91" i="33"/>
  <c r="C91" i="33"/>
  <c r="F91" i="33"/>
  <c r="B91" i="33"/>
  <c r="H91" i="33"/>
  <c r="E91" i="33"/>
  <c r="D91" i="33"/>
  <c r="C113" i="33"/>
  <c r="B113" i="33"/>
  <c r="B111" i="33" a="1"/>
  <c r="B109" i="33" a="1"/>
  <c r="B107" i="33" a="1"/>
  <c r="B105" i="33" a="1"/>
  <c r="B103" i="33" a="1"/>
  <c r="B101" i="33" a="1"/>
  <c r="G93" i="33"/>
  <c r="C93" i="33"/>
  <c r="F93" i="33"/>
  <c r="B93" i="33"/>
  <c r="H93" i="33"/>
  <c r="E93" i="33"/>
  <c r="D93" i="33"/>
  <c r="G91" i="32"/>
  <c r="C91" i="32"/>
  <c r="H91" i="32"/>
  <c r="B91" i="32"/>
  <c r="F91" i="32"/>
  <c r="E91" i="32"/>
  <c r="D91" i="32"/>
  <c r="C97" i="32"/>
  <c r="B97" i="32"/>
  <c r="G95" i="32"/>
  <c r="C95" i="32"/>
  <c r="H95" i="32"/>
  <c r="B95" i="32"/>
  <c r="F95" i="32"/>
  <c r="E95" i="32"/>
  <c r="D95" i="32"/>
  <c r="G89" i="32"/>
  <c r="C89" i="32"/>
  <c r="E89" i="32"/>
  <c r="D89" i="32"/>
  <c r="H89" i="32"/>
  <c r="B89" i="32"/>
  <c r="F89" i="32"/>
  <c r="G93" i="32"/>
  <c r="C93" i="32"/>
  <c r="E93" i="32"/>
  <c r="D93" i="32"/>
  <c r="H93" i="32"/>
  <c r="B93" i="32"/>
  <c r="F93" i="32"/>
  <c r="B111" i="32" a="1"/>
  <c r="B107" i="32" a="1"/>
  <c r="B103" i="32" a="1"/>
  <c r="C113" i="32"/>
  <c r="B113" i="32"/>
  <c r="B109" i="32" a="1"/>
  <c r="B105" i="32" a="1"/>
  <c r="B101" i="32" a="1"/>
  <c r="G87" i="32"/>
  <c r="G86" i="32" s="1"/>
  <c r="C87" i="32"/>
  <c r="C86" i="32" s="1"/>
  <c r="H87" i="32"/>
  <c r="H86" i="32" s="1"/>
  <c r="B87" i="32"/>
  <c r="B86" i="32" s="1"/>
  <c r="F87" i="32"/>
  <c r="F86" i="32" s="1"/>
  <c r="E87" i="32"/>
  <c r="E86" i="32" s="1"/>
  <c r="D87" i="32"/>
  <c r="D86" i="32" s="1"/>
  <c r="G95" i="31"/>
  <c r="C95" i="31"/>
  <c r="H95" i="31"/>
  <c r="B95" i="31"/>
  <c r="E95" i="31"/>
  <c r="F95" i="31"/>
  <c r="D95" i="31"/>
  <c r="G89" i="31"/>
  <c r="C89" i="31"/>
  <c r="H89" i="31"/>
  <c r="B89" i="31"/>
  <c r="F89" i="31"/>
  <c r="E89" i="31"/>
  <c r="D89" i="31"/>
  <c r="B111" i="31" a="1"/>
  <c r="B107" i="31" a="1"/>
  <c r="B103" i="31" a="1"/>
  <c r="B113" i="31"/>
  <c r="B109" i="31" a="1"/>
  <c r="B105" i="31" a="1"/>
  <c r="B101" i="31" a="1"/>
  <c r="C113" i="31"/>
  <c r="G91" i="31"/>
  <c r="C91" i="31"/>
  <c r="H91" i="31"/>
  <c r="B91" i="31"/>
  <c r="E91" i="31"/>
  <c r="F91" i="31"/>
  <c r="D91" i="31"/>
  <c r="G87" i="31"/>
  <c r="G86" i="31" s="1"/>
  <c r="C87" i="31"/>
  <c r="C86" i="31" s="1"/>
  <c r="E87" i="31"/>
  <c r="E86" i="31" s="1"/>
  <c r="B87" i="31"/>
  <c r="B86" i="31" s="1"/>
  <c r="H87" i="31"/>
  <c r="H86" i="31" s="1"/>
  <c r="F87" i="31"/>
  <c r="F86" i="31" s="1"/>
  <c r="D87" i="31"/>
  <c r="D86" i="31" s="1"/>
  <c r="C97" i="31"/>
  <c r="B97" i="31"/>
  <c r="G93" i="31"/>
  <c r="C93" i="31"/>
  <c r="E93" i="31"/>
  <c r="H93" i="31"/>
  <c r="B93" i="31"/>
  <c r="D93" i="31"/>
  <c r="F93" i="31"/>
  <c r="G89" i="30"/>
  <c r="C89" i="30"/>
  <c r="H89" i="30"/>
  <c r="B89" i="30"/>
  <c r="E89" i="30"/>
  <c r="F89" i="30"/>
  <c r="D89" i="30"/>
  <c r="G91" i="30"/>
  <c r="C91" i="30"/>
  <c r="E91" i="30"/>
  <c r="H91" i="30"/>
  <c r="B91" i="30"/>
  <c r="F91" i="30"/>
  <c r="D91" i="30"/>
  <c r="G87" i="30"/>
  <c r="G86" i="30" s="1"/>
  <c r="C87" i="30"/>
  <c r="C86" i="30" s="1"/>
  <c r="E87" i="30"/>
  <c r="E86" i="30" s="1"/>
  <c r="H87" i="30"/>
  <c r="H86" i="30" s="1"/>
  <c r="B87" i="30"/>
  <c r="B86" i="30" s="1"/>
  <c r="F87" i="30"/>
  <c r="F86" i="30" s="1"/>
  <c r="D87" i="30"/>
  <c r="D86" i="30" s="1"/>
  <c r="G95" i="30"/>
  <c r="C95" i="30"/>
  <c r="E95" i="30"/>
  <c r="D95" i="30"/>
  <c r="H95" i="30"/>
  <c r="B95" i="30"/>
  <c r="F95" i="30"/>
  <c r="B113" i="30"/>
  <c r="B111" i="30" a="1"/>
  <c r="B109" i="30" a="1"/>
  <c r="B107" i="30" a="1"/>
  <c r="B105" i="30" a="1"/>
  <c r="B103" i="30" a="1"/>
  <c r="B101" i="30" a="1"/>
  <c r="C113" i="30"/>
  <c r="G93" i="30"/>
  <c r="C93" i="30"/>
  <c r="H93" i="30"/>
  <c r="B93" i="30"/>
  <c r="E93" i="30"/>
  <c r="D93" i="30"/>
  <c r="F93" i="30"/>
  <c r="C97" i="30"/>
  <c r="B97" i="30"/>
  <c r="G89" i="29"/>
  <c r="C89" i="29"/>
  <c r="F89" i="29"/>
  <c r="B89" i="29"/>
  <c r="H89" i="29"/>
  <c r="E89" i="29"/>
  <c r="D89" i="29"/>
  <c r="C97" i="29"/>
  <c r="B97" i="29"/>
  <c r="G95" i="29"/>
  <c r="C95" i="29"/>
  <c r="F95" i="29"/>
  <c r="B95" i="29"/>
  <c r="H95" i="29"/>
  <c r="E95" i="29"/>
  <c r="D95" i="29"/>
  <c r="G91" i="29"/>
  <c r="C91" i="29"/>
  <c r="F91" i="29"/>
  <c r="B91" i="29"/>
  <c r="H91" i="29"/>
  <c r="E91" i="29"/>
  <c r="D91" i="29"/>
  <c r="G87" i="29"/>
  <c r="G86" i="29" s="1"/>
  <c r="C87" i="29"/>
  <c r="C86" i="29" s="1"/>
  <c r="F87" i="29"/>
  <c r="F86" i="29" s="1"/>
  <c r="B87" i="29"/>
  <c r="B86" i="29" s="1"/>
  <c r="H87" i="29"/>
  <c r="H86" i="29" s="1"/>
  <c r="E87" i="29"/>
  <c r="E86" i="29" s="1"/>
  <c r="D87" i="29"/>
  <c r="D86" i="29" s="1"/>
  <c r="C113" i="29"/>
  <c r="B113" i="29"/>
  <c r="B111" i="29" a="1"/>
  <c r="B109" i="29" a="1"/>
  <c r="B107" i="29" a="1"/>
  <c r="B105" i="29" a="1"/>
  <c r="B103" i="29" a="1"/>
  <c r="B101" i="29" a="1"/>
  <c r="G93" i="29"/>
  <c r="C93" i="29"/>
  <c r="F93" i="29"/>
  <c r="B93" i="29"/>
  <c r="H93" i="29"/>
  <c r="E93" i="29"/>
  <c r="D93" i="29"/>
  <c r="C113" i="28"/>
  <c r="B113" i="28"/>
  <c r="B111" i="28" a="1"/>
  <c r="B107" i="28" a="1"/>
  <c r="B103" i="28" a="1"/>
  <c r="B109" i="28" a="1"/>
  <c r="B101" i="28" a="1"/>
  <c r="B105" i="28" a="1"/>
  <c r="G93" i="28"/>
  <c r="C93" i="28"/>
  <c r="F93" i="28"/>
  <c r="B93" i="28"/>
  <c r="D93" i="28"/>
  <c r="H93" i="28"/>
  <c r="E93" i="28"/>
  <c r="G87" i="28"/>
  <c r="G86" i="28" s="1"/>
  <c r="C87" i="28"/>
  <c r="C86" i="28" s="1"/>
  <c r="F87" i="28"/>
  <c r="F86" i="28" s="1"/>
  <c r="B87" i="28"/>
  <c r="B86" i="28" s="1"/>
  <c r="D87" i="28"/>
  <c r="D86" i="28" s="1"/>
  <c r="E87" i="28"/>
  <c r="E86" i="28" s="1"/>
  <c r="H87" i="28"/>
  <c r="H86" i="28" s="1"/>
  <c r="G95" i="28"/>
  <c r="C95" i="28"/>
  <c r="F95" i="28"/>
  <c r="B95" i="28"/>
  <c r="D95" i="28"/>
  <c r="H95" i="28"/>
  <c r="E95" i="28"/>
  <c r="G89" i="28"/>
  <c r="C89" i="28"/>
  <c r="F89" i="28"/>
  <c r="B89" i="28"/>
  <c r="D89" i="28"/>
  <c r="H89" i="28"/>
  <c r="E89" i="28"/>
  <c r="C97" i="28"/>
  <c r="B97" i="28"/>
  <c r="G91" i="28"/>
  <c r="C91" i="28"/>
  <c r="F91" i="28"/>
  <c r="B91" i="28"/>
  <c r="D91" i="28"/>
  <c r="H91" i="28"/>
  <c r="E91" i="28"/>
  <c r="G91" i="27"/>
  <c r="C91" i="27"/>
  <c r="F91" i="27"/>
  <c r="B91" i="27"/>
  <c r="D91" i="27"/>
  <c r="H91" i="27"/>
  <c r="E91" i="27"/>
  <c r="G89" i="27"/>
  <c r="C89" i="27"/>
  <c r="F89" i="27"/>
  <c r="B89" i="27"/>
  <c r="D89" i="27"/>
  <c r="E89" i="27"/>
  <c r="H89" i="27"/>
  <c r="G93" i="27"/>
  <c r="C93" i="27"/>
  <c r="F93" i="27"/>
  <c r="B93" i="27"/>
  <c r="D93" i="27"/>
  <c r="E93" i="27"/>
  <c r="H93" i="27"/>
  <c r="C113" i="27"/>
  <c r="B111" i="27" a="1"/>
  <c r="B107" i="27" a="1"/>
  <c r="B103" i="27" a="1"/>
  <c r="B113" i="27"/>
  <c r="B109" i="27" a="1"/>
  <c r="B105" i="27" a="1"/>
  <c r="B101" i="27" a="1"/>
  <c r="G87" i="27"/>
  <c r="G86" i="27" s="1"/>
  <c r="C87" i="27"/>
  <c r="C86" i="27" s="1"/>
  <c r="F87" i="27"/>
  <c r="F86" i="27" s="1"/>
  <c r="B87" i="27"/>
  <c r="B86" i="27" s="1"/>
  <c r="D87" i="27"/>
  <c r="D86" i="27" s="1"/>
  <c r="E87" i="27"/>
  <c r="E86" i="27" s="1"/>
  <c r="H87" i="27"/>
  <c r="H86" i="27" s="1"/>
  <c r="G95" i="27"/>
  <c r="C95" i="27"/>
  <c r="F95" i="27"/>
  <c r="B95" i="27"/>
  <c r="D95" i="27"/>
  <c r="H95" i="27"/>
  <c r="E95" i="27"/>
  <c r="C97" i="27"/>
  <c r="B97" i="27"/>
  <c r="G95" i="26"/>
  <c r="C95" i="26"/>
  <c r="D95" i="26"/>
  <c r="F95" i="26"/>
  <c r="B95" i="26"/>
  <c r="H95" i="26"/>
  <c r="E95" i="26"/>
  <c r="C113" i="26"/>
  <c r="B107" i="26" a="1"/>
  <c r="B113" i="26"/>
  <c r="B109" i="26" a="1"/>
  <c r="B101" i="26" a="1"/>
  <c r="B111" i="26" a="1"/>
  <c r="B103" i="26" a="1"/>
  <c r="B105" i="26" a="1"/>
  <c r="G87" i="26"/>
  <c r="G86" i="26" s="1"/>
  <c r="C87" i="26"/>
  <c r="C86" i="26" s="1"/>
  <c r="D87" i="26"/>
  <c r="D86" i="26" s="1"/>
  <c r="F87" i="26"/>
  <c r="F86" i="26" s="1"/>
  <c r="B87" i="26"/>
  <c r="B86" i="26" s="1"/>
  <c r="H87" i="26"/>
  <c r="H86" i="26" s="1"/>
  <c r="E87" i="26"/>
  <c r="E86" i="26" s="1"/>
  <c r="G89" i="26"/>
  <c r="C89" i="26"/>
  <c r="F89" i="26"/>
  <c r="D89" i="26"/>
  <c r="E89" i="26"/>
  <c r="B89" i="26"/>
  <c r="H89" i="26"/>
  <c r="C97" i="26"/>
  <c r="B97" i="26"/>
  <c r="G91" i="26"/>
  <c r="C91" i="26"/>
  <c r="D91" i="26"/>
  <c r="F91" i="26"/>
  <c r="H91" i="26"/>
  <c r="E91" i="26"/>
  <c r="B91" i="26"/>
  <c r="G93" i="26"/>
  <c r="C93" i="26"/>
  <c r="F93" i="26"/>
  <c r="D93" i="26"/>
  <c r="H93" i="26"/>
  <c r="E93" i="26"/>
  <c r="B93" i="26"/>
  <c r="C97" i="25"/>
  <c r="B97" i="25"/>
  <c r="G93" i="25"/>
  <c r="C93" i="25"/>
  <c r="F93" i="25"/>
  <c r="B93" i="25"/>
  <c r="H93" i="25"/>
  <c r="E93" i="25"/>
  <c r="D93" i="25"/>
  <c r="G87" i="25"/>
  <c r="G86" i="25" s="1"/>
  <c r="C87" i="25"/>
  <c r="C86" i="25" s="1"/>
  <c r="F87" i="25"/>
  <c r="F86" i="25" s="1"/>
  <c r="B87" i="25"/>
  <c r="B86" i="25" s="1"/>
  <c r="H87" i="25"/>
  <c r="H86" i="25" s="1"/>
  <c r="E87" i="25"/>
  <c r="E86" i="25" s="1"/>
  <c r="D87" i="25"/>
  <c r="D86" i="25" s="1"/>
  <c r="G91" i="25"/>
  <c r="C91" i="25"/>
  <c r="F91" i="25"/>
  <c r="B91" i="25"/>
  <c r="H91" i="25"/>
  <c r="D91" i="25"/>
  <c r="E91" i="25"/>
  <c r="B113" i="25"/>
  <c r="B109" i="25" a="1"/>
  <c r="B105" i="25" a="1"/>
  <c r="B101" i="25" a="1"/>
  <c r="C113" i="25"/>
  <c r="B111" i="25" a="1"/>
  <c r="B107" i="25" a="1"/>
  <c r="B103" i="25" a="1"/>
  <c r="G95" i="25"/>
  <c r="C95" i="25"/>
  <c r="F95" i="25"/>
  <c r="B95" i="25"/>
  <c r="H95" i="25"/>
  <c r="E95" i="25"/>
  <c r="D95" i="25"/>
  <c r="G89" i="25"/>
  <c r="C89" i="25"/>
  <c r="F89" i="25"/>
  <c r="B89" i="25"/>
  <c r="H89" i="25"/>
  <c r="E89" i="25"/>
  <c r="D89" i="25"/>
  <c r="G91" i="24"/>
  <c r="C91" i="24"/>
  <c r="H91" i="24"/>
  <c r="B91" i="24"/>
  <c r="E91" i="24"/>
  <c r="F91" i="24"/>
  <c r="D91" i="24"/>
  <c r="G89" i="24"/>
  <c r="C89" i="24"/>
  <c r="E89" i="24"/>
  <c r="H89" i="24"/>
  <c r="B89" i="24"/>
  <c r="F89" i="24"/>
  <c r="D89" i="24"/>
  <c r="C97" i="24"/>
  <c r="B97" i="24"/>
  <c r="B113" i="24"/>
  <c r="B103" i="24" a="1"/>
  <c r="B105" i="24" a="1"/>
  <c r="B101" i="24" a="1"/>
  <c r="B109" i="24" a="1"/>
  <c r="C113" i="24"/>
  <c r="B111" i="24" a="1"/>
  <c r="B107" i="24" a="1"/>
  <c r="G95" i="24"/>
  <c r="C95" i="24"/>
  <c r="H95" i="24"/>
  <c r="B95" i="24"/>
  <c r="E95" i="24"/>
  <c r="F95" i="24"/>
  <c r="D95" i="24"/>
  <c r="G87" i="24"/>
  <c r="G86" i="24" s="1"/>
  <c r="C87" i="24"/>
  <c r="C86" i="24" s="1"/>
  <c r="H87" i="24"/>
  <c r="H86" i="24" s="1"/>
  <c r="B87" i="24"/>
  <c r="B86" i="24" s="1"/>
  <c r="E87" i="24"/>
  <c r="E86" i="24" s="1"/>
  <c r="F87" i="24"/>
  <c r="F86" i="24" s="1"/>
  <c r="D87" i="24"/>
  <c r="D86" i="24" s="1"/>
  <c r="G93" i="24"/>
  <c r="C93" i="24"/>
  <c r="E93" i="24"/>
  <c r="H93" i="24"/>
  <c r="B93" i="24"/>
  <c r="D93" i="24"/>
  <c r="F93" i="24"/>
  <c r="G87" i="23"/>
  <c r="G86" i="23" s="1"/>
  <c r="C87" i="23"/>
  <c r="C86" i="23" s="1"/>
  <c r="F87" i="23"/>
  <c r="F86" i="23" s="1"/>
  <c r="D87" i="23"/>
  <c r="D86" i="23" s="1"/>
  <c r="B87" i="23"/>
  <c r="B86" i="23" s="1"/>
  <c r="E87" i="23"/>
  <c r="E86" i="23" s="1"/>
  <c r="H87" i="23"/>
  <c r="H86" i="23" s="1"/>
  <c r="C113" i="23"/>
  <c r="B107" i="23" a="1"/>
  <c r="B109" i="23" a="1"/>
  <c r="B101" i="23" a="1"/>
  <c r="B113" i="23"/>
  <c r="B111" i="23" a="1"/>
  <c r="B103" i="23" a="1"/>
  <c r="B105" i="23" a="1"/>
  <c r="G89" i="23"/>
  <c r="C89" i="23"/>
  <c r="D89" i="23"/>
  <c r="B89" i="23"/>
  <c r="E89" i="23"/>
  <c r="H89" i="23"/>
  <c r="F89" i="23"/>
  <c r="G91" i="23"/>
  <c r="C91" i="23"/>
  <c r="F91" i="23"/>
  <c r="B91" i="23"/>
  <c r="D91" i="23"/>
  <c r="H91" i="23"/>
  <c r="E91" i="23"/>
  <c r="C97" i="23"/>
  <c r="B97" i="23"/>
  <c r="G93" i="23"/>
  <c r="C93" i="23"/>
  <c r="F93" i="23"/>
  <c r="D93" i="23"/>
  <c r="B93" i="23"/>
  <c r="H93" i="23"/>
  <c r="E93" i="23"/>
  <c r="G95" i="23"/>
  <c r="C95" i="23"/>
  <c r="D95" i="23"/>
  <c r="F95" i="23"/>
  <c r="B95" i="23"/>
  <c r="E95" i="23"/>
  <c r="H95" i="23"/>
  <c r="G87" i="22"/>
  <c r="G86" i="22" s="1"/>
  <c r="C87" i="22"/>
  <c r="C86" i="22" s="1"/>
  <c r="H87" i="22"/>
  <c r="H86" i="22" s="1"/>
  <c r="B87" i="22"/>
  <c r="B86" i="22" s="1"/>
  <c r="F87" i="22"/>
  <c r="F86" i="22" s="1"/>
  <c r="E87" i="22"/>
  <c r="E86" i="22" s="1"/>
  <c r="D87" i="22"/>
  <c r="D86" i="22" s="1"/>
  <c r="G89" i="22"/>
  <c r="C89" i="22"/>
  <c r="E89" i="22"/>
  <c r="D89" i="22"/>
  <c r="H89" i="22"/>
  <c r="B89" i="22"/>
  <c r="F89" i="22"/>
  <c r="G91" i="22"/>
  <c r="C91" i="22"/>
  <c r="H91" i="22"/>
  <c r="B91" i="22"/>
  <c r="F91" i="22"/>
  <c r="E91" i="22"/>
  <c r="D91" i="22"/>
  <c r="C97" i="22"/>
  <c r="B97" i="22"/>
  <c r="B111" i="22" a="1"/>
  <c r="B107" i="22" a="1"/>
  <c r="B103" i="22" a="1"/>
  <c r="C113" i="22"/>
  <c r="B113" i="22"/>
  <c r="B109" i="22" a="1"/>
  <c r="B105" i="22" a="1"/>
  <c r="B101" i="22" a="1"/>
  <c r="G93" i="22"/>
  <c r="C93" i="22"/>
  <c r="E93" i="22"/>
  <c r="D93" i="22"/>
  <c r="H93" i="22"/>
  <c r="B93" i="22"/>
  <c r="F93" i="22"/>
  <c r="G95" i="22"/>
  <c r="C95" i="22"/>
  <c r="H95" i="22"/>
  <c r="B95" i="22"/>
  <c r="F95" i="22"/>
  <c r="E95" i="22"/>
  <c r="D95" i="22"/>
  <c r="C97" i="21"/>
  <c r="B97" i="21"/>
  <c r="G91" i="21"/>
  <c r="C91" i="21"/>
  <c r="F91" i="21"/>
  <c r="E91" i="21"/>
  <c r="B91" i="21"/>
  <c r="H91" i="21"/>
  <c r="D91" i="21"/>
  <c r="G89" i="21"/>
  <c r="C89" i="21"/>
  <c r="D89" i="21"/>
  <c r="H89" i="21"/>
  <c r="B89" i="21"/>
  <c r="F89" i="21"/>
  <c r="E89" i="21"/>
  <c r="G95" i="21"/>
  <c r="C95" i="21"/>
  <c r="F95" i="21"/>
  <c r="E95" i="21"/>
  <c r="H95" i="21"/>
  <c r="D95" i="21"/>
  <c r="B95" i="21"/>
  <c r="G87" i="21"/>
  <c r="G86" i="21" s="1"/>
  <c r="C87" i="21"/>
  <c r="C86" i="21" s="1"/>
  <c r="F87" i="21"/>
  <c r="F86" i="21" s="1"/>
  <c r="E87" i="21"/>
  <c r="E86" i="21" s="1"/>
  <c r="H87" i="21"/>
  <c r="H86" i="21" s="1"/>
  <c r="D87" i="21"/>
  <c r="D86" i="21" s="1"/>
  <c r="B87" i="21"/>
  <c r="B86" i="21" s="1"/>
  <c r="B111" i="21" a="1"/>
  <c r="C113" i="21"/>
  <c r="B113" i="21"/>
  <c r="B109" i="21" a="1"/>
  <c r="B105" i="21" a="1"/>
  <c r="B101" i="21" a="1"/>
  <c r="B103" i="21" a="1"/>
  <c r="B107" i="21" a="1"/>
  <c r="G93" i="21"/>
  <c r="C93" i="21"/>
  <c r="D93" i="21"/>
  <c r="H93" i="21"/>
  <c r="B93" i="21"/>
  <c r="E93" i="21"/>
  <c r="F93" i="21"/>
  <c r="G91" i="20"/>
  <c r="C91" i="20"/>
  <c r="F91" i="20"/>
  <c r="B91" i="20"/>
  <c r="D91" i="20"/>
  <c r="H91" i="20"/>
  <c r="E91" i="20"/>
  <c r="G95" i="20"/>
  <c r="C95" i="20"/>
  <c r="F95" i="20"/>
  <c r="B95" i="20"/>
  <c r="D95" i="20"/>
  <c r="E95" i="20"/>
  <c r="H95" i="20"/>
  <c r="G89" i="20"/>
  <c r="C89" i="20"/>
  <c r="F89" i="20"/>
  <c r="B89" i="20"/>
  <c r="D89" i="20"/>
  <c r="H89" i="20"/>
  <c r="E89" i="20"/>
  <c r="C97" i="20"/>
  <c r="B97" i="20"/>
  <c r="G93" i="20"/>
  <c r="C93" i="20"/>
  <c r="F93" i="20"/>
  <c r="B93" i="20"/>
  <c r="D93" i="20"/>
  <c r="H93" i="20"/>
  <c r="E93" i="20"/>
  <c r="C113" i="20"/>
  <c r="B105" i="20" a="1"/>
  <c r="B107" i="20" a="1"/>
  <c r="B111" i="20" a="1"/>
  <c r="B113" i="20"/>
  <c r="B109" i="20" a="1"/>
  <c r="B101" i="20" a="1"/>
  <c r="B103" i="20" a="1"/>
  <c r="G87" i="20"/>
  <c r="G86" i="20" s="1"/>
  <c r="C87" i="20"/>
  <c r="C86" i="20" s="1"/>
  <c r="F87" i="20"/>
  <c r="F86" i="20" s="1"/>
  <c r="B87" i="20"/>
  <c r="B86" i="20" s="1"/>
  <c r="D87" i="20"/>
  <c r="D86" i="20" s="1"/>
  <c r="E87" i="20"/>
  <c r="E86" i="20" s="1"/>
  <c r="H87" i="20"/>
  <c r="H86" i="20" s="1"/>
  <c r="C97" i="19"/>
  <c r="B97" i="19"/>
  <c r="G91" i="19"/>
  <c r="C91" i="19"/>
  <c r="F91" i="19"/>
  <c r="B91" i="19"/>
  <c r="H91" i="19"/>
  <c r="E91" i="19"/>
  <c r="D91" i="19"/>
  <c r="G89" i="19"/>
  <c r="C89" i="19"/>
  <c r="F89" i="19"/>
  <c r="B89" i="19"/>
  <c r="H89" i="19"/>
  <c r="E89" i="19"/>
  <c r="D89" i="19"/>
  <c r="C113" i="19"/>
  <c r="B113" i="19"/>
  <c r="B111" i="19" a="1"/>
  <c r="B109" i="19" a="1"/>
  <c r="B107" i="19" a="1"/>
  <c r="B105" i="19" a="1"/>
  <c r="B103" i="19" a="1"/>
  <c r="B101" i="19" a="1"/>
  <c r="G93" i="19"/>
  <c r="C93" i="19"/>
  <c r="F93" i="19"/>
  <c r="B93" i="19"/>
  <c r="H93" i="19"/>
  <c r="E93" i="19"/>
  <c r="D93" i="19"/>
  <c r="G87" i="19"/>
  <c r="G86" i="19" s="1"/>
  <c r="C87" i="19"/>
  <c r="C86" i="19" s="1"/>
  <c r="F87" i="19"/>
  <c r="F86" i="19" s="1"/>
  <c r="B87" i="19"/>
  <c r="B86" i="19" s="1"/>
  <c r="H87" i="19"/>
  <c r="H86" i="19" s="1"/>
  <c r="E87" i="19"/>
  <c r="E86" i="19" s="1"/>
  <c r="D87" i="19"/>
  <c r="D86" i="19" s="1"/>
  <c r="G95" i="19"/>
  <c r="C95" i="19"/>
  <c r="F95" i="19"/>
  <c r="B95" i="19"/>
  <c r="H95" i="19"/>
  <c r="E95" i="19"/>
  <c r="D95" i="19"/>
  <c r="G91" i="18"/>
  <c r="C91" i="18"/>
  <c r="E91" i="18"/>
  <c r="D91" i="18"/>
  <c r="H91" i="18"/>
  <c r="B91" i="18"/>
  <c r="F91" i="18"/>
  <c r="G89" i="18"/>
  <c r="C89" i="18"/>
  <c r="H89" i="18"/>
  <c r="B89" i="18"/>
  <c r="F89" i="18"/>
  <c r="E89" i="18"/>
  <c r="D89" i="18"/>
  <c r="G95" i="18"/>
  <c r="C95" i="18"/>
  <c r="E95" i="18"/>
  <c r="D95" i="18"/>
  <c r="H95" i="18"/>
  <c r="B95" i="18"/>
  <c r="F95" i="18"/>
  <c r="B113" i="18"/>
  <c r="B109" i="18" a="1"/>
  <c r="B105" i="18" a="1"/>
  <c r="B101" i="18" a="1"/>
  <c r="B111" i="18" a="1"/>
  <c r="B107" i="18" a="1"/>
  <c r="B103" i="18" a="1"/>
  <c r="C113" i="18"/>
  <c r="G87" i="18"/>
  <c r="G86" i="18" s="1"/>
  <c r="C87" i="18"/>
  <c r="C86" i="18" s="1"/>
  <c r="E87" i="18"/>
  <c r="E86" i="18" s="1"/>
  <c r="D87" i="18"/>
  <c r="D86" i="18" s="1"/>
  <c r="H87" i="18"/>
  <c r="H86" i="18" s="1"/>
  <c r="B87" i="18"/>
  <c r="B86" i="18" s="1"/>
  <c r="F87" i="18"/>
  <c r="F86" i="18" s="1"/>
  <c r="G93" i="18"/>
  <c r="C93" i="18"/>
  <c r="H93" i="18"/>
  <c r="B93" i="18"/>
  <c r="F93" i="18"/>
  <c r="E93" i="18"/>
  <c r="D93" i="18"/>
  <c r="C97" i="18"/>
  <c r="B97" i="18"/>
  <c r="C97" i="17"/>
  <c r="B97" i="17"/>
  <c r="G95" i="17"/>
  <c r="C95" i="17"/>
  <c r="F95" i="17"/>
  <c r="B95" i="17"/>
  <c r="D95" i="17"/>
  <c r="E95" i="17"/>
  <c r="H95" i="17"/>
  <c r="G89" i="17"/>
  <c r="C89" i="17"/>
  <c r="F89" i="17"/>
  <c r="B89" i="17"/>
  <c r="D89" i="17"/>
  <c r="H89" i="17"/>
  <c r="E89" i="17"/>
  <c r="G87" i="17"/>
  <c r="G86" i="17" s="1"/>
  <c r="C87" i="17"/>
  <c r="C86" i="17" s="1"/>
  <c r="F87" i="17"/>
  <c r="F86" i="17" s="1"/>
  <c r="B87" i="17"/>
  <c r="B86" i="17" s="1"/>
  <c r="D87" i="17"/>
  <c r="D86" i="17" s="1"/>
  <c r="E87" i="17"/>
  <c r="E86" i="17" s="1"/>
  <c r="H87" i="17"/>
  <c r="H86" i="17" s="1"/>
  <c r="B105" i="17" a="1"/>
  <c r="C113" i="17"/>
  <c r="B107" i="17" a="1"/>
  <c r="B103" i="17" a="1"/>
  <c r="B111" i="17" a="1"/>
  <c r="B109" i="17" a="1"/>
  <c r="B113" i="17"/>
  <c r="B101" i="17" a="1"/>
  <c r="G91" i="17"/>
  <c r="C91" i="17"/>
  <c r="F91" i="17"/>
  <c r="B91" i="17"/>
  <c r="D91" i="17"/>
  <c r="H91" i="17"/>
  <c r="E91" i="17"/>
  <c r="G93" i="17"/>
  <c r="C93" i="17"/>
  <c r="F93" i="17"/>
  <c r="B93" i="17"/>
  <c r="D93" i="17"/>
  <c r="E93" i="17"/>
  <c r="H93" i="17"/>
  <c r="G93" i="16"/>
  <c r="C93" i="16"/>
  <c r="F93" i="16"/>
  <c r="B93" i="16"/>
  <c r="D93" i="16"/>
  <c r="H93" i="16"/>
  <c r="E93" i="16"/>
  <c r="G87" i="16"/>
  <c r="G86" i="16" s="1"/>
  <c r="C87" i="16"/>
  <c r="C86" i="16" s="1"/>
  <c r="F87" i="16"/>
  <c r="F86" i="16" s="1"/>
  <c r="B87" i="16"/>
  <c r="B86" i="16" s="1"/>
  <c r="D87" i="16"/>
  <c r="D86" i="16" s="1"/>
  <c r="H87" i="16"/>
  <c r="H86" i="16" s="1"/>
  <c r="E87" i="16"/>
  <c r="E86" i="16" s="1"/>
  <c r="G95" i="16"/>
  <c r="C95" i="16"/>
  <c r="F95" i="16"/>
  <c r="B95" i="16"/>
  <c r="D95" i="16"/>
  <c r="H95" i="16"/>
  <c r="E95" i="16"/>
  <c r="C113" i="16"/>
  <c r="B109" i="16" a="1"/>
  <c r="B105" i="16" a="1"/>
  <c r="B101" i="16" a="1"/>
  <c r="B113" i="16"/>
  <c r="B111" i="16" a="1"/>
  <c r="B107" i="16" a="1"/>
  <c r="B103" i="16" a="1"/>
  <c r="G89" i="16"/>
  <c r="C89" i="16"/>
  <c r="F89" i="16"/>
  <c r="B89" i="16"/>
  <c r="D89" i="16"/>
  <c r="H89" i="16"/>
  <c r="E89" i="16"/>
  <c r="C97" i="16"/>
  <c r="B97" i="16"/>
  <c r="G91" i="16"/>
  <c r="C91" i="16"/>
  <c r="F91" i="16"/>
  <c r="B91" i="16"/>
  <c r="D91" i="16"/>
  <c r="H91" i="16"/>
  <c r="E91" i="16"/>
  <c r="C113" i="15"/>
  <c r="B111" i="15" a="1"/>
  <c r="B103" i="15" a="1"/>
  <c r="B105" i="15" a="1"/>
  <c r="B113" i="15"/>
  <c r="B101" i="15" a="1"/>
  <c r="B107" i="15" a="1"/>
  <c r="B109" i="15" a="1"/>
  <c r="G87" i="15"/>
  <c r="G86" i="15" s="1"/>
  <c r="C87" i="15"/>
  <c r="C86" i="15" s="1"/>
  <c r="D87" i="15"/>
  <c r="D86" i="15" s="1"/>
  <c r="F87" i="15"/>
  <c r="F86" i="15" s="1"/>
  <c r="H87" i="15"/>
  <c r="H86" i="15" s="1"/>
  <c r="E87" i="15"/>
  <c r="E86" i="15" s="1"/>
  <c r="B87" i="15"/>
  <c r="B86" i="15" s="1"/>
  <c r="G89" i="15"/>
  <c r="C89" i="15"/>
  <c r="F89" i="15"/>
  <c r="D89" i="15"/>
  <c r="H89" i="15"/>
  <c r="B89" i="15"/>
  <c r="E89" i="15"/>
  <c r="G91" i="15"/>
  <c r="C91" i="15"/>
  <c r="D91" i="15"/>
  <c r="F91" i="15"/>
  <c r="B91" i="15"/>
  <c r="H91" i="15"/>
  <c r="E91" i="15"/>
  <c r="G93" i="15"/>
  <c r="C93" i="15"/>
  <c r="F93" i="15"/>
  <c r="D93" i="15"/>
  <c r="E93" i="15"/>
  <c r="B93" i="15"/>
  <c r="H93" i="15"/>
  <c r="G95" i="15"/>
  <c r="C95" i="15"/>
  <c r="D95" i="15"/>
  <c r="F95" i="15"/>
  <c r="H95" i="15"/>
  <c r="E95" i="15"/>
  <c r="B95" i="15"/>
  <c r="C97" i="15"/>
  <c r="B97" i="15"/>
  <c r="B91" i="14"/>
  <c r="B97" i="14"/>
  <c r="B101" i="14" a="1"/>
  <c r="H101" i="14" s="1"/>
  <c r="H100" i="14" s="1"/>
  <c r="F91" i="14"/>
  <c r="B111" i="14" a="1"/>
  <c r="B111" i="14" s="1"/>
  <c r="G91" i="14"/>
  <c r="B105" i="14" a="1"/>
  <c r="E105" i="14" s="1"/>
  <c r="B103" i="14" a="1"/>
  <c r="B103" i="14" s="1"/>
  <c r="D93" i="14"/>
  <c r="C91" i="14"/>
  <c r="C113" i="14"/>
  <c r="E91" i="14"/>
  <c r="H91" i="14"/>
  <c r="F93" i="14"/>
  <c r="G93" i="14"/>
  <c r="C93" i="14"/>
  <c r="B95" i="14"/>
  <c r="D95" i="14"/>
  <c r="F95" i="14"/>
  <c r="C95" i="14"/>
  <c r="B113" i="14"/>
  <c r="B109" i="14" a="1"/>
  <c r="E109" i="14" s="1"/>
  <c r="B107" i="14" a="1"/>
  <c r="B107" i="14" s="1"/>
  <c r="B93" i="14"/>
  <c r="E93" i="14"/>
  <c r="E89" i="14"/>
  <c r="G89" i="14"/>
  <c r="F89" i="14"/>
  <c r="B89" i="14"/>
  <c r="H89" i="14"/>
  <c r="D89" i="14"/>
  <c r="C89" i="14"/>
  <c r="G87" i="14"/>
  <c r="G86" i="14" s="1"/>
  <c r="E87" i="14"/>
  <c r="E86" i="14" s="1"/>
  <c r="C87" i="14"/>
  <c r="C86" i="14" s="1"/>
  <c r="B87" i="14"/>
  <c r="B86" i="14" s="1"/>
  <c r="H87" i="14"/>
  <c r="H86" i="14" s="1"/>
  <c r="D87" i="14"/>
  <c r="D86" i="14" s="1"/>
  <c r="F87" i="14"/>
  <c r="F86" i="14" s="1"/>
  <c r="E95" i="14"/>
  <c r="G95" i="14"/>
  <c r="G101" i="58" l="1"/>
  <c r="G100" i="58" s="1"/>
  <c r="F101" i="58"/>
  <c r="F100" i="58" s="1"/>
  <c r="D101" i="58"/>
  <c r="D100" i="58" s="1"/>
  <c r="E101" i="58"/>
  <c r="E100" i="58" s="1"/>
  <c r="C101" i="58"/>
  <c r="C100" i="58" s="1"/>
  <c r="B101" i="58"/>
  <c r="B100" i="58" s="1"/>
  <c r="A101" i="58"/>
  <c r="A100" i="58" s="1"/>
  <c r="G107" i="58"/>
  <c r="F107" i="58"/>
  <c r="D107" i="58"/>
  <c r="E107" i="58"/>
  <c r="C107" i="58"/>
  <c r="B107" i="58"/>
  <c r="A107" i="58"/>
  <c r="G105" i="58"/>
  <c r="F105" i="58"/>
  <c r="C105" i="58"/>
  <c r="B105" i="58"/>
  <c r="A105" i="58"/>
  <c r="E105" i="58"/>
  <c r="D105" i="58"/>
  <c r="A127" i="58"/>
  <c r="A125" i="58" a="1"/>
  <c r="A123" i="58" a="1"/>
  <c r="A121" i="58" a="1"/>
  <c r="A119" i="58" a="1"/>
  <c r="A117" i="58" a="1"/>
  <c r="A115" i="58" a="1"/>
  <c r="B127" i="58"/>
  <c r="B111" i="58"/>
  <c r="A111" i="58"/>
  <c r="G103" i="58"/>
  <c r="F103" i="58"/>
  <c r="A103" i="58"/>
  <c r="D103" i="58"/>
  <c r="B103" i="58"/>
  <c r="C103" i="58"/>
  <c r="E103" i="58"/>
  <c r="G109" i="58"/>
  <c r="F109" i="58"/>
  <c r="D109" i="58"/>
  <c r="C109" i="58"/>
  <c r="A109" i="58"/>
  <c r="E109" i="58"/>
  <c r="B109" i="58"/>
  <c r="A105" i="57"/>
  <c r="G105" i="57"/>
  <c r="F105" i="57"/>
  <c r="E105" i="57"/>
  <c r="B105" i="57"/>
  <c r="C105" i="57"/>
  <c r="D105" i="57"/>
  <c r="A127" i="57"/>
  <c r="B127" i="57"/>
  <c r="A115" i="57" a="1"/>
  <c r="A125" i="57" a="1"/>
  <c r="A123" i="57" a="1"/>
  <c r="A121" i="57" a="1"/>
  <c r="A119" i="57" a="1"/>
  <c r="A117" i="57" a="1"/>
  <c r="A109" i="57"/>
  <c r="G109" i="57"/>
  <c r="F109" i="57"/>
  <c r="E109" i="57"/>
  <c r="B109" i="57"/>
  <c r="D109" i="57"/>
  <c r="C109" i="57"/>
  <c r="A107" i="57"/>
  <c r="G107" i="57"/>
  <c r="F107" i="57"/>
  <c r="E107" i="57"/>
  <c r="C107" i="57"/>
  <c r="B107" i="57"/>
  <c r="D107" i="57"/>
  <c r="A111" i="57"/>
  <c r="B111" i="57"/>
  <c r="A103" i="57"/>
  <c r="G103" i="57"/>
  <c r="F103" i="57"/>
  <c r="E103" i="57"/>
  <c r="C103" i="57"/>
  <c r="B103" i="57"/>
  <c r="D103" i="57"/>
  <c r="A101" i="57"/>
  <c r="A100" i="57" s="1"/>
  <c r="G101" i="57"/>
  <c r="G100" i="57" s="1"/>
  <c r="F101" i="57"/>
  <c r="F100" i="57" s="1"/>
  <c r="E101" i="57"/>
  <c r="E100" i="57" s="1"/>
  <c r="B101" i="57"/>
  <c r="B100" i="57" s="1"/>
  <c r="D101" i="57"/>
  <c r="D100" i="57" s="1"/>
  <c r="C101" i="57"/>
  <c r="C100" i="57" s="1"/>
  <c r="A107" i="56"/>
  <c r="G107" i="56"/>
  <c r="B107" i="56"/>
  <c r="F107" i="56"/>
  <c r="C107" i="56"/>
  <c r="E107" i="56"/>
  <c r="D107" i="56"/>
  <c r="A103" i="56"/>
  <c r="G103" i="56"/>
  <c r="F103" i="56"/>
  <c r="E103" i="56"/>
  <c r="D103" i="56"/>
  <c r="C103" i="56"/>
  <c r="B103" i="56"/>
  <c r="A105" i="56"/>
  <c r="G105" i="56"/>
  <c r="F105" i="56"/>
  <c r="D105" i="56"/>
  <c r="E105" i="56"/>
  <c r="B105" i="56"/>
  <c r="C105" i="56"/>
  <c r="A111" i="56"/>
  <c r="B111" i="56"/>
  <c r="A101" i="56"/>
  <c r="A100" i="56" s="1"/>
  <c r="G101" i="56"/>
  <c r="G100" i="56" s="1"/>
  <c r="D101" i="56"/>
  <c r="D100" i="56" s="1"/>
  <c r="C101" i="56"/>
  <c r="C100" i="56" s="1"/>
  <c r="B101" i="56"/>
  <c r="B100" i="56" s="1"/>
  <c r="F101" i="56"/>
  <c r="F100" i="56" s="1"/>
  <c r="E101" i="56"/>
  <c r="E100" i="56" s="1"/>
  <c r="A109" i="56"/>
  <c r="G109" i="56"/>
  <c r="D109" i="56"/>
  <c r="C109" i="56"/>
  <c r="B109" i="56"/>
  <c r="F109" i="56"/>
  <c r="E109" i="56"/>
  <c r="A127" i="56"/>
  <c r="A119" i="56" a="1"/>
  <c r="A121" i="56" a="1"/>
  <c r="A115" i="56" a="1"/>
  <c r="B127" i="56"/>
  <c r="A123" i="56" a="1"/>
  <c r="A125" i="56" a="1"/>
  <c r="A117" i="56" a="1"/>
  <c r="F105" i="55"/>
  <c r="B105" i="55"/>
  <c r="E105" i="55"/>
  <c r="C105" i="55"/>
  <c r="A105" i="55"/>
  <c r="G105" i="55"/>
  <c r="D105" i="55"/>
  <c r="F103" i="55"/>
  <c r="B103" i="55"/>
  <c r="C103" i="55"/>
  <c r="D103" i="55"/>
  <c r="A103" i="55"/>
  <c r="G103" i="55"/>
  <c r="E103" i="55"/>
  <c r="F109" i="55"/>
  <c r="B109" i="55"/>
  <c r="E109" i="55"/>
  <c r="A109" i="55"/>
  <c r="G109" i="55"/>
  <c r="D109" i="55"/>
  <c r="C109" i="55"/>
  <c r="F107" i="55"/>
  <c r="B107" i="55"/>
  <c r="C107" i="55"/>
  <c r="A107" i="55"/>
  <c r="G107" i="55"/>
  <c r="E107" i="55"/>
  <c r="D107" i="55"/>
  <c r="A127" i="55"/>
  <c r="A123" i="55" a="1"/>
  <c r="A119" i="55" a="1"/>
  <c r="A115" i="55" a="1"/>
  <c r="B127" i="55"/>
  <c r="A117" i="55" a="1"/>
  <c r="A125" i="55" a="1"/>
  <c r="A121" i="55" a="1"/>
  <c r="F101" i="55"/>
  <c r="F100" i="55" s="1"/>
  <c r="B101" i="55"/>
  <c r="B100" i="55" s="1"/>
  <c r="E101" i="55"/>
  <c r="E100" i="55" s="1"/>
  <c r="D101" i="55"/>
  <c r="D100" i="55" s="1"/>
  <c r="C101" i="55"/>
  <c r="C100" i="55" s="1"/>
  <c r="G101" i="55"/>
  <c r="G100" i="55" s="1"/>
  <c r="A101" i="55"/>
  <c r="A100" i="55" s="1"/>
  <c r="B111" i="55"/>
  <c r="A111" i="55"/>
  <c r="F103" i="54"/>
  <c r="B103" i="54"/>
  <c r="E103" i="54"/>
  <c r="A103" i="54"/>
  <c r="D103" i="54"/>
  <c r="G103" i="54"/>
  <c r="C103" i="54"/>
  <c r="B111" i="54"/>
  <c r="A111" i="54"/>
  <c r="F107" i="54"/>
  <c r="B107" i="54"/>
  <c r="E107" i="54"/>
  <c r="A107" i="54"/>
  <c r="D107" i="54"/>
  <c r="C107" i="54"/>
  <c r="G107" i="54"/>
  <c r="F101" i="54"/>
  <c r="F100" i="54" s="1"/>
  <c r="B101" i="54"/>
  <c r="B100" i="54" s="1"/>
  <c r="E101" i="54"/>
  <c r="E100" i="54" s="1"/>
  <c r="A101" i="54"/>
  <c r="A100" i="54" s="1"/>
  <c r="D101" i="54"/>
  <c r="D100" i="54" s="1"/>
  <c r="G101" i="54"/>
  <c r="G100" i="54" s="1"/>
  <c r="C101" i="54"/>
  <c r="C100" i="54" s="1"/>
  <c r="F105" i="54"/>
  <c r="B105" i="54"/>
  <c r="E105" i="54"/>
  <c r="A105" i="54"/>
  <c r="D105" i="54"/>
  <c r="G105" i="54"/>
  <c r="C105" i="54"/>
  <c r="A125" i="54" a="1"/>
  <c r="A123" i="54" a="1"/>
  <c r="A121" i="54" a="1"/>
  <c r="A119" i="54" a="1"/>
  <c r="A117" i="54" a="1"/>
  <c r="A115" i="54" a="1"/>
  <c r="B127" i="54"/>
  <c r="A127" i="54"/>
  <c r="F109" i="54"/>
  <c r="B109" i="54"/>
  <c r="E109" i="54"/>
  <c r="A109" i="54"/>
  <c r="D109" i="54"/>
  <c r="G109" i="54"/>
  <c r="C109" i="54"/>
  <c r="F101" i="53"/>
  <c r="F100" i="53" s="1"/>
  <c r="B101" i="53"/>
  <c r="B100" i="53" s="1"/>
  <c r="E101" i="53"/>
  <c r="E100" i="53" s="1"/>
  <c r="A101" i="53"/>
  <c r="A100" i="53" s="1"/>
  <c r="C101" i="53"/>
  <c r="C100" i="53" s="1"/>
  <c r="G101" i="53"/>
  <c r="G100" i="53" s="1"/>
  <c r="D101" i="53"/>
  <c r="D100" i="53" s="1"/>
  <c r="F105" i="53"/>
  <c r="B105" i="53"/>
  <c r="E105" i="53"/>
  <c r="A105" i="53"/>
  <c r="C105" i="53"/>
  <c r="G105" i="53"/>
  <c r="D105" i="53"/>
  <c r="A125" i="53" a="1"/>
  <c r="A117" i="53" a="1"/>
  <c r="A119" i="53" a="1"/>
  <c r="B127" i="53"/>
  <c r="A121" i="53" a="1"/>
  <c r="A127" i="53"/>
  <c r="A123" i="53" a="1"/>
  <c r="A115" i="53" a="1"/>
  <c r="F109" i="53"/>
  <c r="B109" i="53"/>
  <c r="E109" i="53"/>
  <c r="A109" i="53"/>
  <c r="C109" i="53"/>
  <c r="G109" i="53"/>
  <c r="D109" i="53"/>
  <c r="F103" i="53"/>
  <c r="B103" i="53"/>
  <c r="E103" i="53"/>
  <c r="A103" i="53"/>
  <c r="C103" i="53"/>
  <c r="G103" i="53"/>
  <c r="D103" i="53"/>
  <c r="B111" i="53"/>
  <c r="A111" i="53"/>
  <c r="F107" i="53"/>
  <c r="B107" i="53"/>
  <c r="E107" i="53"/>
  <c r="A107" i="53"/>
  <c r="C107" i="53"/>
  <c r="D107" i="53"/>
  <c r="G107" i="53"/>
  <c r="B111" i="52"/>
  <c r="A111" i="52"/>
  <c r="F101" i="52"/>
  <c r="F100" i="52" s="1"/>
  <c r="B101" i="52"/>
  <c r="B100" i="52" s="1"/>
  <c r="E101" i="52"/>
  <c r="E100" i="52" s="1"/>
  <c r="A101" i="52"/>
  <c r="A100" i="52" s="1"/>
  <c r="G101" i="52"/>
  <c r="G100" i="52" s="1"/>
  <c r="D101" i="52"/>
  <c r="D100" i="52" s="1"/>
  <c r="C101" i="52"/>
  <c r="C100" i="52" s="1"/>
  <c r="F107" i="52"/>
  <c r="B107" i="52"/>
  <c r="E107" i="52"/>
  <c r="A107" i="52"/>
  <c r="G107" i="52"/>
  <c r="D107" i="52"/>
  <c r="C107" i="52"/>
  <c r="F109" i="52"/>
  <c r="B109" i="52"/>
  <c r="E109" i="52"/>
  <c r="A109" i="52"/>
  <c r="G109" i="52"/>
  <c r="D109" i="52"/>
  <c r="C109" i="52"/>
  <c r="F105" i="52"/>
  <c r="B105" i="52"/>
  <c r="E105" i="52"/>
  <c r="A105" i="52"/>
  <c r="G105" i="52"/>
  <c r="D105" i="52"/>
  <c r="C105" i="52"/>
  <c r="A127" i="52"/>
  <c r="A125" i="52" a="1"/>
  <c r="A123" i="52" a="1"/>
  <c r="A121" i="52" a="1"/>
  <c r="A119" i="52" a="1"/>
  <c r="A117" i="52" a="1"/>
  <c r="A115" i="52" a="1"/>
  <c r="B127" i="52"/>
  <c r="F103" i="52"/>
  <c r="B103" i="52"/>
  <c r="E103" i="52"/>
  <c r="A103" i="52"/>
  <c r="G103" i="52"/>
  <c r="D103" i="52"/>
  <c r="C103" i="52"/>
  <c r="C111" i="51"/>
  <c r="B111" i="51"/>
  <c r="G105" i="51"/>
  <c r="C105" i="51"/>
  <c r="F105" i="51"/>
  <c r="H105" i="51"/>
  <c r="E105" i="51"/>
  <c r="B105" i="51"/>
  <c r="D105" i="51"/>
  <c r="G103" i="51"/>
  <c r="C103" i="51"/>
  <c r="D103" i="51"/>
  <c r="H103" i="51"/>
  <c r="B103" i="51"/>
  <c r="E103" i="51"/>
  <c r="F103" i="51"/>
  <c r="G109" i="51"/>
  <c r="C109" i="51"/>
  <c r="F109" i="51"/>
  <c r="B109" i="51"/>
  <c r="H109" i="51"/>
  <c r="E109" i="51"/>
  <c r="D109" i="51"/>
  <c r="B127" i="51"/>
  <c r="B125" i="51" a="1"/>
  <c r="B123" i="51" a="1"/>
  <c r="B121" i="51" a="1"/>
  <c r="B119" i="51" a="1"/>
  <c r="B117" i="51" a="1"/>
  <c r="B115" i="51" a="1"/>
  <c r="C127" i="51"/>
  <c r="G107" i="51"/>
  <c r="C107" i="51"/>
  <c r="F107" i="51"/>
  <c r="B107" i="51"/>
  <c r="H107" i="51"/>
  <c r="E107" i="51"/>
  <c r="D107" i="51"/>
  <c r="G101" i="51"/>
  <c r="G100" i="51" s="1"/>
  <c r="C101" i="51"/>
  <c r="C100" i="51" s="1"/>
  <c r="F101" i="51"/>
  <c r="F100" i="51" s="1"/>
  <c r="E101" i="51"/>
  <c r="E100" i="51" s="1"/>
  <c r="H101" i="51"/>
  <c r="H100" i="51" s="1"/>
  <c r="B101" i="51"/>
  <c r="B100" i="51" s="1"/>
  <c r="D101" i="51"/>
  <c r="D100" i="51" s="1"/>
  <c r="B127" i="50"/>
  <c r="A123" i="50" a="1"/>
  <c r="A119" i="50" a="1"/>
  <c r="A115" i="50" a="1"/>
  <c r="A127" i="50"/>
  <c r="A125" i="50" a="1"/>
  <c r="A121" i="50" a="1"/>
  <c r="A117" i="50" a="1"/>
  <c r="F105" i="50"/>
  <c r="B105" i="50"/>
  <c r="E105" i="50"/>
  <c r="A105" i="50"/>
  <c r="C105" i="50"/>
  <c r="D105" i="50"/>
  <c r="G105" i="50"/>
  <c r="F101" i="50"/>
  <c r="F100" i="50" s="1"/>
  <c r="B101" i="50"/>
  <c r="B100" i="50" s="1"/>
  <c r="E101" i="50"/>
  <c r="E100" i="50" s="1"/>
  <c r="A101" i="50"/>
  <c r="A100" i="50" s="1"/>
  <c r="C101" i="50"/>
  <c r="C100" i="50" s="1"/>
  <c r="G101" i="50"/>
  <c r="G100" i="50" s="1"/>
  <c r="D101" i="50"/>
  <c r="D100" i="50" s="1"/>
  <c r="F107" i="50"/>
  <c r="B107" i="50"/>
  <c r="E107" i="50"/>
  <c r="A107" i="50"/>
  <c r="C107" i="50"/>
  <c r="G107" i="50"/>
  <c r="D107" i="50"/>
  <c r="F109" i="50"/>
  <c r="B109" i="50"/>
  <c r="E109" i="50"/>
  <c r="A109" i="50"/>
  <c r="C109" i="50"/>
  <c r="D109" i="50"/>
  <c r="G109" i="50"/>
  <c r="F103" i="50"/>
  <c r="B103" i="50"/>
  <c r="E103" i="50"/>
  <c r="A103" i="50"/>
  <c r="C103" i="50"/>
  <c r="G103" i="50"/>
  <c r="D103" i="50"/>
  <c r="B111" i="50"/>
  <c r="A111" i="50"/>
  <c r="A125" i="49" a="1"/>
  <c r="A121" i="49" a="1"/>
  <c r="A117" i="49" a="1"/>
  <c r="A127" i="49"/>
  <c r="A123" i="49" a="1"/>
  <c r="A119" i="49" a="1"/>
  <c r="A115" i="49" a="1"/>
  <c r="B127" i="49"/>
  <c r="E101" i="49"/>
  <c r="E100" i="49" s="1"/>
  <c r="A101" i="49"/>
  <c r="A100" i="49" s="1"/>
  <c r="D101" i="49"/>
  <c r="D100" i="49" s="1"/>
  <c r="F101" i="49"/>
  <c r="F100" i="49" s="1"/>
  <c r="C101" i="49"/>
  <c r="C100" i="49" s="1"/>
  <c r="B101" i="49"/>
  <c r="B100" i="49" s="1"/>
  <c r="G101" i="49"/>
  <c r="G100" i="49" s="1"/>
  <c r="E107" i="49"/>
  <c r="A107" i="49"/>
  <c r="G107" i="49"/>
  <c r="B107" i="49"/>
  <c r="C107" i="49"/>
  <c r="F107" i="49"/>
  <c r="D107" i="49"/>
  <c r="E103" i="49"/>
  <c r="A103" i="49"/>
  <c r="G103" i="49"/>
  <c r="B103" i="49"/>
  <c r="D103" i="49"/>
  <c r="C103" i="49"/>
  <c r="F103" i="49"/>
  <c r="E109" i="49"/>
  <c r="A109" i="49"/>
  <c r="D109" i="49"/>
  <c r="B109" i="49"/>
  <c r="G109" i="49"/>
  <c r="F109" i="49"/>
  <c r="C109" i="49"/>
  <c r="E105" i="49"/>
  <c r="A105" i="49"/>
  <c r="D105" i="49"/>
  <c r="C105" i="49"/>
  <c r="B105" i="49"/>
  <c r="G105" i="49"/>
  <c r="F105" i="49"/>
  <c r="A111" i="49"/>
  <c r="B111" i="49"/>
  <c r="G101" i="48"/>
  <c r="G100" i="48" s="1"/>
  <c r="C101" i="48"/>
  <c r="C100" i="48" s="1"/>
  <c r="F101" i="48"/>
  <c r="F100" i="48" s="1"/>
  <c r="H101" i="48"/>
  <c r="H100" i="48" s="1"/>
  <c r="E101" i="48"/>
  <c r="E100" i="48" s="1"/>
  <c r="B101" i="48"/>
  <c r="B100" i="48" s="1"/>
  <c r="D101" i="48"/>
  <c r="D100" i="48" s="1"/>
  <c r="C111" i="48"/>
  <c r="B111" i="48"/>
  <c r="C127" i="48"/>
  <c r="B119" i="48" a="1"/>
  <c r="B121" i="48" a="1"/>
  <c r="B127" i="48"/>
  <c r="B123" i="48" a="1"/>
  <c r="B115" i="48" a="1"/>
  <c r="B117" i="48" a="1"/>
  <c r="B125" i="48" a="1"/>
  <c r="G103" i="48"/>
  <c r="C103" i="48"/>
  <c r="D103" i="48"/>
  <c r="F103" i="48"/>
  <c r="E103" i="48"/>
  <c r="H103" i="48"/>
  <c r="B103" i="48"/>
  <c r="G105" i="48"/>
  <c r="C105" i="48"/>
  <c r="F105" i="48"/>
  <c r="E105" i="48"/>
  <c r="D105" i="48"/>
  <c r="H105" i="48"/>
  <c r="B105" i="48"/>
  <c r="G107" i="48"/>
  <c r="C107" i="48"/>
  <c r="D107" i="48"/>
  <c r="E107" i="48"/>
  <c r="B107" i="48"/>
  <c r="F107" i="48"/>
  <c r="H107" i="48"/>
  <c r="G109" i="48"/>
  <c r="C109" i="48"/>
  <c r="F109" i="48"/>
  <c r="D109" i="48"/>
  <c r="B109" i="48"/>
  <c r="H109" i="48"/>
  <c r="E109" i="48"/>
  <c r="C107" i="47"/>
  <c r="H107" i="47"/>
  <c r="B107" i="47"/>
  <c r="F107" i="47"/>
  <c r="G107" i="47"/>
  <c r="E107" i="47"/>
  <c r="D107" i="47"/>
  <c r="C105" i="47"/>
  <c r="H105" i="47"/>
  <c r="G105" i="47"/>
  <c r="F105" i="47"/>
  <c r="D105" i="47"/>
  <c r="E105" i="47"/>
  <c r="B105" i="47"/>
  <c r="B127" i="47"/>
  <c r="B125" i="47" a="1"/>
  <c r="B119" i="47" a="1"/>
  <c r="B121" i="47" a="1"/>
  <c r="C127" i="47"/>
  <c r="B123" i="47" a="1"/>
  <c r="B115" i="47" a="1"/>
  <c r="B117" i="47" a="1"/>
  <c r="C111" i="47"/>
  <c r="B111" i="47"/>
  <c r="C103" i="47"/>
  <c r="H103" i="47"/>
  <c r="G103" i="47"/>
  <c r="F103" i="47"/>
  <c r="E103" i="47"/>
  <c r="D103" i="47"/>
  <c r="B103" i="47"/>
  <c r="C101" i="47"/>
  <c r="C100" i="47" s="1"/>
  <c r="H101" i="47"/>
  <c r="H100" i="47" s="1"/>
  <c r="E101" i="47"/>
  <c r="E100" i="47" s="1"/>
  <c r="D101" i="47"/>
  <c r="D100" i="47" s="1"/>
  <c r="B101" i="47"/>
  <c r="B100" i="47" s="1"/>
  <c r="G101" i="47"/>
  <c r="G100" i="47" s="1"/>
  <c r="F101" i="47"/>
  <c r="F100" i="47" s="1"/>
  <c r="C109" i="47"/>
  <c r="H109" i="47"/>
  <c r="E109" i="47"/>
  <c r="D109" i="47"/>
  <c r="B109" i="47"/>
  <c r="G109" i="47"/>
  <c r="F109" i="47"/>
  <c r="B105" i="46"/>
  <c r="H105" i="46"/>
  <c r="G105" i="46"/>
  <c r="D105" i="46"/>
  <c r="E105" i="46"/>
  <c r="F105" i="46"/>
  <c r="C105" i="46"/>
  <c r="B127" i="46"/>
  <c r="B125" i="46" a="1"/>
  <c r="B117" i="46" a="1"/>
  <c r="C127" i="46"/>
  <c r="B115" i="46" a="1"/>
  <c r="B121" i="46" a="1"/>
  <c r="B123" i="46" a="1"/>
  <c r="B119" i="46" a="1"/>
  <c r="B107" i="46"/>
  <c r="H107" i="46"/>
  <c r="G107" i="46"/>
  <c r="E107" i="46"/>
  <c r="D107" i="46"/>
  <c r="C107" i="46"/>
  <c r="F107" i="46"/>
  <c r="B109" i="46"/>
  <c r="H109" i="46"/>
  <c r="G109" i="46"/>
  <c r="C109" i="46"/>
  <c r="F109" i="46"/>
  <c r="D109" i="46"/>
  <c r="E109" i="46"/>
  <c r="B101" i="46"/>
  <c r="B100" i="46" s="1"/>
  <c r="H101" i="46"/>
  <c r="H100" i="46" s="1"/>
  <c r="G101" i="46"/>
  <c r="G100" i="46" s="1"/>
  <c r="D101" i="46"/>
  <c r="D100" i="46" s="1"/>
  <c r="C101" i="46"/>
  <c r="C100" i="46" s="1"/>
  <c r="F101" i="46"/>
  <c r="F100" i="46" s="1"/>
  <c r="E101" i="46"/>
  <c r="E100" i="46" s="1"/>
  <c r="B103" i="46"/>
  <c r="H103" i="46"/>
  <c r="G103" i="46"/>
  <c r="F103" i="46"/>
  <c r="C103" i="46"/>
  <c r="E103" i="46"/>
  <c r="D103" i="46"/>
  <c r="B111" i="46"/>
  <c r="C111" i="46"/>
  <c r="C101" i="45"/>
  <c r="C100" i="45" s="1"/>
  <c r="H101" i="45"/>
  <c r="H100" i="45" s="1"/>
  <c r="G101" i="45"/>
  <c r="G100" i="45" s="1"/>
  <c r="F101" i="45"/>
  <c r="F100" i="45" s="1"/>
  <c r="E101" i="45"/>
  <c r="E100" i="45" s="1"/>
  <c r="D101" i="45"/>
  <c r="D100" i="45" s="1"/>
  <c r="B101" i="45"/>
  <c r="B100" i="45" s="1"/>
  <c r="C105" i="45"/>
  <c r="H105" i="45"/>
  <c r="G105" i="45"/>
  <c r="F105" i="45"/>
  <c r="E105" i="45"/>
  <c r="D105" i="45"/>
  <c r="B105" i="45"/>
  <c r="C109" i="45"/>
  <c r="H109" i="45"/>
  <c r="G109" i="45"/>
  <c r="F109" i="45"/>
  <c r="E109" i="45"/>
  <c r="D109" i="45"/>
  <c r="B109" i="45"/>
  <c r="C103" i="45"/>
  <c r="H103" i="45"/>
  <c r="G103" i="45"/>
  <c r="F103" i="45"/>
  <c r="B103" i="45"/>
  <c r="E103" i="45"/>
  <c r="D103" i="45"/>
  <c r="B127" i="45"/>
  <c r="B121" i="45" a="1"/>
  <c r="B123" i="45" a="1"/>
  <c r="B119" i="45" a="1"/>
  <c r="B115" i="45" a="1"/>
  <c r="B125" i="45" a="1"/>
  <c r="C127" i="45"/>
  <c r="B117" i="45" a="1"/>
  <c r="C107" i="45"/>
  <c r="H107" i="45"/>
  <c r="G107" i="45"/>
  <c r="F107" i="45"/>
  <c r="E107" i="45"/>
  <c r="B107" i="45"/>
  <c r="D107" i="45"/>
  <c r="C111" i="45"/>
  <c r="B111" i="45"/>
  <c r="C107" i="43"/>
  <c r="B107" i="43"/>
  <c r="H107" i="43"/>
  <c r="F107" i="43"/>
  <c r="G107" i="43"/>
  <c r="E107" i="43"/>
  <c r="D107" i="43"/>
  <c r="B127" i="43"/>
  <c r="B121" i="43" a="1"/>
  <c r="B125" i="43" a="1"/>
  <c r="B117" i="43" a="1"/>
  <c r="C127" i="43"/>
  <c r="B123" i="43" a="1"/>
  <c r="B119" i="43" a="1"/>
  <c r="B115" i="43" a="1"/>
  <c r="C101" i="43"/>
  <c r="C100" i="43" s="1"/>
  <c r="B101" i="43"/>
  <c r="B100" i="43" s="1"/>
  <c r="H101" i="43"/>
  <c r="H100" i="43" s="1"/>
  <c r="E101" i="43"/>
  <c r="E100" i="43" s="1"/>
  <c r="G101" i="43"/>
  <c r="G100" i="43" s="1"/>
  <c r="F101" i="43"/>
  <c r="F100" i="43" s="1"/>
  <c r="D101" i="43"/>
  <c r="D100" i="43" s="1"/>
  <c r="C105" i="43"/>
  <c r="B105" i="43"/>
  <c r="H105" i="43"/>
  <c r="G105" i="43"/>
  <c r="F105" i="43"/>
  <c r="E105" i="43"/>
  <c r="D105" i="43"/>
  <c r="C109" i="43"/>
  <c r="B109" i="43"/>
  <c r="H109" i="43"/>
  <c r="F109" i="43"/>
  <c r="E109" i="43"/>
  <c r="D109" i="43"/>
  <c r="G109" i="43"/>
  <c r="C103" i="43"/>
  <c r="B103" i="43"/>
  <c r="H103" i="43"/>
  <c r="E103" i="43"/>
  <c r="D103" i="43"/>
  <c r="G103" i="43"/>
  <c r="F103" i="43"/>
  <c r="C111" i="43"/>
  <c r="B111" i="43"/>
  <c r="C111" i="42"/>
  <c r="B111" i="42"/>
  <c r="G101" i="42"/>
  <c r="G100" i="42" s="1"/>
  <c r="F101" i="42"/>
  <c r="F100" i="42" s="1"/>
  <c r="D101" i="42"/>
  <c r="D100" i="42" s="1"/>
  <c r="E101" i="42"/>
  <c r="E100" i="42" s="1"/>
  <c r="C101" i="42"/>
  <c r="C100" i="42" s="1"/>
  <c r="H101" i="42"/>
  <c r="H100" i="42" s="1"/>
  <c r="B101" i="42"/>
  <c r="B100" i="42" s="1"/>
  <c r="G105" i="42"/>
  <c r="F105" i="42"/>
  <c r="D105" i="42"/>
  <c r="H105" i="42"/>
  <c r="E105" i="42"/>
  <c r="B105" i="42"/>
  <c r="C105" i="42"/>
  <c r="G109" i="42"/>
  <c r="F109" i="42"/>
  <c r="D109" i="42"/>
  <c r="E109" i="42"/>
  <c r="C109" i="42"/>
  <c r="B109" i="42"/>
  <c r="H109" i="42"/>
  <c r="G103" i="42"/>
  <c r="F103" i="42"/>
  <c r="D103" i="42"/>
  <c r="C103" i="42"/>
  <c r="B103" i="42"/>
  <c r="H103" i="42"/>
  <c r="E103" i="42"/>
  <c r="G107" i="42"/>
  <c r="F107" i="42"/>
  <c r="D107" i="42"/>
  <c r="H107" i="42"/>
  <c r="E107" i="42"/>
  <c r="B107" i="42"/>
  <c r="C107" i="42"/>
  <c r="B117" i="42" a="1"/>
  <c r="B123" i="42" a="1"/>
  <c r="B127" i="42"/>
  <c r="B119" i="42" a="1"/>
  <c r="C127" i="42"/>
  <c r="B125" i="42" a="1"/>
  <c r="B115" i="42" a="1"/>
  <c r="B121" i="42" a="1"/>
  <c r="B125" i="41" a="1"/>
  <c r="B123" i="41" a="1"/>
  <c r="B121" i="41" a="1"/>
  <c r="B119" i="41" a="1"/>
  <c r="B117" i="41" a="1"/>
  <c r="B115" i="41" a="1"/>
  <c r="C127" i="41"/>
  <c r="B127" i="41"/>
  <c r="G107" i="41"/>
  <c r="C107" i="41"/>
  <c r="F107" i="41"/>
  <c r="B107" i="41"/>
  <c r="E107" i="41"/>
  <c r="D107" i="41"/>
  <c r="H107" i="41"/>
  <c r="G101" i="41"/>
  <c r="G100" i="41" s="1"/>
  <c r="C101" i="41"/>
  <c r="C100" i="41" s="1"/>
  <c r="F101" i="41"/>
  <c r="F100" i="41" s="1"/>
  <c r="B101" i="41"/>
  <c r="B100" i="41" s="1"/>
  <c r="E101" i="41"/>
  <c r="E100" i="41" s="1"/>
  <c r="D101" i="41"/>
  <c r="D100" i="41" s="1"/>
  <c r="H101" i="41"/>
  <c r="H100" i="41" s="1"/>
  <c r="G109" i="41"/>
  <c r="C109" i="41"/>
  <c r="F109" i="41"/>
  <c r="B109" i="41"/>
  <c r="E109" i="41"/>
  <c r="D109" i="41"/>
  <c r="H109" i="41"/>
  <c r="G103" i="41"/>
  <c r="C103" i="41"/>
  <c r="F103" i="41"/>
  <c r="B103" i="41"/>
  <c r="E103" i="41"/>
  <c r="D103" i="41"/>
  <c r="H103" i="41"/>
  <c r="C111" i="41"/>
  <c r="B111" i="41"/>
  <c r="G105" i="41"/>
  <c r="C105" i="41"/>
  <c r="F105" i="41"/>
  <c r="B105" i="41"/>
  <c r="E105" i="41"/>
  <c r="D105" i="41"/>
  <c r="H105" i="41"/>
  <c r="G101" i="40"/>
  <c r="G100" i="40" s="1"/>
  <c r="C101" i="40"/>
  <c r="C100" i="40" s="1"/>
  <c r="F101" i="40"/>
  <c r="F100" i="40" s="1"/>
  <c r="B101" i="40"/>
  <c r="B100" i="40" s="1"/>
  <c r="E101" i="40"/>
  <c r="E100" i="40" s="1"/>
  <c r="H101" i="40"/>
  <c r="H100" i="40" s="1"/>
  <c r="D101" i="40"/>
  <c r="D100" i="40" s="1"/>
  <c r="G109" i="40"/>
  <c r="C109" i="40"/>
  <c r="F109" i="40"/>
  <c r="B109" i="40"/>
  <c r="E109" i="40"/>
  <c r="D109" i="40"/>
  <c r="H109" i="40"/>
  <c r="B125" i="40" a="1"/>
  <c r="B123" i="40" a="1"/>
  <c r="B121" i="40" a="1"/>
  <c r="B119" i="40" a="1"/>
  <c r="B117" i="40" a="1"/>
  <c r="B115" i="40" a="1"/>
  <c r="B127" i="40"/>
  <c r="C127" i="40"/>
  <c r="G103" i="40"/>
  <c r="C103" i="40"/>
  <c r="F103" i="40"/>
  <c r="B103" i="40"/>
  <c r="E103" i="40"/>
  <c r="D103" i="40"/>
  <c r="H103" i="40"/>
  <c r="C111" i="40"/>
  <c r="B111" i="40"/>
  <c r="G105" i="40"/>
  <c r="C105" i="40"/>
  <c r="F105" i="40"/>
  <c r="B105" i="40"/>
  <c r="E105" i="40"/>
  <c r="H105" i="40"/>
  <c r="D105" i="40"/>
  <c r="G107" i="40"/>
  <c r="C107" i="40"/>
  <c r="F107" i="40"/>
  <c r="B107" i="40"/>
  <c r="E107" i="40"/>
  <c r="H107" i="40"/>
  <c r="D107" i="40"/>
  <c r="G103" i="39"/>
  <c r="C103" i="39"/>
  <c r="E103" i="39"/>
  <c r="H103" i="39"/>
  <c r="B103" i="39"/>
  <c r="D103" i="39"/>
  <c r="F103" i="39"/>
  <c r="C111" i="39"/>
  <c r="B111" i="39"/>
  <c r="B125" i="39" a="1"/>
  <c r="B121" i="39" a="1"/>
  <c r="B117" i="39" a="1"/>
  <c r="C127" i="39"/>
  <c r="B127" i="39"/>
  <c r="B123" i="39" a="1"/>
  <c r="B119" i="39" a="1"/>
  <c r="B115" i="39" a="1"/>
  <c r="G107" i="39"/>
  <c r="C107" i="39"/>
  <c r="E107" i="39"/>
  <c r="H107" i="39"/>
  <c r="B107" i="39"/>
  <c r="F107" i="39"/>
  <c r="D107" i="39"/>
  <c r="G101" i="39"/>
  <c r="G100" i="39" s="1"/>
  <c r="C101" i="39"/>
  <c r="C100" i="39" s="1"/>
  <c r="H101" i="39"/>
  <c r="H100" i="39" s="1"/>
  <c r="B101" i="39"/>
  <c r="B100" i="39" s="1"/>
  <c r="E101" i="39"/>
  <c r="E100" i="39" s="1"/>
  <c r="F101" i="39"/>
  <c r="F100" i="39" s="1"/>
  <c r="D101" i="39"/>
  <c r="D100" i="39" s="1"/>
  <c r="G105" i="39"/>
  <c r="C105" i="39"/>
  <c r="H105" i="39"/>
  <c r="B105" i="39"/>
  <c r="E105" i="39"/>
  <c r="F105" i="39"/>
  <c r="D105" i="39"/>
  <c r="G109" i="39"/>
  <c r="C109" i="39"/>
  <c r="H109" i="39"/>
  <c r="B109" i="39"/>
  <c r="E109" i="39"/>
  <c r="F109" i="39"/>
  <c r="D109" i="39"/>
  <c r="C111" i="38"/>
  <c r="B111" i="38"/>
  <c r="G109" i="38"/>
  <c r="C109" i="38"/>
  <c r="F109" i="38"/>
  <c r="B109" i="38"/>
  <c r="D109" i="38"/>
  <c r="H109" i="38"/>
  <c r="E109" i="38"/>
  <c r="G105" i="38"/>
  <c r="C105" i="38"/>
  <c r="F105" i="38"/>
  <c r="B105" i="38"/>
  <c r="D105" i="38"/>
  <c r="H105" i="38"/>
  <c r="E105" i="38"/>
  <c r="G107" i="38"/>
  <c r="C107" i="38"/>
  <c r="F107" i="38"/>
  <c r="B107" i="38"/>
  <c r="D107" i="38"/>
  <c r="H107" i="38"/>
  <c r="E107" i="38"/>
  <c r="B127" i="38"/>
  <c r="C127" i="38"/>
  <c r="B123" i="38" a="1"/>
  <c r="B125" i="38" a="1"/>
  <c r="B121" i="38" a="1"/>
  <c r="B117" i="38" a="1"/>
  <c r="B115" i="38" a="1"/>
  <c r="B119" i="38" a="1"/>
  <c r="G103" i="38"/>
  <c r="C103" i="38"/>
  <c r="F103" i="38"/>
  <c r="B103" i="38"/>
  <c r="D103" i="38"/>
  <c r="H103" i="38"/>
  <c r="E103" i="38"/>
  <c r="G101" i="38"/>
  <c r="G100" i="38" s="1"/>
  <c r="C101" i="38"/>
  <c r="C100" i="38" s="1"/>
  <c r="F101" i="38"/>
  <c r="F100" i="38" s="1"/>
  <c r="B101" i="38"/>
  <c r="B100" i="38" s="1"/>
  <c r="D101" i="38"/>
  <c r="D100" i="38" s="1"/>
  <c r="H101" i="38"/>
  <c r="H100" i="38" s="1"/>
  <c r="E101" i="38"/>
  <c r="E100" i="38" s="1"/>
  <c r="B127" i="37"/>
  <c r="B123" i="37" a="1"/>
  <c r="B119" i="37" a="1"/>
  <c r="B115" i="37" a="1"/>
  <c r="C127" i="37"/>
  <c r="B125" i="37" a="1"/>
  <c r="B121" i="37" a="1"/>
  <c r="B117" i="37" a="1"/>
  <c r="C111" i="37"/>
  <c r="B111" i="37"/>
  <c r="G109" i="37"/>
  <c r="C109" i="37"/>
  <c r="F109" i="37"/>
  <c r="B109" i="37"/>
  <c r="H109" i="37"/>
  <c r="D109" i="37"/>
  <c r="E109" i="37"/>
  <c r="G103" i="37"/>
  <c r="C103" i="37"/>
  <c r="F103" i="37"/>
  <c r="B103" i="37"/>
  <c r="H103" i="37"/>
  <c r="D103" i="37"/>
  <c r="E103" i="37"/>
  <c r="G101" i="37"/>
  <c r="G100" i="37" s="1"/>
  <c r="C101" i="37"/>
  <c r="C100" i="37" s="1"/>
  <c r="F101" i="37"/>
  <c r="F100" i="37" s="1"/>
  <c r="B101" i="37"/>
  <c r="B100" i="37" s="1"/>
  <c r="H101" i="37"/>
  <c r="H100" i="37" s="1"/>
  <c r="D101" i="37"/>
  <c r="D100" i="37" s="1"/>
  <c r="E101" i="37"/>
  <c r="E100" i="37" s="1"/>
  <c r="G107" i="37"/>
  <c r="C107" i="37"/>
  <c r="F107" i="37"/>
  <c r="B107" i="37"/>
  <c r="H107" i="37"/>
  <c r="D107" i="37"/>
  <c r="E107" i="37"/>
  <c r="G105" i="37"/>
  <c r="C105" i="37"/>
  <c r="F105" i="37"/>
  <c r="B105" i="37"/>
  <c r="H105" i="37"/>
  <c r="D105" i="37"/>
  <c r="E105" i="37"/>
  <c r="C111" i="36"/>
  <c r="B111" i="36"/>
  <c r="G109" i="36"/>
  <c r="C109" i="36"/>
  <c r="D109" i="36"/>
  <c r="H109" i="36"/>
  <c r="B109" i="36"/>
  <c r="F109" i="36"/>
  <c r="E109" i="36"/>
  <c r="B125" i="36" a="1"/>
  <c r="B121" i="36" a="1"/>
  <c r="B117" i="36" a="1"/>
  <c r="C127" i="36"/>
  <c r="B127" i="36"/>
  <c r="B115" i="36" a="1"/>
  <c r="B119" i="36" a="1"/>
  <c r="B123" i="36" a="1"/>
  <c r="G101" i="36"/>
  <c r="G100" i="36" s="1"/>
  <c r="C101" i="36"/>
  <c r="C100" i="36" s="1"/>
  <c r="D101" i="36"/>
  <c r="D100" i="36" s="1"/>
  <c r="H101" i="36"/>
  <c r="H100" i="36" s="1"/>
  <c r="B101" i="36"/>
  <c r="B100" i="36" s="1"/>
  <c r="F101" i="36"/>
  <c r="F100" i="36" s="1"/>
  <c r="E101" i="36"/>
  <c r="E100" i="36" s="1"/>
  <c r="G105" i="36"/>
  <c r="C105" i="36"/>
  <c r="D105" i="36"/>
  <c r="H105" i="36"/>
  <c r="B105" i="36"/>
  <c r="F105" i="36"/>
  <c r="E105" i="36"/>
  <c r="G103" i="36"/>
  <c r="C103" i="36"/>
  <c r="F103" i="36"/>
  <c r="E103" i="36"/>
  <c r="D103" i="36"/>
  <c r="B103" i="36"/>
  <c r="H103" i="36"/>
  <c r="G107" i="36"/>
  <c r="C107" i="36"/>
  <c r="F107" i="36"/>
  <c r="E107" i="36"/>
  <c r="D107" i="36"/>
  <c r="H107" i="36"/>
  <c r="B107" i="36"/>
  <c r="C111" i="35"/>
  <c r="B111" i="35"/>
  <c r="G101" i="35"/>
  <c r="G100" i="35" s="1"/>
  <c r="C101" i="35"/>
  <c r="C100" i="35" s="1"/>
  <c r="D101" i="35"/>
  <c r="D100" i="35" s="1"/>
  <c r="H101" i="35"/>
  <c r="H100" i="35" s="1"/>
  <c r="B101" i="35"/>
  <c r="B100" i="35" s="1"/>
  <c r="F101" i="35"/>
  <c r="F100" i="35" s="1"/>
  <c r="E101" i="35"/>
  <c r="E100" i="35" s="1"/>
  <c r="B125" i="35" a="1"/>
  <c r="B121" i="35" a="1"/>
  <c r="B117" i="35" a="1"/>
  <c r="C127" i="35"/>
  <c r="B123" i="35" a="1"/>
  <c r="B127" i="35"/>
  <c r="B115" i="35" a="1"/>
  <c r="B119" i="35" a="1"/>
  <c r="G105" i="35"/>
  <c r="C105" i="35"/>
  <c r="D105" i="35"/>
  <c r="H105" i="35"/>
  <c r="B105" i="35"/>
  <c r="F105" i="35"/>
  <c r="E105" i="35"/>
  <c r="G103" i="35"/>
  <c r="C103" i="35"/>
  <c r="F103" i="35"/>
  <c r="E103" i="35"/>
  <c r="D103" i="35"/>
  <c r="H103" i="35"/>
  <c r="B103" i="35"/>
  <c r="G109" i="35"/>
  <c r="C109" i="35"/>
  <c r="D109" i="35"/>
  <c r="H109" i="35"/>
  <c r="B109" i="35"/>
  <c r="F109" i="35"/>
  <c r="E109" i="35"/>
  <c r="G107" i="35"/>
  <c r="C107" i="35"/>
  <c r="F107" i="35"/>
  <c r="E107" i="35"/>
  <c r="D107" i="35"/>
  <c r="H107" i="35"/>
  <c r="B107" i="35"/>
  <c r="G107" i="34"/>
  <c r="C107" i="34"/>
  <c r="F107" i="34"/>
  <c r="B107" i="34"/>
  <c r="E107" i="34"/>
  <c r="D107" i="34"/>
  <c r="H107" i="34"/>
  <c r="G101" i="34"/>
  <c r="G100" i="34" s="1"/>
  <c r="C101" i="34"/>
  <c r="C100" i="34" s="1"/>
  <c r="F101" i="34"/>
  <c r="F100" i="34" s="1"/>
  <c r="B101" i="34"/>
  <c r="B100" i="34" s="1"/>
  <c r="E101" i="34"/>
  <c r="E100" i="34" s="1"/>
  <c r="D101" i="34"/>
  <c r="D100" i="34" s="1"/>
  <c r="H101" i="34"/>
  <c r="H100" i="34" s="1"/>
  <c r="G109" i="34"/>
  <c r="C109" i="34"/>
  <c r="F109" i="34"/>
  <c r="B109" i="34"/>
  <c r="E109" i="34"/>
  <c r="D109" i="34"/>
  <c r="H109" i="34"/>
  <c r="G103" i="34"/>
  <c r="C103" i="34"/>
  <c r="F103" i="34"/>
  <c r="B103" i="34"/>
  <c r="E103" i="34"/>
  <c r="D103" i="34"/>
  <c r="H103" i="34"/>
  <c r="C111" i="34"/>
  <c r="B111" i="34"/>
  <c r="B125" i="34" a="1"/>
  <c r="B123" i="34" a="1"/>
  <c r="B121" i="34" a="1"/>
  <c r="B119" i="34" a="1"/>
  <c r="B117" i="34" a="1"/>
  <c r="B115" i="34" a="1"/>
  <c r="C127" i="34"/>
  <c r="B127" i="34"/>
  <c r="G105" i="34"/>
  <c r="C105" i="34"/>
  <c r="F105" i="34"/>
  <c r="B105" i="34"/>
  <c r="E105" i="34"/>
  <c r="D105" i="34"/>
  <c r="H105" i="34"/>
  <c r="B125" i="33" a="1"/>
  <c r="B123" i="33" a="1"/>
  <c r="B121" i="33" a="1"/>
  <c r="B119" i="33" a="1"/>
  <c r="B117" i="33" a="1"/>
  <c r="B115" i="33" a="1"/>
  <c r="C127" i="33"/>
  <c r="B127" i="33"/>
  <c r="G105" i="33"/>
  <c r="C105" i="33"/>
  <c r="F105" i="33"/>
  <c r="B105" i="33"/>
  <c r="E105" i="33"/>
  <c r="D105" i="33"/>
  <c r="H105" i="33"/>
  <c r="G107" i="33"/>
  <c r="C107" i="33"/>
  <c r="F107" i="33"/>
  <c r="B107" i="33"/>
  <c r="E107" i="33"/>
  <c r="D107" i="33"/>
  <c r="H107" i="33"/>
  <c r="G101" i="33"/>
  <c r="G100" i="33" s="1"/>
  <c r="C101" i="33"/>
  <c r="C100" i="33" s="1"/>
  <c r="F101" i="33"/>
  <c r="F100" i="33" s="1"/>
  <c r="B101" i="33"/>
  <c r="B100" i="33" s="1"/>
  <c r="E101" i="33"/>
  <c r="E100" i="33" s="1"/>
  <c r="D101" i="33"/>
  <c r="D100" i="33" s="1"/>
  <c r="H101" i="33"/>
  <c r="H100" i="33" s="1"/>
  <c r="G109" i="33"/>
  <c r="C109" i="33"/>
  <c r="F109" i="33"/>
  <c r="B109" i="33"/>
  <c r="E109" i="33"/>
  <c r="D109" i="33"/>
  <c r="H109" i="33"/>
  <c r="G103" i="33"/>
  <c r="C103" i="33"/>
  <c r="F103" i="33"/>
  <c r="B103" i="33"/>
  <c r="E103" i="33"/>
  <c r="D103" i="33"/>
  <c r="H103" i="33"/>
  <c r="C111" i="33"/>
  <c r="B111" i="33"/>
  <c r="G109" i="32"/>
  <c r="C109" i="32"/>
  <c r="D109" i="32"/>
  <c r="H109" i="32"/>
  <c r="B109" i="32"/>
  <c r="F109" i="32"/>
  <c r="E109" i="32"/>
  <c r="G107" i="32"/>
  <c r="C107" i="32"/>
  <c r="F107" i="32"/>
  <c r="E107" i="32"/>
  <c r="D107" i="32"/>
  <c r="H107" i="32"/>
  <c r="B107" i="32"/>
  <c r="B125" i="32" a="1"/>
  <c r="B121" i="32" a="1"/>
  <c r="B117" i="32" a="1"/>
  <c r="C127" i="32"/>
  <c r="B127" i="32"/>
  <c r="B115" i="32" a="1"/>
  <c r="B119" i="32" a="1"/>
  <c r="B123" i="32" a="1"/>
  <c r="C111" i="32"/>
  <c r="B111" i="32"/>
  <c r="G101" i="32"/>
  <c r="G100" i="32" s="1"/>
  <c r="C101" i="32"/>
  <c r="C100" i="32" s="1"/>
  <c r="D101" i="32"/>
  <c r="D100" i="32" s="1"/>
  <c r="H101" i="32"/>
  <c r="H100" i="32" s="1"/>
  <c r="B101" i="32"/>
  <c r="B100" i="32" s="1"/>
  <c r="F101" i="32"/>
  <c r="F100" i="32" s="1"/>
  <c r="E101" i="32"/>
  <c r="E100" i="32" s="1"/>
  <c r="G105" i="32"/>
  <c r="C105" i="32"/>
  <c r="D105" i="32"/>
  <c r="H105" i="32"/>
  <c r="B105" i="32"/>
  <c r="F105" i="32"/>
  <c r="E105" i="32"/>
  <c r="G103" i="32"/>
  <c r="C103" i="32"/>
  <c r="F103" i="32"/>
  <c r="E103" i="32"/>
  <c r="D103" i="32"/>
  <c r="H103" i="32"/>
  <c r="B103" i="32"/>
  <c r="G105" i="31"/>
  <c r="C105" i="31"/>
  <c r="D105" i="31"/>
  <c r="F105" i="31"/>
  <c r="B105" i="31"/>
  <c r="H105" i="31"/>
  <c r="E105" i="31"/>
  <c r="G107" i="31"/>
  <c r="C107" i="31"/>
  <c r="F107" i="31"/>
  <c r="D107" i="31"/>
  <c r="E107" i="31"/>
  <c r="B107" i="31"/>
  <c r="H107" i="31"/>
  <c r="G109" i="31"/>
  <c r="C109" i="31"/>
  <c r="D109" i="31"/>
  <c r="F109" i="31"/>
  <c r="H109" i="31"/>
  <c r="E109" i="31"/>
  <c r="B109" i="31"/>
  <c r="C111" i="31"/>
  <c r="B111" i="31"/>
  <c r="C127" i="31"/>
  <c r="B125" i="31" a="1"/>
  <c r="B117" i="31" a="1"/>
  <c r="B119" i="31" a="1"/>
  <c r="B121" i="31" a="1"/>
  <c r="B127" i="31"/>
  <c r="B123" i="31" a="1"/>
  <c r="B115" i="31" a="1"/>
  <c r="G101" i="31"/>
  <c r="G100" i="31" s="1"/>
  <c r="C101" i="31"/>
  <c r="C100" i="31" s="1"/>
  <c r="D101" i="31"/>
  <c r="D100" i="31" s="1"/>
  <c r="F101" i="31"/>
  <c r="F100" i="31" s="1"/>
  <c r="H101" i="31"/>
  <c r="H100" i="31" s="1"/>
  <c r="E101" i="31"/>
  <c r="E100" i="31" s="1"/>
  <c r="B101" i="31"/>
  <c r="B100" i="31" s="1"/>
  <c r="G103" i="31"/>
  <c r="C103" i="31"/>
  <c r="F103" i="31"/>
  <c r="D103" i="31"/>
  <c r="H103" i="31"/>
  <c r="E103" i="31"/>
  <c r="B103" i="31"/>
  <c r="G107" i="30"/>
  <c r="C107" i="30"/>
  <c r="F107" i="30"/>
  <c r="B107" i="30"/>
  <c r="D107" i="30"/>
  <c r="H107" i="30"/>
  <c r="E107" i="30"/>
  <c r="G101" i="30"/>
  <c r="G100" i="30" s="1"/>
  <c r="C101" i="30"/>
  <c r="C100" i="30" s="1"/>
  <c r="F101" i="30"/>
  <c r="F100" i="30" s="1"/>
  <c r="B101" i="30"/>
  <c r="B100" i="30" s="1"/>
  <c r="D101" i="30"/>
  <c r="D100" i="30" s="1"/>
  <c r="H101" i="30"/>
  <c r="H100" i="30" s="1"/>
  <c r="E101" i="30"/>
  <c r="E100" i="30" s="1"/>
  <c r="G109" i="30"/>
  <c r="C109" i="30"/>
  <c r="F109" i="30"/>
  <c r="B109" i="30"/>
  <c r="D109" i="30"/>
  <c r="H109" i="30"/>
  <c r="E109" i="30"/>
  <c r="G103" i="30"/>
  <c r="C103" i="30"/>
  <c r="F103" i="30"/>
  <c r="B103" i="30"/>
  <c r="D103" i="30"/>
  <c r="H103" i="30"/>
  <c r="E103" i="30"/>
  <c r="C111" i="30"/>
  <c r="B111" i="30"/>
  <c r="C127" i="30"/>
  <c r="B127" i="30"/>
  <c r="B123" i="30" a="1"/>
  <c r="B115" i="30" a="1"/>
  <c r="B121" i="30" a="1"/>
  <c r="B119" i="30" a="1"/>
  <c r="B125" i="30" a="1"/>
  <c r="B117" i="30" a="1"/>
  <c r="G105" i="30"/>
  <c r="C105" i="30"/>
  <c r="F105" i="30"/>
  <c r="B105" i="30"/>
  <c r="D105" i="30"/>
  <c r="H105" i="30"/>
  <c r="E105" i="30"/>
  <c r="B125" i="29" a="1"/>
  <c r="B123" i="29" a="1"/>
  <c r="B121" i="29" a="1"/>
  <c r="B119" i="29" a="1"/>
  <c r="B117" i="29" a="1"/>
  <c r="B115" i="29" a="1"/>
  <c r="C127" i="29"/>
  <c r="B127" i="29"/>
  <c r="G107" i="29"/>
  <c r="C107" i="29"/>
  <c r="F107" i="29"/>
  <c r="B107" i="29"/>
  <c r="E107" i="29"/>
  <c r="D107" i="29"/>
  <c r="H107" i="29"/>
  <c r="G101" i="29"/>
  <c r="G100" i="29" s="1"/>
  <c r="C101" i="29"/>
  <c r="C100" i="29" s="1"/>
  <c r="F101" i="29"/>
  <c r="F100" i="29" s="1"/>
  <c r="B101" i="29"/>
  <c r="B100" i="29" s="1"/>
  <c r="E101" i="29"/>
  <c r="E100" i="29" s="1"/>
  <c r="D101" i="29"/>
  <c r="D100" i="29" s="1"/>
  <c r="H101" i="29"/>
  <c r="H100" i="29" s="1"/>
  <c r="G109" i="29"/>
  <c r="C109" i="29"/>
  <c r="F109" i="29"/>
  <c r="B109" i="29"/>
  <c r="E109" i="29"/>
  <c r="D109" i="29"/>
  <c r="H109" i="29"/>
  <c r="G105" i="29"/>
  <c r="C105" i="29"/>
  <c r="F105" i="29"/>
  <c r="B105" i="29"/>
  <c r="E105" i="29"/>
  <c r="D105" i="29"/>
  <c r="H105" i="29"/>
  <c r="G103" i="29"/>
  <c r="C103" i="29"/>
  <c r="F103" i="29"/>
  <c r="B103" i="29"/>
  <c r="E103" i="29"/>
  <c r="D103" i="29"/>
  <c r="H103" i="29"/>
  <c r="C111" i="29"/>
  <c r="B111" i="29"/>
  <c r="G105" i="28"/>
  <c r="C105" i="28"/>
  <c r="F105" i="28"/>
  <c r="B105" i="28"/>
  <c r="H105" i="28"/>
  <c r="E105" i="28"/>
  <c r="D105" i="28"/>
  <c r="B127" i="28"/>
  <c r="B125" i="28" a="1"/>
  <c r="B123" i="28" a="1"/>
  <c r="B121" i="28" a="1"/>
  <c r="B119" i="28" a="1"/>
  <c r="B117" i="28" a="1"/>
  <c r="B115" i="28" a="1"/>
  <c r="C127" i="28"/>
  <c r="G101" i="28"/>
  <c r="G100" i="28" s="1"/>
  <c r="C101" i="28"/>
  <c r="C100" i="28" s="1"/>
  <c r="F101" i="28"/>
  <c r="F100" i="28" s="1"/>
  <c r="B101" i="28"/>
  <c r="B100" i="28" s="1"/>
  <c r="H101" i="28"/>
  <c r="H100" i="28" s="1"/>
  <c r="E101" i="28"/>
  <c r="E100" i="28" s="1"/>
  <c r="D101" i="28"/>
  <c r="D100" i="28" s="1"/>
  <c r="C111" i="28"/>
  <c r="B111" i="28"/>
  <c r="G107" i="28"/>
  <c r="C107" i="28"/>
  <c r="F107" i="28"/>
  <c r="B107" i="28"/>
  <c r="H107" i="28"/>
  <c r="E107" i="28"/>
  <c r="D107" i="28"/>
  <c r="G109" i="28"/>
  <c r="C109" i="28"/>
  <c r="F109" i="28"/>
  <c r="B109" i="28"/>
  <c r="H109" i="28"/>
  <c r="E109" i="28"/>
  <c r="D109" i="28"/>
  <c r="G103" i="28"/>
  <c r="C103" i="28"/>
  <c r="F103" i="28"/>
  <c r="B103" i="28"/>
  <c r="H103" i="28"/>
  <c r="E103" i="28"/>
  <c r="D103" i="28"/>
  <c r="G105" i="27"/>
  <c r="C105" i="27"/>
  <c r="F105" i="27"/>
  <c r="B105" i="27"/>
  <c r="H105" i="27"/>
  <c r="E105" i="27"/>
  <c r="D105" i="27"/>
  <c r="G109" i="27"/>
  <c r="C109" i="27"/>
  <c r="F109" i="27"/>
  <c r="B109" i="27"/>
  <c r="H109" i="27"/>
  <c r="E109" i="27"/>
  <c r="D109" i="27"/>
  <c r="C111" i="27"/>
  <c r="B111" i="27"/>
  <c r="B127" i="27"/>
  <c r="B125" i="27" a="1"/>
  <c r="B123" i="27" a="1"/>
  <c r="B121" i="27" a="1"/>
  <c r="B119" i="27" a="1"/>
  <c r="B117" i="27" a="1"/>
  <c r="B115" i="27" a="1"/>
  <c r="C127" i="27"/>
  <c r="G107" i="27"/>
  <c r="C107" i="27"/>
  <c r="F107" i="27"/>
  <c r="B107" i="27"/>
  <c r="H107" i="27"/>
  <c r="E107" i="27"/>
  <c r="D107" i="27"/>
  <c r="G101" i="27"/>
  <c r="G100" i="27" s="1"/>
  <c r="C101" i="27"/>
  <c r="C100" i="27" s="1"/>
  <c r="F101" i="27"/>
  <c r="F100" i="27" s="1"/>
  <c r="B101" i="27"/>
  <c r="B100" i="27" s="1"/>
  <c r="H101" i="27"/>
  <c r="H100" i="27" s="1"/>
  <c r="E101" i="27"/>
  <c r="E100" i="27" s="1"/>
  <c r="D101" i="27"/>
  <c r="D100" i="27" s="1"/>
  <c r="G103" i="27"/>
  <c r="C103" i="27"/>
  <c r="F103" i="27"/>
  <c r="B103" i="27"/>
  <c r="H103" i="27"/>
  <c r="E103" i="27"/>
  <c r="D103" i="27"/>
  <c r="G105" i="26"/>
  <c r="C105" i="26"/>
  <c r="E105" i="26"/>
  <c r="H105" i="26"/>
  <c r="B105" i="26"/>
  <c r="F105" i="26"/>
  <c r="D105" i="26"/>
  <c r="G109" i="26"/>
  <c r="C109" i="26"/>
  <c r="E109" i="26"/>
  <c r="H109" i="26"/>
  <c r="B109" i="26"/>
  <c r="D109" i="26"/>
  <c r="F109" i="26"/>
  <c r="G101" i="26"/>
  <c r="G100" i="26" s="1"/>
  <c r="C101" i="26"/>
  <c r="C100" i="26" s="1"/>
  <c r="E101" i="26"/>
  <c r="E100" i="26" s="1"/>
  <c r="H101" i="26"/>
  <c r="H100" i="26" s="1"/>
  <c r="B101" i="26"/>
  <c r="B100" i="26" s="1"/>
  <c r="D101" i="26"/>
  <c r="D100" i="26" s="1"/>
  <c r="F101" i="26"/>
  <c r="F100" i="26" s="1"/>
  <c r="G103" i="26"/>
  <c r="C103" i="26"/>
  <c r="H103" i="26"/>
  <c r="B103" i="26"/>
  <c r="E103" i="26"/>
  <c r="F103" i="26"/>
  <c r="D103" i="26"/>
  <c r="B127" i="26"/>
  <c r="B123" i="26" a="1"/>
  <c r="B119" i="26" a="1"/>
  <c r="B115" i="26" a="1"/>
  <c r="B125" i="26" a="1"/>
  <c r="B121" i="26" a="1"/>
  <c r="B117" i="26" a="1"/>
  <c r="C127" i="26"/>
  <c r="C111" i="26"/>
  <c r="B111" i="26"/>
  <c r="G107" i="26"/>
  <c r="C107" i="26"/>
  <c r="H107" i="26"/>
  <c r="B107" i="26"/>
  <c r="E107" i="26"/>
  <c r="F107" i="26"/>
  <c r="D107" i="26"/>
  <c r="B127" i="25"/>
  <c r="B123" i="25" a="1"/>
  <c r="B119" i="25" a="1"/>
  <c r="B115" i="25" a="1"/>
  <c r="C127" i="25"/>
  <c r="B125" i="25" a="1"/>
  <c r="B121" i="25" a="1"/>
  <c r="B117" i="25" a="1"/>
  <c r="G103" i="25"/>
  <c r="C103" i="25"/>
  <c r="F103" i="25"/>
  <c r="B103" i="25"/>
  <c r="H103" i="25"/>
  <c r="D103" i="25"/>
  <c r="E103" i="25"/>
  <c r="G101" i="25"/>
  <c r="G100" i="25" s="1"/>
  <c r="C101" i="25"/>
  <c r="C100" i="25" s="1"/>
  <c r="F101" i="25"/>
  <c r="F100" i="25" s="1"/>
  <c r="B101" i="25"/>
  <c r="B100" i="25" s="1"/>
  <c r="H101" i="25"/>
  <c r="H100" i="25" s="1"/>
  <c r="D101" i="25"/>
  <c r="D100" i="25" s="1"/>
  <c r="E101" i="25"/>
  <c r="E100" i="25" s="1"/>
  <c r="G107" i="25"/>
  <c r="C107" i="25"/>
  <c r="F107" i="25"/>
  <c r="B107" i="25"/>
  <c r="H107" i="25"/>
  <c r="D107" i="25"/>
  <c r="E107" i="25"/>
  <c r="G105" i="25"/>
  <c r="C105" i="25"/>
  <c r="F105" i="25"/>
  <c r="B105" i="25"/>
  <c r="H105" i="25"/>
  <c r="D105" i="25"/>
  <c r="E105" i="25"/>
  <c r="C111" i="25"/>
  <c r="B111" i="25"/>
  <c r="G109" i="25"/>
  <c r="C109" i="25"/>
  <c r="F109" i="25"/>
  <c r="B109" i="25"/>
  <c r="H109" i="25"/>
  <c r="D109" i="25"/>
  <c r="E109" i="25"/>
  <c r="G107" i="24"/>
  <c r="C107" i="24"/>
  <c r="F107" i="24"/>
  <c r="B107" i="24"/>
  <c r="D107" i="24"/>
  <c r="H107" i="24"/>
  <c r="E107" i="24"/>
  <c r="G101" i="24"/>
  <c r="G100" i="24" s="1"/>
  <c r="C101" i="24"/>
  <c r="C100" i="24" s="1"/>
  <c r="D101" i="24"/>
  <c r="D100" i="24" s="1"/>
  <c r="F101" i="24"/>
  <c r="F100" i="24" s="1"/>
  <c r="H101" i="24"/>
  <c r="H100" i="24" s="1"/>
  <c r="E101" i="24"/>
  <c r="E100" i="24" s="1"/>
  <c r="B101" i="24"/>
  <c r="B100" i="24" s="1"/>
  <c r="B127" i="24"/>
  <c r="C127" i="24"/>
  <c r="B125" i="24" a="1"/>
  <c r="B121" i="24" a="1"/>
  <c r="B117" i="24" a="1"/>
  <c r="B123" i="24" a="1"/>
  <c r="B119" i="24" a="1"/>
  <c r="B115" i="24" a="1"/>
  <c r="C111" i="24"/>
  <c r="B111" i="24"/>
  <c r="G105" i="24"/>
  <c r="C105" i="24"/>
  <c r="F105" i="24"/>
  <c r="D105" i="24"/>
  <c r="H105" i="24"/>
  <c r="B105" i="24"/>
  <c r="E105" i="24"/>
  <c r="G103" i="24"/>
  <c r="C103" i="24"/>
  <c r="F103" i="24"/>
  <c r="D103" i="24"/>
  <c r="H103" i="24"/>
  <c r="B103" i="24"/>
  <c r="E103" i="24"/>
  <c r="G109" i="24"/>
  <c r="C109" i="24"/>
  <c r="F109" i="24"/>
  <c r="B109" i="24"/>
  <c r="D109" i="24"/>
  <c r="H109" i="24"/>
  <c r="E109" i="24"/>
  <c r="G105" i="23"/>
  <c r="C105" i="23"/>
  <c r="E105" i="23"/>
  <c r="H105" i="23"/>
  <c r="B105" i="23"/>
  <c r="F105" i="23"/>
  <c r="D105" i="23"/>
  <c r="G101" i="23"/>
  <c r="G100" i="23" s="1"/>
  <c r="C101" i="23"/>
  <c r="C100" i="23" s="1"/>
  <c r="E101" i="23"/>
  <c r="E100" i="23" s="1"/>
  <c r="H101" i="23"/>
  <c r="H100" i="23" s="1"/>
  <c r="B101" i="23"/>
  <c r="B100" i="23" s="1"/>
  <c r="D101" i="23"/>
  <c r="D100" i="23" s="1"/>
  <c r="F101" i="23"/>
  <c r="F100" i="23" s="1"/>
  <c r="G103" i="23"/>
  <c r="C103" i="23"/>
  <c r="H103" i="23"/>
  <c r="B103" i="23"/>
  <c r="E103" i="23"/>
  <c r="F103" i="23"/>
  <c r="D103" i="23"/>
  <c r="G109" i="23"/>
  <c r="C109" i="23"/>
  <c r="E109" i="23"/>
  <c r="H109" i="23"/>
  <c r="B109" i="23"/>
  <c r="D109" i="23"/>
  <c r="F109" i="23"/>
  <c r="B127" i="23"/>
  <c r="B123" i="23" a="1"/>
  <c r="B119" i="23" a="1"/>
  <c r="B115" i="23" a="1"/>
  <c r="B125" i="23" a="1"/>
  <c r="B121" i="23" a="1"/>
  <c r="B117" i="23" a="1"/>
  <c r="C127" i="23"/>
  <c r="C111" i="23"/>
  <c r="B111" i="23"/>
  <c r="G107" i="23"/>
  <c r="C107" i="23"/>
  <c r="H107" i="23"/>
  <c r="B107" i="23"/>
  <c r="E107" i="23"/>
  <c r="F107" i="23"/>
  <c r="D107" i="23"/>
  <c r="G101" i="22"/>
  <c r="G100" i="22" s="1"/>
  <c r="C101" i="22"/>
  <c r="C100" i="22" s="1"/>
  <c r="D101" i="22"/>
  <c r="D100" i="22" s="1"/>
  <c r="H101" i="22"/>
  <c r="H100" i="22" s="1"/>
  <c r="B101" i="22"/>
  <c r="B100" i="22" s="1"/>
  <c r="F101" i="22"/>
  <c r="F100" i="22" s="1"/>
  <c r="E101" i="22"/>
  <c r="E100" i="22" s="1"/>
  <c r="G105" i="22"/>
  <c r="C105" i="22"/>
  <c r="D105" i="22"/>
  <c r="H105" i="22"/>
  <c r="B105" i="22"/>
  <c r="F105" i="22"/>
  <c r="E105" i="22"/>
  <c r="G103" i="22"/>
  <c r="C103" i="22"/>
  <c r="F103" i="22"/>
  <c r="E103" i="22"/>
  <c r="D103" i="22"/>
  <c r="B103" i="22"/>
  <c r="H103" i="22"/>
  <c r="C111" i="22"/>
  <c r="B111" i="22"/>
  <c r="C127" i="22"/>
  <c r="B127" i="22"/>
  <c r="B125" i="22" a="1"/>
  <c r="B123" i="22" a="1"/>
  <c r="B121" i="22" a="1"/>
  <c r="B119" i="22" a="1"/>
  <c r="B117" i="22" a="1"/>
  <c r="B115" i="22" a="1"/>
  <c r="G109" i="22"/>
  <c r="C109" i="22"/>
  <c r="D109" i="22"/>
  <c r="H109" i="22"/>
  <c r="B109" i="22"/>
  <c r="F109" i="22"/>
  <c r="E109" i="22"/>
  <c r="G107" i="22"/>
  <c r="C107" i="22"/>
  <c r="F107" i="22"/>
  <c r="E107" i="22"/>
  <c r="D107" i="22"/>
  <c r="H107" i="22"/>
  <c r="B107" i="22"/>
  <c r="G101" i="21"/>
  <c r="G100" i="21" s="1"/>
  <c r="C101" i="21"/>
  <c r="C100" i="21" s="1"/>
  <c r="H101" i="21"/>
  <c r="H100" i="21" s="1"/>
  <c r="B101" i="21"/>
  <c r="B100" i="21" s="1"/>
  <c r="F101" i="21"/>
  <c r="F100" i="21" s="1"/>
  <c r="E101" i="21"/>
  <c r="E100" i="21" s="1"/>
  <c r="D101" i="21"/>
  <c r="D100" i="21" s="1"/>
  <c r="G105" i="21"/>
  <c r="C105" i="21"/>
  <c r="H105" i="21"/>
  <c r="B105" i="21"/>
  <c r="F105" i="21"/>
  <c r="D105" i="21"/>
  <c r="E105" i="21"/>
  <c r="C111" i="21"/>
  <c r="B111" i="21"/>
  <c r="G107" i="21"/>
  <c r="C107" i="21"/>
  <c r="E107" i="21"/>
  <c r="D107" i="21"/>
  <c r="F107" i="21"/>
  <c r="B107" i="21"/>
  <c r="H107" i="21"/>
  <c r="G109" i="21"/>
  <c r="C109" i="21"/>
  <c r="H109" i="21"/>
  <c r="B109" i="21"/>
  <c r="F109" i="21"/>
  <c r="E109" i="21"/>
  <c r="D109" i="21"/>
  <c r="B127" i="21"/>
  <c r="B125" i="21" a="1"/>
  <c r="B123" i="21" a="1"/>
  <c r="B121" i="21" a="1"/>
  <c r="B119" i="21" a="1"/>
  <c r="B117" i="21" a="1"/>
  <c r="B115" i="21" a="1"/>
  <c r="C127" i="21"/>
  <c r="G103" i="21"/>
  <c r="C103" i="21"/>
  <c r="E103" i="21"/>
  <c r="D103" i="21"/>
  <c r="H103" i="21"/>
  <c r="F103" i="21"/>
  <c r="B103" i="21"/>
  <c r="G109" i="20"/>
  <c r="C109" i="20"/>
  <c r="F109" i="20"/>
  <c r="B109" i="20"/>
  <c r="H109" i="20"/>
  <c r="E109" i="20"/>
  <c r="D109" i="20"/>
  <c r="B127" i="20"/>
  <c r="B125" i="20" a="1"/>
  <c r="B123" i="20" a="1"/>
  <c r="B121" i="20" a="1"/>
  <c r="B119" i="20" a="1"/>
  <c r="B117" i="20" a="1"/>
  <c r="B115" i="20" a="1"/>
  <c r="C127" i="20"/>
  <c r="G105" i="20"/>
  <c r="C105" i="20"/>
  <c r="F105" i="20"/>
  <c r="B105" i="20"/>
  <c r="H105" i="20"/>
  <c r="E105" i="20"/>
  <c r="D105" i="20"/>
  <c r="G103" i="20"/>
  <c r="C103" i="20"/>
  <c r="F103" i="20"/>
  <c r="B103" i="20"/>
  <c r="H103" i="20"/>
  <c r="E103" i="20"/>
  <c r="D103" i="20"/>
  <c r="C111" i="20"/>
  <c r="B111" i="20"/>
  <c r="G101" i="20"/>
  <c r="G100" i="20" s="1"/>
  <c r="C101" i="20"/>
  <c r="C100" i="20" s="1"/>
  <c r="F101" i="20"/>
  <c r="F100" i="20" s="1"/>
  <c r="B101" i="20"/>
  <c r="B100" i="20" s="1"/>
  <c r="H101" i="20"/>
  <c r="H100" i="20" s="1"/>
  <c r="E101" i="20"/>
  <c r="E100" i="20" s="1"/>
  <c r="D101" i="20"/>
  <c r="D100" i="20" s="1"/>
  <c r="G107" i="20"/>
  <c r="C107" i="20"/>
  <c r="F107" i="20"/>
  <c r="B107" i="20"/>
  <c r="H107" i="20"/>
  <c r="D107" i="20"/>
  <c r="E107" i="20"/>
  <c r="G103" i="19"/>
  <c r="C103" i="19"/>
  <c r="F103" i="19"/>
  <c r="B103" i="19"/>
  <c r="E103" i="19"/>
  <c r="D103" i="19"/>
  <c r="H103" i="19"/>
  <c r="C111" i="19"/>
  <c r="B111" i="19"/>
  <c r="G109" i="19"/>
  <c r="C109" i="19"/>
  <c r="F109" i="19"/>
  <c r="B109" i="19"/>
  <c r="E109" i="19"/>
  <c r="D109" i="19"/>
  <c r="H109" i="19"/>
  <c r="G105" i="19"/>
  <c r="C105" i="19"/>
  <c r="F105" i="19"/>
  <c r="B105" i="19"/>
  <c r="E105" i="19"/>
  <c r="D105" i="19"/>
  <c r="H105" i="19"/>
  <c r="G101" i="19"/>
  <c r="G100" i="19" s="1"/>
  <c r="C101" i="19"/>
  <c r="C100" i="19" s="1"/>
  <c r="F101" i="19"/>
  <c r="F100" i="19" s="1"/>
  <c r="B101" i="19"/>
  <c r="B100" i="19" s="1"/>
  <c r="E101" i="19"/>
  <c r="E100" i="19" s="1"/>
  <c r="D101" i="19"/>
  <c r="D100" i="19" s="1"/>
  <c r="H101" i="19"/>
  <c r="H100" i="19" s="1"/>
  <c r="B125" i="19" a="1"/>
  <c r="B123" i="19" a="1"/>
  <c r="B121" i="19" a="1"/>
  <c r="B119" i="19" a="1"/>
  <c r="B117" i="19" a="1"/>
  <c r="B115" i="19" a="1"/>
  <c r="C127" i="19"/>
  <c r="B127" i="19"/>
  <c r="G107" i="19"/>
  <c r="C107" i="19"/>
  <c r="F107" i="19"/>
  <c r="B107" i="19"/>
  <c r="E107" i="19"/>
  <c r="D107" i="19"/>
  <c r="H107" i="19"/>
  <c r="G107" i="18"/>
  <c r="C107" i="18"/>
  <c r="D107" i="18"/>
  <c r="H107" i="18"/>
  <c r="B107" i="18"/>
  <c r="F107" i="18"/>
  <c r="E107" i="18"/>
  <c r="G109" i="18"/>
  <c r="C109" i="18"/>
  <c r="F109" i="18"/>
  <c r="E109" i="18"/>
  <c r="D109" i="18"/>
  <c r="B109" i="18"/>
  <c r="H109" i="18"/>
  <c r="G105" i="18"/>
  <c r="C105" i="18"/>
  <c r="F105" i="18"/>
  <c r="E105" i="18"/>
  <c r="D105" i="18"/>
  <c r="B105" i="18"/>
  <c r="H105" i="18"/>
  <c r="C111" i="18"/>
  <c r="B111" i="18"/>
  <c r="G103" i="18"/>
  <c r="C103" i="18"/>
  <c r="D103" i="18"/>
  <c r="H103" i="18"/>
  <c r="B103" i="18"/>
  <c r="F103" i="18"/>
  <c r="E103" i="18"/>
  <c r="B125" i="18" a="1"/>
  <c r="B123" i="18" a="1"/>
  <c r="B121" i="18" a="1"/>
  <c r="B119" i="18" a="1"/>
  <c r="B117" i="18" a="1"/>
  <c r="B115" i="18" a="1"/>
  <c r="C127" i="18"/>
  <c r="B127" i="18"/>
  <c r="G101" i="18"/>
  <c r="G100" i="18" s="1"/>
  <c r="C101" i="18"/>
  <c r="C100" i="18" s="1"/>
  <c r="F101" i="18"/>
  <c r="F100" i="18" s="1"/>
  <c r="E101" i="18"/>
  <c r="E100" i="18" s="1"/>
  <c r="D101" i="18"/>
  <c r="D100" i="18" s="1"/>
  <c r="H101" i="18"/>
  <c r="H100" i="18" s="1"/>
  <c r="B101" i="18"/>
  <c r="B100" i="18" s="1"/>
  <c r="C111" i="17"/>
  <c r="B111" i="17"/>
  <c r="G105" i="17"/>
  <c r="C105" i="17"/>
  <c r="F105" i="17"/>
  <c r="B105" i="17"/>
  <c r="H105" i="17"/>
  <c r="E105" i="17"/>
  <c r="D105" i="17"/>
  <c r="G101" i="17"/>
  <c r="G100" i="17" s="1"/>
  <c r="C101" i="17"/>
  <c r="C100" i="17" s="1"/>
  <c r="F101" i="17"/>
  <c r="F100" i="17" s="1"/>
  <c r="B101" i="17"/>
  <c r="B100" i="17" s="1"/>
  <c r="H101" i="17"/>
  <c r="H100" i="17" s="1"/>
  <c r="E101" i="17"/>
  <c r="E100" i="17" s="1"/>
  <c r="D101" i="17"/>
  <c r="D100" i="17" s="1"/>
  <c r="G103" i="17"/>
  <c r="C103" i="17"/>
  <c r="F103" i="17"/>
  <c r="B103" i="17"/>
  <c r="H103" i="17"/>
  <c r="E103" i="17"/>
  <c r="D103" i="17"/>
  <c r="G107" i="17"/>
  <c r="C107" i="17"/>
  <c r="F107" i="17"/>
  <c r="B107" i="17"/>
  <c r="H107" i="17"/>
  <c r="D107" i="17"/>
  <c r="E107" i="17"/>
  <c r="B127" i="17"/>
  <c r="B125" i="17" a="1"/>
  <c r="B123" i="17" a="1"/>
  <c r="B121" i="17" a="1"/>
  <c r="B119" i="17" a="1"/>
  <c r="C127" i="17"/>
  <c r="B117" i="17" a="1"/>
  <c r="B115" i="17" a="1"/>
  <c r="G109" i="17"/>
  <c r="C109" i="17"/>
  <c r="F109" i="17"/>
  <c r="B109" i="17"/>
  <c r="H109" i="17"/>
  <c r="E109" i="17"/>
  <c r="D109" i="17"/>
  <c r="G107" i="16"/>
  <c r="C107" i="16"/>
  <c r="F107" i="16"/>
  <c r="B107" i="16"/>
  <c r="H107" i="16"/>
  <c r="E107" i="16"/>
  <c r="D107" i="16"/>
  <c r="B127" i="16"/>
  <c r="B125" i="16" a="1"/>
  <c r="B123" i="16" a="1"/>
  <c r="B121" i="16" a="1"/>
  <c r="B119" i="16" a="1"/>
  <c r="B117" i="16" a="1"/>
  <c r="B115" i="16" a="1"/>
  <c r="C127" i="16"/>
  <c r="C111" i="16"/>
  <c r="B111" i="16"/>
  <c r="G109" i="16"/>
  <c r="C109" i="16"/>
  <c r="F109" i="16"/>
  <c r="B109" i="16"/>
  <c r="H109" i="16"/>
  <c r="E109" i="16"/>
  <c r="D109" i="16"/>
  <c r="G105" i="16"/>
  <c r="C105" i="16"/>
  <c r="F105" i="16"/>
  <c r="B105" i="16"/>
  <c r="H105" i="16"/>
  <c r="E105" i="16"/>
  <c r="D105" i="16"/>
  <c r="G103" i="16"/>
  <c r="C103" i="16"/>
  <c r="F103" i="16"/>
  <c r="B103" i="16"/>
  <c r="H103" i="16"/>
  <c r="E103" i="16"/>
  <c r="D103" i="16"/>
  <c r="G101" i="16"/>
  <c r="G100" i="16" s="1"/>
  <c r="C101" i="16"/>
  <c r="C100" i="16" s="1"/>
  <c r="F101" i="16"/>
  <c r="F100" i="16" s="1"/>
  <c r="B101" i="16"/>
  <c r="B100" i="16" s="1"/>
  <c r="H101" i="16"/>
  <c r="H100" i="16" s="1"/>
  <c r="E101" i="16"/>
  <c r="E100" i="16" s="1"/>
  <c r="D101" i="16"/>
  <c r="D100" i="16" s="1"/>
  <c r="G105" i="15"/>
  <c r="C105" i="15"/>
  <c r="E105" i="15"/>
  <c r="H105" i="15"/>
  <c r="B105" i="15"/>
  <c r="D105" i="15"/>
  <c r="F105" i="15"/>
  <c r="G107" i="15"/>
  <c r="C107" i="15"/>
  <c r="H107" i="15"/>
  <c r="B107" i="15"/>
  <c r="E107" i="15"/>
  <c r="F107" i="15"/>
  <c r="D107" i="15"/>
  <c r="G103" i="15"/>
  <c r="C103" i="15"/>
  <c r="H103" i="15"/>
  <c r="B103" i="15"/>
  <c r="E103" i="15"/>
  <c r="D103" i="15"/>
  <c r="F103" i="15"/>
  <c r="G109" i="15"/>
  <c r="C109" i="15"/>
  <c r="E109" i="15"/>
  <c r="H109" i="15"/>
  <c r="B109" i="15"/>
  <c r="F109" i="15"/>
  <c r="D109" i="15"/>
  <c r="B127" i="15"/>
  <c r="B123" i="15" a="1"/>
  <c r="B119" i="15" a="1"/>
  <c r="B115" i="15" a="1"/>
  <c r="C127" i="15"/>
  <c r="B125" i="15" a="1"/>
  <c r="B121" i="15" a="1"/>
  <c r="B117" i="15" a="1"/>
  <c r="G101" i="15"/>
  <c r="G100" i="15" s="1"/>
  <c r="C101" i="15"/>
  <c r="C100" i="15" s="1"/>
  <c r="E101" i="15"/>
  <c r="E100" i="15" s="1"/>
  <c r="H101" i="15"/>
  <c r="H100" i="15" s="1"/>
  <c r="B101" i="15"/>
  <c r="B100" i="15" s="1"/>
  <c r="F101" i="15"/>
  <c r="F100" i="15" s="1"/>
  <c r="D101" i="15"/>
  <c r="D100" i="15" s="1"/>
  <c r="C111" i="15"/>
  <c r="B111" i="15"/>
  <c r="D101" i="14"/>
  <c r="D100" i="14" s="1"/>
  <c r="C101" i="14"/>
  <c r="C100" i="14" s="1"/>
  <c r="C111" i="14"/>
  <c r="D103" i="14"/>
  <c r="G101" i="14"/>
  <c r="G100" i="14" s="1"/>
  <c r="B119" i="14" a="1"/>
  <c r="C119" i="14" s="1"/>
  <c r="F101" i="14"/>
  <c r="F100" i="14" s="1"/>
  <c r="E101" i="14"/>
  <c r="E100" i="14" s="1"/>
  <c r="C103" i="14"/>
  <c r="B101" i="14"/>
  <c r="B100" i="14" s="1"/>
  <c r="B115" i="14" a="1"/>
  <c r="F115" i="14" s="1"/>
  <c r="F114" i="14" s="1"/>
  <c r="C105" i="14"/>
  <c r="B123" i="14" a="1"/>
  <c r="G123" i="14" s="1"/>
  <c r="B105" i="14"/>
  <c r="G105" i="14"/>
  <c r="H105" i="14"/>
  <c r="H103" i="14"/>
  <c r="E103" i="14"/>
  <c r="G103" i="14"/>
  <c r="F103" i="14"/>
  <c r="C127" i="14"/>
  <c r="B121" i="14" a="1"/>
  <c r="E121" i="14" s="1"/>
  <c r="D105" i="14"/>
  <c r="F105" i="14"/>
  <c r="B125" i="14" a="1"/>
  <c r="B125" i="14" s="1"/>
  <c r="B127" i="14"/>
  <c r="C107" i="14"/>
  <c r="D107" i="14"/>
  <c r="B117" i="14" a="1"/>
  <c r="F117" i="14" s="1"/>
  <c r="G107" i="14"/>
  <c r="H107" i="14"/>
  <c r="H109" i="14"/>
  <c r="G109" i="14"/>
  <c r="B109" i="14"/>
  <c r="E107" i="14"/>
  <c r="D109" i="14"/>
  <c r="F109" i="14"/>
  <c r="F107" i="14"/>
  <c r="C109" i="14"/>
  <c r="C123" i="58" l="1"/>
  <c r="B123" i="58"/>
  <c r="G123" i="58"/>
  <c r="F123" i="58"/>
  <c r="D123" i="58"/>
  <c r="A123" i="58"/>
  <c r="E123" i="58"/>
  <c r="B125" i="58"/>
  <c r="A125" i="58"/>
  <c r="C115" i="58"/>
  <c r="C114" i="58" s="1"/>
  <c r="B115" i="58"/>
  <c r="B114" i="58" s="1"/>
  <c r="E115" i="58"/>
  <c r="E114" i="58" s="1"/>
  <c r="D115" i="58"/>
  <c r="D114" i="58" s="1"/>
  <c r="A115" i="58"/>
  <c r="A114" i="58" s="1"/>
  <c r="F115" i="58"/>
  <c r="F114" i="58" s="1"/>
  <c r="G115" i="58"/>
  <c r="G114" i="58" s="1"/>
  <c r="C117" i="58"/>
  <c r="B117" i="58"/>
  <c r="G117" i="58"/>
  <c r="F117" i="58"/>
  <c r="E117" i="58"/>
  <c r="A117" i="58"/>
  <c r="D117" i="58"/>
  <c r="C119" i="58"/>
  <c r="B119" i="58"/>
  <c r="A119" i="58"/>
  <c r="D119" i="58"/>
  <c r="G119" i="58"/>
  <c r="F119" i="58"/>
  <c r="E119" i="58"/>
  <c r="B141" i="58"/>
  <c r="A141" i="58"/>
  <c r="A133" i="58" a="1"/>
  <c r="A139" i="58" a="1"/>
  <c r="A129" i="58" a="1"/>
  <c r="A137" i="58" a="1"/>
  <c r="A135" i="58" a="1"/>
  <c r="A131" i="58" a="1"/>
  <c r="C121" i="58"/>
  <c r="B121" i="58"/>
  <c r="F121" i="58"/>
  <c r="E121" i="58"/>
  <c r="D121" i="58"/>
  <c r="A121" i="58"/>
  <c r="G121" i="58"/>
  <c r="E117" i="57"/>
  <c r="C117" i="57"/>
  <c r="B117" i="57"/>
  <c r="A117" i="57"/>
  <c r="F117" i="57"/>
  <c r="D117" i="57"/>
  <c r="G117" i="57"/>
  <c r="E121" i="57"/>
  <c r="C121" i="57"/>
  <c r="B121" i="57"/>
  <c r="A121" i="57"/>
  <c r="F121" i="57"/>
  <c r="D121" i="57"/>
  <c r="G121" i="57"/>
  <c r="E119" i="57"/>
  <c r="C119" i="57"/>
  <c r="B119" i="57"/>
  <c r="A119" i="57"/>
  <c r="G119" i="57"/>
  <c r="F119" i="57"/>
  <c r="D119" i="57"/>
  <c r="A139" i="57" a="1"/>
  <c r="A135" i="57" a="1"/>
  <c r="A131" i="57" a="1"/>
  <c r="A137" i="57" a="1"/>
  <c r="A133" i="57" a="1"/>
  <c r="A129" i="57" a="1"/>
  <c r="A141" i="57"/>
  <c r="B141" i="57"/>
  <c r="E123" i="57"/>
  <c r="C123" i="57"/>
  <c r="B123" i="57"/>
  <c r="A123" i="57"/>
  <c r="G123" i="57"/>
  <c r="D123" i="57"/>
  <c r="F123" i="57"/>
  <c r="B125" i="57"/>
  <c r="A125" i="57"/>
  <c r="E115" i="57"/>
  <c r="E114" i="57" s="1"/>
  <c r="C115" i="57"/>
  <c r="C114" i="57" s="1"/>
  <c r="B115" i="57"/>
  <c r="B114" i="57" s="1"/>
  <c r="A115" i="57"/>
  <c r="A114" i="57" s="1"/>
  <c r="G115" i="57"/>
  <c r="G114" i="57" s="1"/>
  <c r="F115" i="57"/>
  <c r="F114" i="57" s="1"/>
  <c r="D115" i="57"/>
  <c r="D114" i="57" s="1"/>
  <c r="E121" i="56"/>
  <c r="C121" i="56"/>
  <c r="B121" i="56"/>
  <c r="A121" i="56"/>
  <c r="D121" i="56"/>
  <c r="F121" i="56"/>
  <c r="G121" i="56"/>
  <c r="A141" i="56"/>
  <c r="A137" i="56" a="1"/>
  <c r="A133" i="56" a="1"/>
  <c r="A135" i="56" a="1"/>
  <c r="B141" i="56"/>
  <c r="A131" i="56" a="1"/>
  <c r="A139" i="56" a="1"/>
  <c r="A129" i="56" a="1"/>
  <c r="E119" i="56"/>
  <c r="C119" i="56"/>
  <c r="F119" i="56"/>
  <c r="G119" i="56"/>
  <c r="D119" i="56"/>
  <c r="B119" i="56"/>
  <c r="A119" i="56"/>
  <c r="E117" i="56"/>
  <c r="C117" i="56"/>
  <c r="G117" i="56"/>
  <c r="F117" i="56"/>
  <c r="B117" i="56"/>
  <c r="D117" i="56"/>
  <c r="A117" i="56"/>
  <c r="B125" i="56"/>
  <c r="A125" i="56"/>
  <c r="E123" i="56"/>
  <c r="C123" i="56"/>
  <c r="F123" i="56"/>
  <c r="D123" i="56"/>
  <c r="B123" i="56"/>
  <c r="A123" i="56"/>
  <c r="G123" i="56"/>
  <c r="E115" i="56"/>
  <c r="E114" i="56" s="1"/>
  <c r="C115" i="56"/>
  <c r="C114" i="56" s="1"/>
  <c r="F115" i="56"/>
  <c r="F114" i="56" s="1"/>
  <c r="D115" i="56"/>
  <c r="D114" i="56" s="1"/>
  <c r="B115" i="56"/>
  <c r="B114" i="56" s="1"/>
  <c r="A115" i="56"/>
  <c r="A114" i="56" s="1"/>
  <c r="G115" i="56"/>
  <c r="G114" i="56" s="1"/>
  <c r="F121" i="55"/>
  <c r="B121" i="55"/>
  <c r="E121" i="55"/>
  <c r="A121" i="55"/>
  <c r="C121" i="55"/>
  <c r="G121" i="55"/>
  <c r="D121" i="55"/>
  <c r="F115" i="55"/>
  <c r="F114" i="55" s="1"/>
  <c r="B115" i="55"/>
  <c r="B114" i="55" s="1"/>
  <c r="E115" i="55"/>
  <c r="E114" i="55" s="1"/>
  <c r="A115" i="55"/>
  <c r="A114" i="55" s="1"/>
  <c r="C115" i="55"/>
  <c r="C114" i="55" s="1"/>
  <c r="G115" i="55"/>
  <c r="G114" i="55" s="1"/>
  <c r="D115" i="55"/>
  <c r="D114" i="55" s="1"/>
  <c r="B125" i="55"/>
  <c r="A125" i="55"/>
  <c r="F119" i="55"/>
  <c r="B119" i="55"/>
  <c r="E119" i="55"/>
  <c r="A119" i="55"/>
  <c r="C119" i="55"/>
  <c r="G119" i="55"/>
  <c r="D119" i="55"/>
  <c r="A141" i="55"/>
  <c r="A137" i="55" a="1"/>
  <c r="A133" i="55" a="1"/>
  <c r="A129" i="55" a="1"/>
  <c r="B141" i="55"/>
  <c r="A135" i="55" a="1"/>
  <c r="A139" i="55" a="1"/>
  <c r="A131" i="55" a="1"/>
  <c r="F117" i="55"/>
  <c r="B117" i="55"/>
  <c r="E117" i="55"/>
  <c r="A117" i="55"/>
  <c r="C117" i="55"/>
  <c r="G117" i="55"/>
  <c r="D117" i="55"/>
  <c r="F123" i="55"/>
  <c r="B123" i="55"/>
  <c r="E123" i="55"/>
  <c r="A123" i="55"/>
  <c r="C123" i="55"/>
  <c r="G123" i="55"/>
  <c r="D123" i="55"/>
  <c r="F115" i="54"/>
  <c r="F114" i="54" s="1"/>
  <c r="B115" i="54"/>
  <c r="B114" i="54" s="1"/>
  <c r="E115" i="54"/>
  <c r="E114" i="54" s="1"/>
  <c r="A115" i="54"/>
  <c r="A114" i="54" s="1"/>
  <c r="G115" i="54"/>
  <c r="G114" i="54" s="1"/>
  <c r="D115" i="54"/>
  <c r="D114" i="54" s="1"/>
  <c r="C115" i="54"/>
  <c r="C114" i="54" s="1"/>
  <c r="F123" i="54"/>
  <c r="B123" i="54"/>
  <c r="E123" i="54"/>
  <c r="A123" i="54"/>
  <c r="G123" i="54"/>
  <c r="D123" i="54"/>
  <c r="C123" i="54"/>
  <c r="B141" i="54"/>
  <c r="A139" i="54" a="1"/>
  <c r="A137" i="54" a="1"/>
  <c r="A135" i="54" a="1"/>
  <c r="A133" i="54" a="1"/>
  <c r="A131" i="54" a="1"/>
  <c r="A141" i="54"/>
  <c r="A129" i="54" a="1"/>
  <c r="F117" i="54"/>
  <c r="B117" i="54"/>
  <c r="E117" i="54"/>
  <c r="A117" i="54"/>
  <c r="G117" i="54"/>
  <c r="D117" i="54"/>
  <c r="C117" i="54"/>
  <c r="B125" i="54"/>
  <c r="A125" i="54"/>
  <c r="F119" i="54"/>
  <c r="B119" i="54"/>
  <c r="E119" i="54"/>
  <c r="A119" i="54"/>
  <c r="C119" i="54"/>
  <c r="G119" i="54"/>
  <c r="D119" i="54"/>
  <c r="F121" i="54"/>
  <c r="B121" i="54"/>
  <c r="E121" i="54"/>
  <c r="A121" i="54"/>
  <c r="D121" i="54"/>
  <c r="C121" i="54"/>
  <c r="G121" i="54"/>
  <c r="F117" i="53"/>
  <c r="B117" i="53"/>
  <c r="E117" i="53"/>
  <c r="A117" i="53"/>
  <c r="G117" i="53"/>
  <c r="D117" i="53"/>
  <c r="C117" i="53"/>
  <c r="F121" i="53"/>
  <c r="B121" i="53"/>
  <c r="E121" i="53"/>
  <c r="A121" i="53"/>
  <c r="G121" i="53"/>
  <c r="D121" i="53"/>
  <c r="C121" i="53"/>
  <c r="B125" i="53"/>
  <c r="A125" i="53"/>
  <c r="A141" i="53"/>
  <c r="A139" i="53" a="1"/>
  <c r="A131" i="53" a="1"/>
  <c r="A133" i="53" a="1"/>
  <c r="A135" i="53" a="1"/>
  <c r="B141" i="53"/>
  <c r="A137" i="53" a="1"/>
  <c r="A129" i="53" a="1"/>
  <c r="F115" i="53"/>
  <c r="F114" i="53" s="1"/>
  <c r="B115" i="53"/>
  <c r="B114" i="53" s="1"/>
  <c r="E115" i="53"/>
  <c r="E114" i="53" s="1"/>
  <c r="A115" i="53"/>
  <c r="A114" i="53" s="1"/>
  <c r="G115" i="53"/>
  <c r="G114" i="53" s="1"/>
  <c r="D115" i="53"/>
  <c r="D114" i="53" s="1"/>
  <c r="C115" i="53"/>
  <c r="C114" i="53" s="1"/>
  <c r="F123" i="53"/>
  <c r="B123" i="53"/>
  <c r="E123" i="53"/>
  <c r="A123" i="53"/>
  <c r="G123" i="53"/>
  <c r="D123" i="53"/>
  <c r="C123" i="53"/>
  <c r="F119" i="53"/>
  <c r="B119" i="53"/>
  <c r="E119" i="53"/>
  <c r="A119" i="53"/>
  <c r="G119" i="53"/>
  <c r="C119" i="53"/>
  <c r="D119" i="53"/>
  <c r="F117" i="52"/>
  <c r="B117" i="52"/>
  <c r="E117" i="52"/>
  <c r="A117" i="52"/>
  <c r="C117" i="52"/>
  <c r="G117" i="52"/>
  <c r="D117" i="52"/>
  <c r="B125" i="52"/>
  <c r="A125" i="52"/>
  <c r="B141" i="52"/>
  <c r="A141" i="52"/>
  <c r="A139" i="52" a="1"/>
  <c r="A131" i="52" a="1"/>
  <c r="A137" i="52" a="1"/>
  <c r="A129" i="52" a="1"/>
  <c r="A135" i="52" a="1"/>
  <c r="A133" i="52" a="1"/>
  <c r="F119" i="52"/>
  <c r="B119" i="52"/>
  <c r="E119" i="52"/>
  <c r="A119" i="52"/>
  <c r="C119" i="52"/>
  <c r="G119" i="52"/>
  <c r="D119" i="52"/>
  <c r="F121" i="52"/>
  <c r="B121" i="52"/>
  <c r="E121" i="52"/>
  <c r="A121" i="52"/>
  <c r="C121" i="52"/>
  <c r="G121" i="52"/>
  <c r="D121" i="52"/>
  <c r="F115" i="52"/>
  <c r="F114" i="52" s="1"/>
  <c r="B115" i="52"/>
  <c r="B114" i="52" s="1"/>
  <c r="E115" i="52"/>
  <c r="E114" i="52" s="1"/>
  <c r="A115" i="52"/>
  <c r="A114" i="52" s="1"/>
  <c r="C115" i="52"/>
  <c r="C114" i="52" s="1"/>
  <c r="G115" i="52"/>
  <c r="G114" i="52" s="1"/>
  <c r="D115" i="52"/>
  <c r="D114" i="52" s="1"/>
  <c r="F123" i="52"/>
  <c r="B123" i="52"/>
  <c r="E123" i="52"/>
  <c r="A123" i="52"/>
  <c r="C123" i="52"/>
  <c r="G123" i="52"/>
  <c r="D123" i="52"/>
  <c r="C141" i="51"/>
  <c r="B139" i="51" a="1"/>
  <c r="B141" i="51"/>
  <c r="B135" i="51" a="1"/>
  <c r="B131" i="51" a="1"/>
  <c r="B137" i="51" a="1"/>
  <c r="B133" i="51" a="1"/>
  <c r="B129" i="51" a="1"/>
  <c r="G119" i="51"/>
  <c r="C119" i="51"/>
  <c r="F119" i="51"/>
  <c r="B119" i="51"/>
  <c r="D119" i="51"/>
  <c r="E119" i="51"/>
  <c r="H119" i="51"/>
  <c r="G121" i="51"/>
  <c r="C121" i="51"/>
  <c r="F121" i="51"/>
  <c r="B121" i="51"/>
  <c r="D121" i="51"/>
  <c r="E121" i="51"/>
  <c r="H121" i="51"/>
  <c r="G115" i="51"/>
  <c r="G114" i="51" s="1"/>
  <c r="C115" i="51"/>
  <c r="C114" i="51" s="1"/>
  <c r="F115" i="51"/>
  <c r="F114" i="51" s="1"/>
  <c r="B115" i="51"/>
  <c r="B114" i="51" s="1"/>
  <c r="D115" i="51"/>
  <c r="D114" i="51" s="1"/>
  <c r="E115" i="51"/>
  <c r="E114" i="51" s="1"/>
  <c r="H115" i="51"/>
  <c r="H114" i="51" s="1"/>
  <c r="G123" i="51"/>
  <c r="C123" i="51"/>
  <c r="F123" i="51"/>
  <c r="B123" i="51"/>
  <c r="D123" i="51"/>
  <c r="E123" i="51"/>
  <c r="H123" i="51"/>
  <c r="G117" i="51"/>
  <c r="C117" i="51"/>
  <c r="F117" i="51"/>
  <c r="B117" i="51"/>
  <c r="D117" i="51"/>
  <c r="E117" i="51"/>
  <c r="H117" i="51"/>
  <c r="C125" i="51"/>
  <c r="B125" i="51"/>
  <c r="F117" i="50"/>
  <c r="B117" i="50"/>
  <c r="E117" i="50"/>
  <c r="A117" i="50"/>
  <c r="G117" i="50"/>
  <c r="D117" i="50"/>
  <c r="C117" i="50"/>
  <c r="F115" i="50"/>
  <c r="F114" i="50" s="1"/>
  <c r="B115" i="50"/>
  <c r="B114" i="50" s="1"/>
  <c r="E115" i="50"/>
  <c r="E114" i="50" s="1"/>
  <c r="A115" i="50"/>
  <c r="A114" i="50" s="1"/>
  <c r="G115" i="50"/>
  <c r="G114" i="50" s="1"/>
  <c r="D115" i="50"/>
  <c r="D114" i="50" s="1"/>
  <c r="C115" i="50"/>
  <c r="C114" i="50" s="1"/>
  <c r="F121" i="50"/>
  <c r="B121" i="50"/>
  <c r="E121" i="50"/>
  <c r="A121" i="50"/>
  <c r="G121" i="50"/>
  <c r="D121" i="50"/>
  <c r="C121" i="50"/>
  <c r="F119" i="50"/>
  <c r="B119" i="50"/>
  <c r="E119" i="50"/>
  <c r="A119" i="50"/>
  <c r="G119" i="50"/>
  <c r="D119" i="50"/>
  <c r="C119" i="50"/>
  <c r="B125" i="50"/>
  <c r="A125" i="50"/>
  <c r="F123" i="50"/>
  <c r="B123" i="50"/>
  <c r="E123" i="50"/>
  <c r="A123" i="50"/>
  <c r="G123" i="50"/>
  <c r="D123" i="50"/>
  <c r="C123" i="50"/>
  <c r="A141" i="50"/>
  <c r="A139" i="50" a="1"/>
  <c r="A137" i="50" a="1"/>
  <c r="A135" i="50" a="1"/>
  <c r="A133" i="50" a="1"/>
  <c r="A131" i="50" a="1"/>
  <c r="A129" i="50" a="1"/>
  <c r="B141" i="50"/>
  <c r="B141" i="49"/>
  <c r="A139" i="49" a="1"/>
  <c r="A131" i="49" a="1"/>
  <c r="A133" i="49" a="1"/>
  <c r="A135" i="49" a="1"/>
  <c r="A137" i="49" a="1"/>
  <c r="A141" i="49"/>
  <c r="A129" i="49" a="1"/>
  <c r="E115" i="49"/>
  <c r="E114" i="49" s="1"/>
  <c r="A115" i="49"/>
  <c r="A114" i="49" s="1"/>
  <c r="C115" i="49"/>
  <c r="C114" i="49" s="1"/>
  <c r="F115" i="49"/>
  <c r="F114" i="49" s="1"/>
  <c r="G115" i="49"/>
  <c r="G114" i="49" s="1"/>
  <c r="D115" i="49"/>
  <c r="D114" i="49" s="1"/>
  <c r="B115" i="49"/>
  <c r="B114" i="49" s="1"/>
  <c r="E117" i="49"/>
  <c r="A117" i="49"/>
  <c r="F117" i="49"/>
  <c r="C117" i="49"/>
  <c r="G117" i="49"/>
  <c r="D117" i="49"/>
  <c r="B117" i="49"/>
  <c r="E119" i="49"/>
  <c r="A119" i="49"/>
  <c r="C119" i="49"/>
  <c r="F119" i="49"/>
  <c r="B119" i="49"/>
  <c r="G119" i="49"/>
  <c r="D119" i="49"/>
  <c r="E121" i="49"/>
  <c r="A121" i="49"/>
  <c r="F121" i="49"/>
  <c r="C121" i="49"/>
  <c r="D121" i="49"/>
  <c r="B121" i="49"/>
  <c r="G121" i="49"/>
  <c r="E123" i="49"/>
  <c r="A123" i="49"/>
  <c r="C123" i="49"/>
  <c r="F123" i="49"/>
  <c r="G123" i="49"/>
  <c r="D123" i="49"/>
  <c r="B123" i="49"/>
  <c r="A125" i="49"/>
  <c r="B125" i="49"/>
  <c r="G117" i="48"/>
  <c r="C117" i="48"/>
  <c r="H117" i="48"/>
  <c r="B117" i="48"/>
  <c r="E117" i="48"/>
  <c r="F117" i="48"/>
  <c r="D117" i="48"/>
  <c r="G121" i="48"/>
  <c r="C121" i="48"/>
  <c r="H121" i="48"/>
  <c r="B121" i="48"/>
  <c r="E121" i="48"/>
  <c r="D121" i="48"/>
  <c r="F121" i="48"/>
  <c r="G115" i="48"/>
  <c r="G114" i="48" s="1"/>
  <c r="C115" i="48"/>
  <c r="C114" i="48" s="1"/>
  <c r="E115" i="48"/>
  <c r="E114" i="48" s="1"/>
  <c r="H115" i="48"/>
  <c r="H114" i="48" s="1"/>
  <c r="B115" i="48"/>
  <c r="B114" i="48" s="1"/>
  <c r="D115" i="48"/>
  <c r="D114" i="48" s="1"/>
  <c r="F115" i="48"/>
  <c r="F114" i="48" s="1"/>
  <c r="G119" i="48"/>
  <c r="C119" i="48"/>
  <c r="E119" i="48"/>
  <c r="H119" i="48"/>
  <c r="B119" i="48"/>
  <c r="F119" i="48"/>
  <c r="D119" i="48"/>
  <c r="B141" i="48"/>
  <c r="B137" i="48" a="1"/>
  <c r="B133" i="48" a="1"/>
  <c r="B129" i="48" a="1"/>
  <c r="B139" i="48" a="1"/>
  <c r="B135" i="48" a="1"/>
  <c r="B131" i="48" a="1"/>
  <c r="C141" i="48"/>
  <c r="G123" i="48"/>
  <c r="C123" i="48"/>
  <c r="E123" i="48"/>
  <c r="H123" i="48"/>
  <c r="B123" i="48"/>
  <c r="F123" i="48"/>
  <c r="D123" i="48"/>
  <c r="C125" i="48"/>
  <c r="B125" i="48"/>
  <c r="C125" i="47"/>
  <c r="B125" i="47"/>
  <c r="G117" i="47"/>
  <c r="D117" i="47"/>
  <c r="H117" i="47"/>
  <c r="F117" i="47"/>
  <c r="E117" i="47"/>
  <c r="C117" i="47"/>
  <c r="B117" i="47"/>
  <c r="G115" i="47"/>
  <c r="G114" i="47" s="1"/>
  <c r="D115" i="47"/>
  <c r="D114" i="47" s="1"/>
  <c r="F115" i="47"/>
  <c r="F114" i="47" s="1"/>
  <c r="E115" i="47"/>
  <c r="E114" i="47" s="1"/>
  <c r="C115" i="47"/>
  <c r="C114" i="47" s="1"/>
  <c r="B115" i="47"/>
  <c r="B114" i="47" s="1"/>
  <c r="H115" i="47"/>
  <c r="H114" i="47" s="1"/>
  <c r="G123" i="47"/>
  <c r="D123" i="47"/>
  <c r="F123" i="47"/>
  <c r="E123" i="47"/>
  <c r="C123" i="47"/>
  <c r="B123" i="47"/>
  <c r="H123" i="47"/>
  <c r="G121" i="47"/>
  <c r="D121" i="47"/>
  <c r="C121" i="47"/>
  <c r="B121" i="47"/>
  <c r="H121" i="47"/>
  <c r="F121" i="47"/>
  <c r="E121" i="47"/>
  <c r="C141" i="47"/>
  <c r="B135" i="47" a="1"/>
  <c r="B131" i="47" a="1"/>
  <c r="B137" i="47" a="1"/>
  <c r="B133" i="47" a="1"/>
  <c r="B141" i="47"/>
  <c r="B139" i="47" a="1"/>
  <c r="B129" i="47" a="1"/>
  <c r="G119" i="47"/>
  <c r="D119" i="47"/>
  <c r="H119" i="47"/>
  <c r="F119" i="47"/>
  <c r="E119" i="47"/>
  <c r="C119" i="47"/>
  <c r="B119" i="47"/>
  <c r="F119" i="46"/>
  <c r="D119" i="46"/>
  <c r="C119" i="46"/>
  <c r="G119" i="46"/>
  <c r="B119" i="46"/>
  <c r="H119" i="46"/>
  <c r="E119" i="46"/>
  <c r="F123" i="46"/>
  <c r="D123" i="46"/>
  <c r="C123" i="46"/>
  <c r="H123" i="46"/>
  <c r="B123" i="46"/>
  <c r="G123" i="46"/>
  <c r="E123" i="46"/>
  <c r="B139" i="46" a="1"/>
  <c r="B137" i="46" a="1"/>
  <c r="B129" i="46" a="1"/>
  <c r="B135" i="46" a="1"/>
  <c r="B131" i="46" a="1"/>
  <c r="C141" i="46"/>
  <c r="B141" i="46"/>
  <c r="B133" i="46" a="1"/>
  <c r="F121" i="46"/>
  <c r="D121" i="46"/>
  <c r="C121" i="46"/>
  <c r="E121" i="46"/>
  <c r="B121" i="46"/>
  <c r="H121" i="46"/>
  <c r="G121" i="46"/>
  <c r="F115" i="46"/>
  <c r="F114" i="46" s="1"/>
  <c r="D115" i="46"/>
  <c r="D114" i="46" s="1"/>
  <c r="C115" i="46"/>
  <c r="C114" i="46" s="1"/>
  <c r="B115" i="46"/>
  <c r="B114" i="46" s="1"/>
  <c r="H115" i="46"/>
  <c r="H114" i="46" s="1"/>
  <c r="G115" i="46"/>
  <c r="G114" i="46" s="1"/>
  <c r="E115" i="46"/>
  <c r="E114" i="46" s="1"/>
  <c r="F117" i="46"/>
  <c r="D117" i="46"/>
  <c r="C117" i="46"/>
  <c r="H117" i="46"/>
  <c r="G117" i="46"/>
  <c r="E117" i="46"/>
  <c r="B117" i="46"/>
  <c r="C125" i="46"/>
  <c r="B125" i="46"/>
  <c r="B139" i="45" a="1"/>
  <c r="B137" i="45" a="1"/>
  <c r="B133" i="45" a="1"/>
  <c r="B129" i="45" a="1"/>
  <c r="C141" i="45"/>
  <c r="B141" i="45"/>
  <c r="B135" i="45" a="1"/>
  <c r="B131" i="45" a="1"/>
  <c r="G119" i="45"/>
  <c r="D119" i="45"/>
  <c r="C119" i="45"/>
  <c r="B119" i="45"/>
  <c r="E119" i="45"/>
  <c r="F119" i="45"/>
  <c r="H119" i="45"/>
  <c r="G123" i="45"/>
  <c r="D123" i="45"/>
  <c r="C123" i="45"/>
  <c r="B123" i="45"/>
  <c r="E123" i="45"/>
  <c r="F123" i="45"/>
  <c r="H123" i="45"/>
  <c r="G121" i="45"/>
  <c r="D121" i="45"/>
  <c r="C121" i="45"/>
  <c r="B121" i="45"/>
  <c r="H121" i="45"/>
  <c r="F121" i="45"/>
  <c r="E121" i="45"/>
  <c r="G117" i="45"/>
  <c r="D117" i="45"/>
  <c r="C117" i="45"/>
  <c r="B117" i="45"/>
  <c r="H117" i="45"/>
  <c r="F117" i="45"/>
  <c r="E117" i="45"/>
  <c r="C125" i="45"/>
  <c r="B125" i="45"/>
  <c r="G115" i="45"/>
  <c r="G114" i="45" s="1"/>
  <c r="D115" i="45"/>
  <c r="D114" i="45" s="1"/>
  <c r="C115" i="45"/>
  <c r="C114" i="45" s="1"/>
  <c r="B115" i="45"/>
  <c r="B114" i="45" s="1"/>
  <c r="E115" i="45"/>
  <c r="E114" i="45" s="1"/>
  <c r="F115" i="45"/>
  <c r="F114" i="45" s="1"/>
  <c r="H115" i="45"/>
  <c r="H114" i="45" s="1"/>
  <c r="G115" i="43"/>
  <c r="G114" i="43" s="1"/>
  <c r="F115" i="43"/>
  <c r="F114" i="43" s="1"/>
  <c r="D115" i="43"/>
  <c r="D114" i="43" s="1"/>
  <c r="C115" i="43"/>
  <c r="C114" i="43" s="1"/>
  <c r="H115" i="43"/>
  <c r="H114" i="43" s="1"/>
  <c r="E115" i="43"/>
  <c r="E114" i="43" s="1"/>
  <c r="B115" i="43"/>
  <c r="B114" i="43" s="1"/>
  <c r="G119" i="43"/>
  <c r="F119" i="43"/>
  <c r="D119" i="43"/>
  <c r="H119" i="43"/>
  <c r="E119" i="43"/>
  <c r="C119" i="43"/>
  <c r="B119" i="43"/>
  <c r="G123" i="43"/>
  <c r="F123" i="43"/>
  <c r="D123" i="43"/>
  <c r="E123" i="43"/>
  <c r="C123" i="43"/>
  <c r="B123" i="43"/>
  <c r="H123" i="43"/>
  <c r="B139" i="43" a="1"/>
  <c r="B131" i="43" a="1"/>
  <c r="B137" i="43" a="1"/>
  <c r="C141" i="43"/>
  <c r="B129" i="43" a="1"/>
  <c r="B141" i="43"/>
  <c r="B133" i="43" a="1"/>
  <c r="B135" i="43" a="1"/>
  <c r="G117" i="43"/>
  <c r="F117" i="43"/>
  <c r="D117" i="43"/>
  <c r="C117" i="43"/>
  <c r="B117" i="43"/>
  <c r="H117" i="43"/>
  <c r="E117" i="43"/>
  <c r="C125" i="43"/>
  <c r="B125" i="43"/>
  <c r="G121" i="43"/>
  <c r="F121" i="43"/>
  <c r="D121" i="43"/>
  <c r="E121" i="43"/>
  <c r="H121" i="43"/>
  <c r="C121" i="43"/>
  <c r="B121" i="43"/>
  <c r="C123" i="42"/>
  <c r="B123" i="42"/>
  <c r="H123" i="42"/>
  <c r="E123" i="42"/>
  <c r="D123" i="42"/>
  <c r="F123" i="42"/>
  <c r="G123" i="42"/>
  <c r="C117" i="42"/>
  <c r="B117" i="42"/>
  <c r="H117" i="42"/>
  <c r="D117" i="42"/>
  <c r="G117" i="42"/>
  <c r="F117" i="42"/>
  <c r="E117" i="42"/>
  <c r="B141" i="42"/>
  <c r="B131" i="42" a="1"/>
  <c r="C141" i="42"/>
  <c r="B137" i="42" a="1"/>
  <c r="B139" i="42" a="1"/>
  <c r="B133" i="42" a="1"/>
  <c r="B129" i="42" a="1"/>
  <c r="B135" i="42" a="1"/>
  <c r="C121" i="42"/>
  <c r="B121" i="42"/>
  <c r="H121" i="42"/>
  <c r="F121" i="42"/>
  <c r="E121" i="42"/>
  <c r="G121" i="42"/>
  <c r="D121" i="42"/>
  <c r="C115" i="42"/>
  <c r="C114" i="42" s="1"/>
  <c r="B115" i="42"/>
  <c r="B114" i="42" s="1"/>
  <c r="H115" i="42"/>
  <c r="H114" i="42" s="1"/>
  <c r="G115" i="42"/>
  <c r="G114" i="42" s="1"/>
  <c r="E115" i="42"/>
  <c r="E114" i="42" s="1"/>
  <c r="D115" i="42"/>
  <c r="D114" i="42" s="1"/>
  <c r="F115" i="42"/>
  <c r="F114" i="42" s="1"/>
  <c r="C125" i="42"/>
  <c r="B125" i="42"/>
  <c r="C119" i="42"/>
  <c r="B119" i="42"/>
  <c r="H119" i="42"/>
  <c r="G119" i="42"/>
  <c r="F119" i="42"/>
  <c r="E119" i="42"/>
  <c r="D119" i="42"/>
  <c r="G119" i="41"/>
  <c r="C119" i="41"/>
  <c r="F119" i="41"/>
  <c r="B119" i="41"/>
  <c r="H119" i="41"/>
  <c r="E119" i="41"/>
  <c r="D119" i="41"/>
  <c r="C141" i="41"/>
  <c r="B141" i="41"/>
  <c r="B139" i="41" a="1"/>
  <c r="B137" i="41" a="1"/>
  <c r="B135" i="41" a="1"/>
  <c r="B133" i="41" a="1"/>
  <c r="B131" i="41" a="1"/>
  <c r="B129" i="41" a="1"/>
  <c r="G121" i="41"/>
  <c r="C121" i="41"/>
  <c r="F121" i="41"/>
  <c r="B121" i="41"/>
  <c r="H121" i="41"/>
  <c r="E121" i="41"/>
  <c r="D121" i="41"/>
  <c r="G115" i="41"/>
  <c r="G114" i="41" s="1"/>
  <c r="C115" i="41"/>
  <c r="C114" i="41" s="1"/>
  <c r="F115" i="41"/>
  <c r="F114" i="41" s="1"/>
  <c r="B115" i="41"/>
  <c r="B114" i="41" s="1"/>
  <c r="H115" i="41"/>
  <c r="H114" i="41" s="1"/>
  <c r="E115" i="41"/>
  <c r="E114" i="41" s="1"/>
  <c r="D115" i="41"/>
  <c r="D114" i="41" s="1"/>
  <c r="G123" i="41"/>
  <c r="C123" i="41"/>
  <c r="F123" i="41"/>
  <c r="B123" i="41"/>
  <c r="H123" i="41"/>
  <c r="E123" i="41"/>
  <c r="D123" i="41"/>
  <c r="G117" i="41"/>
  <c r="C117" i="41"/>
  <c r="F117" i="41"/>
  <c r="B117" i="41"/>
  <c r="H117" i="41"/>
  <c r="E117" i="41"/>
  <c r="D117" i="41"/>
  <c r="C125" i="41"/>
  <c r="B125" i="41"/>
  <c r="G115" i="40"/>
  <c r="G114" i="40" s="1"/>
  <c r="C115" i="40"/>
  <c r="C114" i="40" s="1"/>
  <c r="F115" i="40"/>
  <c r="F114" i="40" s="1"/>
  <c r="B115" i="40"/>
  <c r="B114" i="40" s="1"/>
  <c r="D115" i="40"/>
  <c r="D114" i="40" s="1"/>
  <c r="H115" i="40"/>
  <c r="H114" i="40" s="1"/>
  <c r="E115" i="40"/>
  <c r="E114" i="40" s="1"/>
  <c r="G123" i="40"/>
  <c r="C123" i="40"/>
  <c r="F123" i="40"/>
  <c r="B123" i="40"/>
  <c r="H123" i="40"/>
  <c r="D123" i="40"/>
  <c r="E123" i="40"/>
  <c r="G117" i="40"/>
  <c r="C117" i="40"/>
  <c r="F117" i="40"/>
  <c r="B117" i="40"/>
  <c r="H117" i="40"/>
  <c r="D117" i="40"/>
  <c r="E117" i="40"/>
  <c r="C125" i="40"/>
  <c r="B125" i="40"/>
  <c r="C141" i="40"/>
  <c r="B141" i="40"/>
  <c r="B139" i="40" a="1"/>
  <c r="B137" i="40" a="1"/>
  <c r="B135" i="40" a="1"/>
  <c r="B133" i="40" a="1"/>
  <c r="B131" i="40" a="1"/>
  <c r="B129" i="40" a="1"/>
  <c r="G119" i="40"/>
  <c r="C119" i="40"/>
  <c r="F119" i="40"/>
  <c r="B119" i="40"/>
  <c r="D119" i="40"/>
  <c r="H119" i="40"/>
  <c r="E119" i="40"/>
  <c r="G121" i="40"/>
  <c r="C121" i="40"/>
  <c r="F121" i="40"/>
  <c r="B121" i="40"/>
  <c r="H121" i="40"/>
  <c r="D121" i="40"/>
  <c r="E121" i="40"/>
  <c r="G119" i="39"/>
  <c r="C119" i="39"/>
  <c r="D119" i="39"/>
  <c r="F119" i="39"/>
  <c r="H119" i="39"/>
  <c r="E119" i="39"/>
  <c r="B119" i="39"/>
  <c r="G117" i="39"/>
  <c r="C117" i="39"/>
  <c r="F117" i="39"/>
  <c r="D117" i="39"/>
  <c r="E117" i="39"/>
  <c r="B117" i="39"/>
  <c r="H117" i="39"/>
  <c r="G123" i="39"/>
  <c r="C123" i="39"/>
  <c r="D123" i="39"/>
  <c r="F123" i="39"/>
  <c r="B123" i="39"/>
  <c r="H123" i="39"/>
  <c r="E123" i="39"/>
  <c r="G121" i="39"/>
  <c r="C121" i="39"/>
  <c r="F121" i="39"/>
  <c r="D121" i="39"/>
  <c r="H121" i="39"/>
  <c r="E121" i="39"/>
  <c r="B121" i="39"/>
  <c r="C125" i="39"/>
  <c r="B125" i="39"/>
  <c r="C141" i="39"/>
  <c r="B139" i="39" a="1"/>
  <c r="B137" i="39" a="1"/>
  <c r="B141" i="39"/>
  <c r="B131" i="39" a="1"/>
  <c r="B133" i="39" a="1"/>
  <c r="B135" i="39" a="1"/>
  <c r="B129" i="39" a="1"/>
  <c r="G115" i="39"/>
  <c r="G114" i="39" s="1"/>
  <c r="C115" i="39"/>
  <c r="C114" i="39" s="1"/>
  <c r="D115" i="39"/>
  <c r="D114" i="39" s="1"/>
  <c r="F115" i="39"/>
  <c r="F114" i="39" s="1"/>
  <c r="B115" i="39"/>
  <c r="B114" i="39" s="1"/>
  <c r="H115" i="39"/>
  <c r="H114" i="39" s="1"/>
  <c r="E115" i="39"/>
  <c r="E114" i="39" s="1"/>
  <c r="G119" i="38"/>
  <c r="C119" i="38"/>
  <c r="F119" i="38"/>
  <c r="B119" i="38"/>
  <c r="H119" i="38"/>
  <c r="D119" i="38"/>
  <c r="E119" i="38"/>
  <c r="C125" i="38"/>
  <c r="B125" i="38"/>
  <c r="B141" i="38"/>
  <c r="B139" i="38" a="1"/>
  <c r="B135" i="38" a="1"/>
  <c r="B131" i="38" a="1"/>
  <c r="C141" i="38"/>
  <c r="B137" i="38" a="1"/>
  <c r="B133" i="38" a="1"/>
  <c r="B129" i="38" a="1"/>
  <c r="G115" i="38"/>
  <c r="G114" i="38" s="1"/>
  <c r="C115" i="38"/>
  <c r="C114" i="38" s="1"/>
  <c r="F115" i="38"/>
  <c r="F114" i="38" s="1"/>
  <c r="B115" i="38"/>
  <c r="B114" i="38" s="1"/>
  <c r="H115" i="38"/>
  <c r="H114" i="38" s="1"/>
  <c r="D115" i="38"/>
  <c r="D114" i="38" s="1"/>
  <c r="E115" i="38"/>
  <c r="E114" i="38" s="1"/>
  <c r="G123" i="38"/>
  <c r="C123" i="38"/>
  <c r="F123" i="38"/>
  <c r="B123" i="38"/>
  <c r="H123" i="38"/>
  <c r="D123" i="38"/>
  <c r="E123" i="38"/>
  <c r="G121" i="38"/>
  <c r="C121" i="38"/>
  <c r="F121" i="38"/>
  <c r="B121" i="38"/>
  <c r="H121" i="38"/>
  <c r="D121" i="38"/>
  <c r="E121" i="38"/>
  <c r="G117" i="38"/>
  <c r="C117" i="38"/>
  <c r="F117" i="38"/>
  <c r="B117" i="38"/>
  <c r="H117" i="38"/>
  <c r="D117" i="38"/>
  <c r="E117" i="38"/>
  <c r="G117" i="37"/>
  <c r="C117" i="37"/>
  <c r="F117" i="37"/>
  <c r="B117" i="37"/>
  <c r="D117" i="37"/>
  <c r="H117" i="37"/>
  <c r="E117" i="37"/>
  <c r="G115" i="37"/>
  <c r="G114" i="37" s="1"/>
  <c r="C115" i="37"/>
  <c r="C114" i="37" s="1"/>
  <c r="F115" i="37"/>
  <c r="F114" i="37" s="1"/>
  <c r="B115" i="37"/>
  <c r="B114" i="37" s="1"/>
  <c r="D115" i="37"/>
  <c r="D114" i="37" s="1"/>
  <c r="H115" i="37"/>
  <c r="H114" i="37" s="1"/>
  <c r="E115" i="37"/>
  <c r="E114" i="37" s="1"/>
  <c r="B141" i="37"/>
  <c r="C141" i="37"/>
  <c r="B139" i="37" a="1"/>
  <c r="B135" i="37" a="1"/>
  <c r="B131" i="37" a="1"/>
  <c r="B137" i="37" a="1"/>
  <c r="B133" i="37" a="1"/>
  <c r="B129" i="37" a="1"/>
  <c r="G121" i="37"/>
  <c r="C121" i="37"/>
  <c r="F121" i="37"/>
  <c r="B121" i="37"/>
  <c r="D121" i="37"/>
  <c r="H121" i="37"/>
  <c r="E121" i="37"/>
  <c r="G119" i="37"/>
  <c r="C119" i="37"/>
  <c r="F119" i="37"/>
  <c r="B119" i="37"/>
  <c r="D119" i="37"/>
  <c r="H119" i="37"/>
  <c r="E119" i="37"/>
  <c r="C125" i="37"/>
  <c r="B125" i="37"/>
  <c r="G123" i="37"/>
  <c r="C123" i="37"/>
  <c r="F123" i="37"/>
  <c r="B123" i="37"/>
  <c r="D123" i="37"/>
  <c r="H123" i="37"/>
  <c r="E123" i="37"/>
  <c r="G119" i="36"/>
  <c r="C119" i="36"/>
  <c r="E119" i="36"/>
  <c r="D119" i="36"/>
  <c r="H119" i="36"/>
  <c r="B119" i="36"/>
  <c r="F119" i="36"/>
  <c r="G115" i="36"/>
  <c r="G114" i="36" s="1"/>
  <c r="C115" i="36"/>
  <c r="C114" i="36" s="1"/>
  <c r="E115" i="36"/>
  <c r="E114" i="36" s="1"/>
  <c r="D115" i="36"/>
  <c r="D114" i="36" s="1"/>
  <c r="H115" i="36"/>
  <c r="H114" i="36" s="1"/>
  <c r="B115" i="36"/>
  <c r="B114" i="36" s="1"/>
  <c r="F115" i="36"/>
  <c r="F114" i="36" s="1"/>
  <c r="G121" i="36"/>
  <c r="C121" i="36"/>
  <c r="H121" i="36"/>
  <c r="B121" i="36"/>
  <c r="F121" i="36"/>
  <c r="E121" i="36"/>
  <c r="D121" i="36"/>
  <c r="C141" i="36"/>
  <c r="B139" i="36" a="1"/>
  <c r="B137" i="36" a="1"/>
  <c r="B133" i="36" a="1"/>
  <c r="B129" i="36" a="1"/>
  <c r="B141" i="36"/>
  <c r="B135" i="36" a="1"/>
  <c r="B131" i="36" a="1"/>
  <c r="G117" i="36"/>
  <c r="C117" i="36"/>
  <c r="H117" i="36"/>
  <c r="B117" i="36"/>
  <c r="F117" i="36"/>
  <c r="E117" i="36"/>
  <c r="D117" i="36"/>
  <c r="C125" i="36"/>
  <c r="B125" i="36"/>
  <c r="G123" i="36"/>
  <c r="C123" i="36"/>
  <c r="E123" i="36"/>
  <c r="D123" i="36"/>
  <c r="H123" i="36"/>
  <c r="B123" i="36"/>
  <c r="F123" i="36"/>
  <c r="G115" i="35"/>
  <c r="G114" i="35" s="1"/>
  <c r="C115" i="35"/>
  <c r="C114" i="35" s="1"/>
  <c r="E115" i="35"/>
  <c r="E114" i="35" s="1"/>
  <c r="D115" i="35"/>
  <c r="D114" i="35" s="1"/>
  <c r="H115" i="35"/>
  <c r="H114" i="35" s="1"/>
  <c r="B115" i="35"/>
  <c r="B114" i="35" s="1"/>
  <c r="F115" i="35"/>
  <c r="F114" i="35" s="1"/>
  <c r="G117" i="35"/>
  <c r="C117" i="35"/>
  <c r="H117" i="35"/>
  <c r="B117" i="35"/>
  <c r="F117" i="35"/>
  <c r="E117" i="35"/>
  <c r="D117" i="35"/>
  <c r="G121" i="35"/>
  <c r="C121" i="35"/>
  <c r="H121" i="35"/>
  <c r="B121" i="35"/>
  <c r="F121" i="35"/>
  <c r="E121" i="35"/>
  <c r="D121" i="35"/>
  <c r="G123" i="35"/>
  <c r="C123" i="35"/>
  <c r="E123" i="35"/>
  <c r="D123" i="35"/>
  <c r="H123" i="35"/>
  <c r="B123" i="35"/>
  <c r="F123" i="35"/>
  <c r="C125" i="35"/>
  <c r="B125" i="35"/>
  <c r="C141" i="35"/>
  <c r="B139" i="35" a="1"/>
  <c r="B137" i="35" a="1"/>
  <c r="B133" i="35" a="1"/>
  <c r="B129" i="35" a="1"/>
  <c r="B135" i="35" a="1"/>
  <c r="B131" i="35" a="1"/>
  <c r="B141" i="35"/>
  <c r="G119" i="35"/>
  <c r="C119" i="35"/>
  <c r="E119" i="35"/>
  <c r="D119" i="35"/>
  <c r="H119" i="35"/>
  <c r="B119" i="35"/>
  <c r="F119" i="35"/>
  <c r="G115" i="34"/>
  <c r="G114" i="34" s="1"/>
  <c r="C115" i="34"/>
  <c r="C114" i="34" s="1"/>
  <c r="F115" i="34"/>
  <c r="F114" i="34" s="1"/>
  <c r="B115" i="34"/>
  <c r="B114" i="34" s="1"/>
  <c r="H115" i="34"/>
  <c r="H114" i="34" s="1"/>
  <c r="E115" i="34"/>
  <c r="E114" i="34" s="1"/>
  <c r="D115" i="34"/>
  <c r="D114" i="34" s="1"/>
  <c r="G123" i="34"/>
  <c r="C123" i="34"/>
  <c r="F123" i="34"/>
  <c r="B123" i="34"/>
  <c r="H123" i="34"/>
  <c r="E123" i="34"/>
  <c r="D123" i="34"/>
  <c r="G117" i="34"/>
  <c r="C117" i="34"/>
  <c r="F117" i="34"/>
  <c r="B117" i="34"/>
  <c r="H117" i="34"/>
  <c r="E117" i="34"/>
  <c r="D117" i="34"/>
  <c r="C125" i="34"/>
  <c r="B125" i="34"/>
  <c r="C141" i="34"/>
  <c r="B141" i="34"/>
  <c r="B139" i="34" a="1"/>
  <c r="B137" i="34" a="1"/>
  <c r="B135" i="34" a="1"/>
  <c r="B133" i="34" a="1"/>
  <c r="B131" i="34" a="1"/>
  <c r="B129" i="34" a="1"/>
  <c r="G119" i="34"/>
  <c r="C119" i="34"/>
  <c r="F119" i="34"/>
  <c r="B119" i="34"/>
  <c r="H119" i="34"/>
  <c r="E119" i="34"/>
  <c r="D119" i="34"/>
  <c r="G121" i="34"/>
  <c r="C121" i="34"/>
  <c r="F121" i="34"/>
  <c r="B121" i="34"/>
  <c r="H121" i="34"/>
  <c r="E121" i="34"/>
  <c r="D121" i="34"/>
  <c r="G119" i="33"/>
  <c r="C119" i="33"/>
  <c r="F119" i="33"/>
  <c r="B119" i="33"/>
  <c r="H119" i="33"/>
  <c r="E119" i="33"/>
  <c r="D119" i="33"/>
  <c r="C141" i="33"/>
  <c r="B141" i="33"/>
  <c r="B139" i="33" a="1"/>
  <c r="B137" i="33" a="1"/>
  <c r="B135" i="33" a="1"/>
  <c r="B133" i="33" a="1"/>
  <c r="B131" i="33" a="1"/>
  <c r="B129" i="33" a="1"/>
  <c r="G121" i="33"/>
  <c r="C121" i="33"/>
  <c r="F121" i="33"/>
  <c r="B121" i="33"/>
  <c r="H121" i="33"/>
  <c r="E121" i="33"/>
  <c r="D121" i="33"/>
  <c r="G115" i="33"/>
  <c r="G114" i="33" s="1"/>
  <c r="C115" i="33"/>
  <c r="C114" i="33" s="1"/>
  <c r="F115" i="33"/>
  <c r="F114" i="33" s="1"/>
  <c r="B115" i="33"/>
  <c r="B114" i="33" s="1"/>
  <c r="H115" i="33"/>
  <c r="H114" i="33" s="1"/>
  <c r="E115" i="33"/>
  <c r="E114" i="33" s="1"/>
  <c r="D115" i="33"/>
  <c r="D114" i="33" s="1"/>
  <c r="G123" i="33"/>
  <c r="C123" i="33"/>
  <c r="F123" i="33"/>
  <c r="B123" i="33"/>
  <c r="H123" i="33"/>
  <c r="E123" i="33"/>
  <c r="D123" i="33"/>
  <c r="G117" i="33"/>
  <c r="C117" i="33"/>
  <c r="F117" i="33"/>
  <c r="B117" i="33"/>
  <c r="H117" i="33"/>
  <c r="E117" i="33"/>
  <c r="D117" i="33"/>
  <c r="C125" i="33"/>
  <c r="B125" i="33"/>
  <c r="G115" i="32"/>
  <c r="G114" i="32" s="1"/>
  <c r="C115" i="32"/>
  <c r="C114" i="32" s="1"/>
  <c r="E115" i="32"/>
  <c r="E114" i="32" s="1"/>
  <c r="D115" i="32"/>
  <c r="D114" i="32" s="1"/>
  <c r="H115" i="32"/>
  <c r="H114" i="32" s="1"/>
  <c r="B115" i="32"/>
  <c r="B114" i="32" s="1"/>
  <c r="F115" i="32"/>
  <c r="F114" i="32" s="1"/>
  <c r="G121" i="32"/>
  <c r="C121" i="32"/>
  <c r="H121" i="32"/>
  <c r="B121" i="32"/>
  <c r="F121" i="32"/>
  <c r="E121" i="32"/>
  <c r="D121" i="32"/>
  <c r="C125" i="32"/>
  <c r="B125" i="32"/>
  <c r="C141" i="32"/>
  <c r="B139" i="32" a="1"/>
  <c r="B137" i="32" a="1"/>
  <c r="B135" i="32" a="1"/>
  <c r="B133" i="32" a="1"/>
  <c r="B129" i="32" a="1"/>
  <c r="B131" i="32" a="1"/>
  <c r="B141" i="32"/>
  <c r="G123" i="32"/>
  <c r="C123" i="32"/>
  <c r="E123" i="32"/>
  <c r="D123" i="32"/>
  <c r="H123" i="32"/>
  <c r="B123" i="32"/>
  <c r="F123" i="32"/>
  <c r="G119" i="32"/>
  <c r="C119" i="32"/>
  <c r="E119" i="32"/>
  <c r="D119" i="32"/>
  <c r="H119" i="32"/>
  <c r="B119" i="32"/>
  <c r="F119" i="32"/>
  <c r="G117" i="32"/>
  <c r="C117" i="32"/>
  <c r="H117" i="32"/>
  <c r="B117" i="32"/>
  <c r="F117" i="32"/>
  <c r="E117" i="32"/>
  <c r="D117" i="32"/>
  <c r="G121" i="31"/>
  <c r="C121" i="31"/>
  <c r="H121" i="31"/>
  <c r="B121" i="31"/>
  <c r="E121" i="31"/>
  <c r="F121" i="31"/>
  <c r="D121" i="31"/>
  <c r="G115" i="31"/>
  <c r="G114" i="31" s="1"/>
  <c r="C115" i="31"/>
  <c r="C114" i="31" s="1"/>
  <c r="E115" i="31"/>
  <c r="E114" i="31" s="1"/>
  <c r="H115" i="31"/>
  <c r="H114" i="31" s="1"/>
  <c r="B115" i="31"/>
  <c r="B114" i="31" s="1"/>
  <c r="F115" i="31"/>
  <c r="F114" i="31" s="1"/>
  <c r="D115" i="31"/>
  <c r="D114" i="31" s="1"/>
  <c r="G119" i="31"/>
  <c r="C119" i="31"/>
  <c r="E119" i="31"/>
  <c r="H119" i="31"/>
  <c r="B119" i="31"/>
  <c r="D119" i="31"/>
  <c r="F119" i="31"/>
  <c r="G123" i="31"/>
  <c r="C123" i="31"/>
  <c r="E123" i="31"/>
  <c r="H123" i="31"/>
  <c r="B123" i="31"/>
  <c r="F123" i="31"/>
  <c r="D123" i="31"/>
  <c r="G117" i="31"/>
  <c r="C117" i="31"/>
  <c r="H117" i="31"/>
  <c r="B117" i="31"/>
  <c r="E117" i="31"/>
  <c r="F117" i="31"/>
  <c r="D117" i="31"/>
  <c r="C141" i="31"/>
  <c r="B139" i="31" a="1"/>
  <c r="B137" i="31" a="1"/>
  <c r="B135" i="31" a="1"/>
  <c r="B133" i="31" a="1"/>
  <c r="B129" i="31" a="1"/>
  <c r="B131" i="31" a="1"/>
  <c r="B141" i="31"/>
  <c r="C125" i="31"/>
  <c r="B125" i="31"/>
  <c r="G119" i="30"/>
  <c r="C119" i="30"/>
  <c r="F119" i="30"/>
  <c r="B119" i="30"/>
  <c r="H119" i="30"/>
  <c r="E119" i="30"/>
  <c r="D119" i="30"/>
  <c r="G121" i="30"/>
  <c r="C121" i="30"/>
  <c r="F121" i="30"/>
  <c r="B121" i="30"/>
  <c r="H121" i="30"/>
  <c r="E121" i="30"/>
  <c r="D121" i="30"/>
  <c r="C141" i="30"/>
  <c r="B139" i="30" a="1"/>
  <c r="B137" i="30" a="1"/>
  <c r="B135" i="30" a="1"/>
  <c r="B141" i="30"/>
  <c r="B133" i="30" a="1"/>
  <c r="B131" i="30" a="1"/>
  <c r="B129" i="30" a="1"/>
  <c r="G117" i="30"/>
  <c r="C117" i="30"/>
  <c r="F117" i="30"/>
  <c r="B117" i="30"/>
  <c r="H117" i="30"/>
  <c r="E117" i="30"/>
  <c r="D117" i="30"/>
  <c r="G115" i="30"/>
  <c r="G114" i="30" s="1"/>
  <c r="C115" i="30"/>
  <c r="C114" i="30" s="1"/>
  <c r="F115" i="30"/>
  <c r="F114" i="30" s="1"/>
  <c r="B115" i="30"/>
  <c r="B114" i="30" s="1"/>
  <c r="H115" i="30"/>
  <c r="H114" i="30" s="1"/>
  <c r="E115" i="30"/>
  <c r="E114" i="30" s="1"/>
  <c r="D115" i="30"/>
  <c r="D114" i="30" s="1"/>
  <c r="C125" i="30"/>
  <c r="B125" i="30"/>
  <c r="G123" i="30"/>
  <c r="C123" i="30"/>
  <c r="F123" i="30"/>
  <c r="B123" i="30"/>
  <c r="H123" i="30"/>
  <c r="E123" i="30"/>
  <c r="D123" i="30"/>
  <c r="C141" i="29"/>
  <c r="B141" i="29"/>
  <c r="B139" i="29" a="1"/>
  <c r="B137" i="29" a="1"/>
  <c r="B135" i="29" a="1"/>
  <c r="B133" i="29" a="1"/>
  <c r="B131" i="29" a="1"/>
  <c r="B129" i="29" a="1"/>
  <c r="G119" i="29"/>
  <c r="C119" i="29"/>
  <c r="F119" i="29"/>
  <c r="B119" i="29"/>
  <c r="H119" i="29"/>
  <c r="E119" i="29"/>
  <c r="D119" i="29"/>
  <c r="G121" i="29"/>
  <c r="C121" i="29"/>
  <c r="F121" i="29"/>
  <c r="B121" i="29"/>
  <c r="H121" i="29"/>
  <c r="E121" i="29"/>
  <c r="D121" i="29"/>
  <c r="G115" i="29"/>
  <c r="G114" i="29" s="1"/>
  <c r="C115" i="29"/>
  <c r="C114" i="29" s="1"/>
  <c r="F115" i="29"/>
  <c r="F114" i="29" s="1"/>
  <c r="B115" i="29"/>
  <c r="B114" i="29" s="1"/>
  <c r="H115" i="29"/>
  <c r="H114" i="29" s="1"/>
  <c r="E115" i="29"/>
  <c r="E114" i="29" s="1"/>
  <c r="D115" i="29"/>
  <c r="D114" i="29" s="1"/>
  <c r="G123" i="29"/>
  <c r="C123" i="29"/>
  <c r="F123" i="29"/>
  <c r="B123" i="29"/>
  <c r="H123" i="29"/>
  <c r="E123" i="29"/>
  <c r="D123" i="29"/>
  <c r="G117" i="29"/>
  <c r="C117" i="29"/>
  <c r="F117" i="29"/>
  <c r="B117" i="29"/>
  <c r="H117" i="29"/>
  <c r="E117" i="29"/>
  <c r="D117" i="29"/>
  <c r="C125" i="29"/>
  <c r="B125" i="29"/>
  <c r="G119" i="28"/>
  <c r="C119" i="28"/>
  <c r="F119" i="28"/>
  <c r="B119" i="28"/>
  <c r="D119" i="28"/>
  <c r="H119" i="28"/>
  <c r="E119" i="28"/>
  <c r="G121" i="28"/>
  <c r="C121" i="28"/>
  <c r="F121" i="28"/>
  <c r="B121" i="28"/>
  <c r="D121" i="28"/>
  <c r="H121" i="28"/>
  <c r="E121" i="28"/>
  <c r="G115" i="28"/>
  <c r="G114" i="28" s="1"/>
  <c r="C115" i="28"/>
  <c r="C114" i="28" s="1"/>
  <c r="F115" i="28"/>
  <c r="F114" i="28" s="1"/>
  <c r="B115" i="28"/>
  <c r="B114" i="28" s="1"/>
  <c r="D115" i="28"/>
  <c r="D114" i="28" s="1"/>
  <c r="H115" i="28"/>
  <c r="H114" i="28" s="1"/>
  <c r="E115" i="28"/>
  <c r="E114" i="28" s="1"/>
  <c r="G123" i="28"/>
  <c r="C123" i="28"/>
  <c r="F123" i="28"/>
  <c r="B123" i="28"/>
  <c r="D123" i="28"/>
  <c r="H123" i="28"/>
  <c r="E123" i="28"/>
  <c r="B139" i="28" a="1"/>
  <c r="B137" i="28" a="1"/>
  <c r="B135" i="28" a="1"/>
  <c r="B133" i="28" a="1"/>
  <c r="B131" i="28" a="1"/>
  <c r="B129" i="28" a="1"/>
  <c r="C141" i="28"/>
  <c r="B141" i="28"/>
  <c r="G117" i="28"/>
  <c r="C117" i="28"/>
  <c r="F117" i="28"/>
  <c r="B117" i="28"/>
  <c r="D117" i="28"/>
  <c r="H117" i="28"/>
  <c r="E117" i="28"/>
  <c r="C125" i="28"/>
  <c r="B125" i="28"/>
  <c r="B139" i="27" a="1"/>
  <c r="B137" i="27" a="1"/>
  <c r="B135" i="27" a="1"/>
  <c r="B133" i="27" a="1"/>
  <c r="B131" i="27" a="1"/>
  <c r="B129" i="27" a="1"/>
  <c r="C141" i="27"/>
  <c r="B141" i="27"/>
  <c r="G115" i="27"/>
  <c r="G114" i="27" s="1"/>
  <c r="C115" i="27"/>
  <c r="C114" i="27" s="1"/>
  <c r="F115" i="27"/>
  <c r="F114" i="27" s="1"/>
  <c r="B115" i="27"/>
  <c r="B114" i="27" s="1"/>
  <c r="D115" i="27"/>
  <c r="D114" i="27" s="1"/>
  <c r="E115" i="27"/>
  <c r="E114" i="27" s="1"/>
  <c r="H115" i="27"/>
  <c r="H114" i="27" s="1"/>
  <c r="G123" i="27"/>
  <c r="C123" i="27"/>
  <c r="F123" i="27"/>
  <c r="B123" i="27"/>
  <c r="D123" i="27"/>
  <c r="E123" i="27"/>
  <c r="H123" i="27"/>
  <c r="G117" i="27"/>
  <c r="C117" i="27"/>
  <c r="F117" i="27"/>
  <c r="B117" i="27"/>
  <c r="D117" i="27"/>
  <c r="H117" i="27"/>
  <c r="E117" i="27"/>
  <c r="C125" i="27"/>
  <c r="B125" i="27"/>
  <c r="G121" i="27"/>
  <c r="C121" i="27"/>
  <c r="F121" i="27"/>
  <c r="B121" i="27"/>
  <c r="D121" i="27"/>
  <c r="H121" i="27"/>
  <c r="E121" i="27"/>
  <c r="G119" i="27"/>
  <c r="C119" i="27"/>
  <c r="F119" i="27"/>
  <c r="B119" i="27"/>
  <c r="D119" i="27"/>
  <c r="E119" i="27"/>
  <c r="H119" i="27"/>
  <c r="G117" i="26"/>
  <c r="C117" i="26"/>
  <c r="D117" i="26"/>
  <c r="H117" i="26"/>
  <c r="B117" i="26"/>
  <c r="F117" i="26"/>
  <c r="E117" i="26"/>
  <c r="G119" i="26"/>
  <c r="C119" i="26"/>
  <c r="F119" i="26"/>
  <c r="E119" i="26"/>
  <c r="D119" i="26"/>
  <c r="B119" i="26"/>
  <c r="H119" i="26"/>
  <c r="G115" i="26"/>
  <c r="G114" i="26" s="1"/>
  <c r="C115" i="26"/>
  <c r="C114" i="26" s="1"/>
  <c r="F115" i="26"/>
  <c r="F114" i="26" s="1"/>
  <c r="E115" i="26"/>
  <c r="E114" i="26" s="1"/>
  <c r="D115" i="26"/>
  <c r="D114" i="26" s="1"/>
  <c r="H115" i="26"/>
  <c r="H114" i="26" s="1"/>
  <c r="B115" i="26"/>
  <c r="B114" i="26" s="1"/>
  <c r="C141" i="26"/>
  <c r="B141" i="26"/>
  <c r="B133" i="26" a="1"/>
  <c r="B139" i="26" a="1"/>
  <c r="B131" i="26" a="1"/>
  <c r="B137" i="26" a="1"/>
  <c r="B129" i="26" a="1"/>
  <c r="B135" i="26" a="1"/>
  <c r="G121" i="26"/>
  <c r="C121" i="26"/>
  <c r="D121" i="26"/>
  <c r="H121" i="26"/>
  <c r="B121" i="26"/>
  <c r="F121" i="26"/>
  <c r="E121" i="26"/>
  <c r="G123" i="26"/>
  <c r="C123" i="26"/>
  <c r="F123" i="26"/>
  <c r="E123" i="26"/>
  <c r="D123" i="26"/>
  <c r="H123" i="26"/>
  <c r="B123" i="26"/>
  <c r="C125" i="26"/>
  <c r="B125" i="26"/>
  <c r="G117" i="25"/>
  <c r="C117" i="25"/>
  <c r="F117" i="25"/>
  <c r="B117" i="25"/>
  <c r="D117" i="25"/>
  <c r="H117" i="25"/>
  <c r="E117" i="25"/>
  <c r="G115" i="25"/>
  <c r="G114" i="25" s="1"/>
  <c r="C115" i="25"/>
  <c r="C114" i="25" s="1"/>
  <c r="F115" i="25"/>
  <c r="F114" i="25" s="1"/>
  <c r="B115" i="25"/>
  <c r="B114" i="25" s="1"/>
  <c r="D115" i="25"/>
  <c r="D114" i="25" s="1"/>
  <c r="H115" i="25"/>
  <c r="H114" i="25" s="1"/>
  <c r="E115" i="25"/>
  <c r="E114" i="25" s="1"/>
  <c r="G121" i="25"/>
  <c r="C121" i="25"/>
  <c r="F121" i="25"/>
  <c r="B121" i="25"/>
  <c r="D121" i="25"/>
  <c r="H121" i="25"/>
  <c r="E121" i="25"/>
  <c r="G119" i="25"/>
  <c r="C119" i="25"/>
  <c r="F119" i="25"/>
  <c r="B119" i="25"/>
  <c r="D119" i="25"/>
  <c r="H119" i="25"/>
  <c r="E119" i="25"/>
  <c r="C125" i="25"/>
  <c r="B125" i="25"/>
  <c r="G123" i="25"/>
  <c r="C123" i="25"/>
  <c r="F123" i="25"/>
  <c r="B123" i="25"/>
  <c r="D123" i="25"/>
  <c r="H123" i="25"/>
  <c r="E123" i="25"/>
  <c r="B141" i="25"/>
  <c r="C141" i="25"/>
  <c r="B139" i="25" a="1"/>
  <c r="B135" i="25" a="1"/>
  <c r="B131" i="25" a="1"/>
  <c r="B137" i="25" a="1"/>
  <c r="B133" i="25" a="1"/>
  <c r="B129" i="25" a="1"/>
  <c r="C141" i="24"/>
  <c r="B139" i="24" a="1"/>
  <c r="B141" i="24"/>
  <c r="B137" i="24" a="1"/>
  <c r="B135" i="24" a="1"/>
  <c r="B131" i="24" a="1"/>
  <c r="B133" i="24" a="1"/>
  <c r="B129" i="24" a="1"/>
  <c r="G117" i="24"/>
  <c r="C117" i="24"/>
  <c r="F117" i="24"/>
  <c r="B117" i="24"/>
  <c r="H117" i="24"/>
  <c r="D117" i="24"/>
  <c r="E117" i="24"/>
  <c r="G123" i="24"/>
  <c r="C123" i="24"/>
  <c r="F123" i="24"/>
  <c r="B123" i="24"/>
  <c r="H123" i="24"/>
  <c r="D123" i="24"/>
  <c r="E123" i="24"/>
  <c r="G115" i="24"/>
  <c r="G114" i="24" s="1"/>
  <c r="C115" i="24"/>
  <c r="C114" i="24" s="1"/>
  <c r="F115" i="24"/>
  <c r="F114" i="24" s="1"/>
  <c r="B115" i="24"/>
  <c r="B114" i="24" s="1"/>
  <c r="H115" i="24"/>
  <c r="H114" i="24" s="1"/>
  <c r="D115" i="24"/>
  <c r="D114" i="24" s="1"/>
  <c r="E115" i="24"/>
  <c r="E114" i="24" s="1"/>
  <c r="G121" i="24"/>
  <c r="C121" i="24"/>
  <c r="F121" i="24"/>
  <c r="B121" i="24"/>
  <c r="H121" i="24"/>
  <c r="D121" i="24"/>
  <c r="E121" i="24"/>
  <c r="G119" i="24"/>
  <c r="C119" i="24"/>
  <c r="F119" i="24"/>
  <c r="B119" i="24"/>
  <c r="H119" i="24"/>
  <c r="D119" i="24"/>
  <c r="E119" i="24"/>
  <c r="C125" i="24"/>
  <c r="B125" i="24"/>
  <c r="G115" i="23"/>
  <c r="G114" i="23" s="1"/>
  <c r="C115" i="23"/>
  <c r="C114" i="23" s="1"/>
  <c r="F115" i="23"/>
  <c r="F114" i="23" s="1"/>
  <c r="D115" i="23"/>
  <c r="D114" i="23" s="1"/>
  <c r="E115" i="23"/>
  <c r="E114" i="23" s="1"/>
  <c r="B115" i="23"/>
  <c r="B114" i="23" s="1"/>
  <c r="H115" i="23"/>
  <c r="H114" i="23" s="1"/>
  <c r="B141" i="23"/>
  <c r="C141" i="23"/>
  <c r="B135" i="23" a="1"/>
  <c r="B133" i="23" a="1"/>
  <c r="B139" i="23" a="1"/>
  <c r="B131" i="23" a="1"/>
  <c r="B137" i="23" a="1"/>
  <c r="B129" i="23" a="1"/>
  <c r="G117" i="23"/>
  <c r="C117" i="23"/>
  <c r="D117" i="23"/>
  <c r="F117" i="23"/>
  <c r="H117" i="23"/>
  <c r="E117" i="23"/>
  <c r="B117" i="23"/>
  <c r="G119" i="23"/>
  <c r="C119" i="23"/>
  <c r="F119" i="23"/>
  <c r="D119" i="23"/>
  <c r="H119" i="23"/>
  <c r="E119" i="23"/>
  <c r="B119" i="23"/>
  <c r="G121" i="23"/>
  <c r="C121" i="23"/>
  <c r="D121" i="23"/>
  <c r="F121" i="23"/>
  <c r="B121" i="23"/>
  <c r="E121" i="23"/>
  <c r="H121" i="23"/>
  <c r="G123" i="23"/>
  <c r="C123" i="23"/>
  <c r="F123" i="23"/>
  <c r="D123" i="23"/>
  <c r="E123" i="23"/>
  <c r="B123" i="23"/>
  <c r="H123" i="23"/>
  <c r="C125" i="23"/>
  <c r="B125" i="23"/>
  <c r="G115" i="22"/>
  <c r="G114" i="22" s="1"/>
  <c r="C115" i="22"/>
  <c r="C114" i="22" s="1"/>
  <c r="F115" i="22"/>
  <c r="F114" i="22" s="1"/>
  <c r="E115" i="22"/>
  <c r="E114" i="22" s="1"/>
  <c r="D115" i="22"/>
  <c r="D114" i="22" s="1"/>
  <c r="B115" i="22"/>
  <c r="B114" i="22" s="1"/>
  <c r="H115" i="22"/>
  <c r="H114" i="22" s="1"/>
  <c r="G123" i="22"/>
  <c r="C123" i="22"/>
  <c r="F123" i="22"/>
  <c r="B123" i="22"/>
  <c r="E123" i="22"/>
  <c r="D123" i="22"/>
  <c r="H123" i="22"/>
  <c r="G121" i="22"/>
  <c r="C121" i="22"/>
  <c r="F121" i="22"/>
  <c r="B121" i="22"/>
  <c r="E121" i="22"/>
  <c r="D121" i="22"/>
  <c r="H121" i="22"/>
  <c r="B139" i="22" a="1"/>
  <c r="B137" i="22" a="1"/>
  <c r="B135" i="22" a="1"/>
  <c r="B133" i="22" a="1"/>
  <c r="B131" i="22" a="1"/>
  <c r="B129" i="22" a="1"/>
  <c r="C141" i="22"/>
  <c r="B141" i="22"/>
  <c r="G117" i="22"/>
  <c r="C117" i="22"/>
  <c r="F117" i="22"/>
  <c r="B117" i="22"/>
  <c r="E117" i="22"/>
  <c r="D117" i="22"/>
  <c r="H117" i="22"/>
  <c r="C125" i="22"/>
  <c r="B125" i="22"/>
  <c r="G119" i="22"/>
  <c r="C119" i="22"/>
  <c r="F119" i="22"/>
  <c r="B119" i="22"/>
  <c r="E119" i="22"/>
  <c r="D119" i="22"/>
  <c r="H119" i="22"/>
  <c r="G117" i="21"/>
  <c r="C117" i="21"/>
  <c r="F117" i="21"/>
  <c r="B117" i="21"/>
  <c r="D117" i="21"/>
  <c r="H117" i="21"/>
  <c r="E117" i="21"/>
  <c r="C125" i="21"/>
  <c r="B125" i="21"/>
  <c r="G119" i="21"/>
  <c r="C119" i="21"/>
  <c r="F119" i="21"/>
  <c r="B119" i="21"/>
  <c r="D119" i="21"/>
  <c r="H119" i="21"/>
  <c r="E119" i="21"/>
  <c r="G121" i="21"/>
  <c r="C121" i="21"/>
  <c r="F121" i="21"/>
  <c r="B121" i="21"/>
  <c r="D121" i="21"/>
  <c r="H121" i="21"/>
  <c r="E121" i="21"/>
  <c r="C141" i="21"/>
  <c r="B139" i="21" a="1"/>
  <c r="B137" i="21" a="1"/>
  <c r="B135" i="21" a="1"/>
  <c r="B133" i="21" a="1"/>
  <c r="B131" i="21" a="1"/>
  <c r="B129" i="21" a="1"/>
  <c r="B141" i="21"/>
  <c r="G115" i="21"/>
  <c r="G114" i="21" s="1"/>
  <c r="C115" i="21"/>
  <c r="C114" i="21" s="1"/>
  <c r="F115" i="21"/>
  <c r="F114" i="21" s="1"/>
  <c r="B115" i="21"/>
  <c r="B114" i="21" s="1"/>
  <c r="D115" i="21"/>
  <c r="D114" i="21" s="1"/>
  <c r="H115" i="21"/>
  <c r="H114" i="21" s="1"/>
  <c r="E115" i="21"/>
  <c r="E114" i="21" s="1"/>
  <c r="G123" i="21"/>
  <c r="C123" i="21"/>
  <c r="F123" i="21"/>
  <c r="B123" i="21"/>
  <c r="D123" i="21"/>
  <c r="H123" i="21"/>
  <c r="E123" i="21"/>
  <c r="G121" i="20"/>
  <c r="C121" i="20"/>
  <c r="F121" i="20"/>
  <c r="B121" i="20"/>
  <c r="D121" i="20"/>
  <c r="H121" i="20"/>
  <c r="E121" i="20"/>
  <c r="C141" i="20"/>
  <c r="B141" i="20"/>
  <c r="B139" i="20" a="1"/>
  <c r="B135" i="20" a="1"/>
  <c r="B131" i="20" a="1"/>
  <c r="B133" i="20" a="1"/>
  <c r="B137" i="20" a="1"/>
  <c r="B129" i="20" a="1"/>
  <c r="G119" i="20"/>
  <c r="C119" i="20"/>
  <c r="F119" i="20"/>
  <c r="B119" i="20"/>
  <c r="D119" i="20"/>
  <c r="E119" i="20"/>
  <c r="H119" i="20"/>
  <c r="G115" i="20"/>
  <c r="G114" i="20" s="1"/>
  <c r="C115" i="20"/>
  <c r="C114" i="20" s="1"/>
  <c r="F115" i="20"/>
  <c r="F114" i="20" s="1"/>
  <c r="B115" i="20"/>
  <c r="B114" i="20" s="1"/>
  <c r="D115" i="20"/>
  <c r="D114" i="20" s="1"/>
  <c r="E115" i="20"/>
  <c r="E114" i="20" s="1"/>
  <c r="H115" i="20"/>
  <c r="H114" i="20" s="1"/>
  <c r="G123" i="20"/>
  <c r="C123" i="20"/>
  <c r="F123" i="20"/>
  <c r="B123" i="20"/>
  <c r="D123" i="20"/>
  <c r="E123" i="20"/>
  <c r="H123" i="20"/>
  <c r="G117" i="20"/>
  <c r="C117" i="20"/>
  <c r="F117" i="20"/>
  <c r="B117" i="20"/>
  <c r="D117" i="20"/>
  <c r="H117" i="20"/>
  <c r="E117" i="20"/>
  <c r="C125" i="20"/>
  <c r="B125" i="20"/>
  <c r="C141" i="19"/>
  <c r="B141" i="19"/>
  <c r="B139" i="19" a="1"/>
  <c r="B137" i="19" a="1"/>
  <c r="B135" i="19" a="1"/>
  <c r="B133" i="19" a="1"/>
  <c r="B131" i="19" a="1"/>
  <c r="B129" i="19" a="1"/>
  <c r="G117" i="19"/>
  <c r="C117" i="19"/>
  <c r="F117" i="19"/>
  <c r="B117" i="19"/>
  <c r="H117" i="19"/>
  <c r="E117" i="19"/>
  <c r="D117" i="19"/>
  <c r="C125" i="19"/>
  <c r="B125" i="19"/>
  <c r="G123" i="19"/>
  <c r="C123" i="19"/>
  <c r="F123" i="19"/>
  <c r="B123" i="19"/>
  <c r="H123" i="19"/>
  <c r="E123" i="19"/>
  <c r="D123" i="19"/>
  <c r="G119" i="19"/>
  <c r="C119" i="19"/>
  <c r="F119" i="19"/>
  <c r="B119" i="19"/>
  <c r="H119" i="19"/>
  <c r="E119" i="19"/>
  <c r="D119" i="19"/>
  <c r="G115" i="19"/>
  <c r="G114" i="19" s="1"/>
  <c r="C115" i="19"/>
  <c r="C114" i="19" s="1"/>
  <c r="F115" i="19"/>
  <c r="F114" i="19" s="1"/>
  <c r="B115" i="19"/>
  <c r="B114" i="19" s="1"/>
  <c r="H115" i="19"/>
  <c r="H114" i="19" s="1"/>
  <c r="E115" i="19"/>
  <c r="E114" i="19" s="1"/>
  <c r="D115" i="19"/>
  <c r="D114" i="19" s="1"/>
  <c r="G121" i="19"/>
  <c r="C121" i="19"/>
  <c r="F121" i="19"/>
  <c r="B121" i="19"/>
  <c r="H121" i="19"/>
  <c r="E121" i="19"/>
  <c r="D121" i="19"/>
  <c r="G115" i="18"/>
  <c r="G114" i="18" s="1"/>
  <c r="C115" i="18"/>
  <c r="C114" i="18" s="1"/>
  <c r="F115" i="18"/>
  <c r="F114" i="18" s="1"/>
  <c r="B115" i="18"/>
  <c r="B114" i="18" s="1"/>
  <c r="H115" i="18"/>
  <c r="H114" i="18" s="1"/>
  <c r="E115" i="18"/>
  <c r="E114" i="18" s="1"/>
  <c r="D115" i="18"/>
  <c r="D114" i="18" s="1"/>
  <c r="G123" i="18"/>
  <c r="C123" i="18"/>
  <c r="F123" i="18"/>
  <c r="B123" i="18"/>
  <c r="H123" i="18"/>
  <c r="E123" i="18"/>
  <c r="D123" i="18"/>
  <c r="G117" i="18"/>
  <c r="C117" i="18"/>
  <c r="F117" i="18"/>
  <c r="B117" i="18"/>
  <c r="H117" i="18"/>
  <c r="E117" i="18"/>
  <c r="D117" i="18"/>
  <c r="C125" i="18"/>
  <c r="B125" i="18"/>
  <c r="C141" i="18"/>
  <c r="B141" i="18"/>
  <c r="B139" i="18" a="1"/>
  <c r="B137" i="18" a="1"/>
  <c r="B135" i="18" a="1"/>
  <c r="B133" i="18" a="1"/>
  <c r="B131" i="18" a="1"/>
  <c r="B129" i="18" a="1"/>
  <c r="G119" i="18"/>
  <c r="C119" i="18"/>
  <c r="F119" i="18"/>
  <c r="B119" i="18"/>
  <c r="H119" i="18"/>
  <c r="E119" i="18"/>
  <c r="D119" i="18"/>
  <c r="G121" i="18"/>
  <c r="C121" i="18"/>
  <c r="F121" i="18"/>
  <c r="B121" i="18"/>
  <c r="H121" i="18"/>
  <c r="E121" i="18"/>
  <c r="D121" i="18"/>
  <c r="C125" i="17"/>
  <c r="B125" i="17"/>
  <c r="G119" i="17"/>
  <c r="C119" i="17"/>
  <c r="F119" i="17"/>
  <c r="B119" i="17"/>
  <c r="D119" i="17"/>
  <c r="E119" i="17"/>
  <c r="H119" i="17"/>
  <c r="G115" i="17"/>
  <c r="G114" i="17" s="1"/>
  <c r="C115" i="17"/>
  <c r="C114" i="17" s="1"/>
  <c r="F115" i="17"/>
  <c r="F114" i="17" s="1"/>
  <c r="B115" i="17"/>
  <c r="B114" i="17" s="1"/>
  <c r="D115" i="17"/>
  <c r="D114" i="17" s="1"/>
  <c r="H115" i="17"/>
  <c r="H114" i="17" s="1"/>
  <c r="E115" i="17"/>
  <c r="E114" i="17" s="1"/>
  <c r="G121" i="17"/>
  <c r="C121" i="17"/>
  <c r="F121" i="17"/>
  <c r="B121" i="17"/>
  <c r="D121" i="17"/>
  <c r="H121" i="17"/>
  <c r="E121" i="17"/>
  <c r="C141" i="17"/>
  <c r="B137" i="17" a="1"/>
  <c r="B133" i="17" a="1"/>
  <c r="B129" i="17" a="1"/>
  <c r="B141" i="17"/>
  <c r="B139" i="17" a="1"/>
  <c r="B131" i="17" a="1"/>
  <c r="B135" i="17" a="1"/>
  <c r="G117" i="17"/>
  <c r="C117" i="17"/>
  <c r="F117" i="17"/>
  <c r="B117" i="17"/>
  <c r="D117" i="17"/>
  <c r="H117" i="17"/>
  <c r="E117" i="17"/>
  <c r="G123" i="17"/>
  <c r="C123" i="17"/>
  <c r="F123" i="17"/>
  <c r="B123" i="17"/>
  <c r="D123" i="17"/>
  <c r="E123" i="17"/>
  <c r="H123" i="17"/>
  <c r="G121" i="16"/>
  <c r="C121" i="16"/>
  <c r="F121" i="16"/>
  <c r="B121" i="16"/>
  <c r="D121" i="16"/>
  <c r="H121" i="16"/>
  <c r="E121" i="16"/>
  <c r="G115" i="16"/>
  <c r="G114" i="16" s="1"/>
  <c r="C115" i="16"/>
  <c r="C114" i="16" s="1"/>
  <c r="F115" i="16"/>
  <c r="F114" i="16" s="1"/>
  <c r="B115" i="16"/>
  <c r="B114" i="16" s="1"/>
  <c r="D115" i="16"/>
  <c r="D114" i="16" s="1"/>
  <c r="H115" i="16"/>
  <c r="H114" i="16" s="1"/>
  <c r="E115" i="16"/>
  <c r="E114" i="16" s="1"/>
  <c r="G123" i="16"/>
  <c r="C123" i="16"/>
  <c r="F123" i="16"/>
  <c r="B123" i="16"/>
  <c r="D123" i="16"/>
  <c r="H123" i="16"/>
  <c r="E123" i="16"/>
  <c r="C141" i="16"/>
  <c r="B141" i="16"/>
  <c r="B139" i="16" a="1"/>
  <c r="B135" i="16" a="1"/>
  <c r="B131" i="16" a="1"/>
  <c r="B137" i="16" a="1"/>
  <c r="B133" i="16" a="1"/>
  <c r="B129" i="16" a="1"/>
  <c r="G119" i="16"/>
  <c r="C119" i="16"/>
  <c r="F119" i="16"/>
  <c r="B119" i="16"/>
  <c r="D119" i="16"/>
  <c r="H119" i="16"/>
  <c r="E119" i="16"/>
  <c r="G117" i="16"/>
  <c r="C117" i="16"/>
  <c r="F117" i="16"/>
  <c r="B117" i="16"/>
  <c r="D117" i="16"/>
  <c r="H117" i="16"/>
  <c r="E117" i="16"/>
  <c r="C125" i="16"/>
  <c r="B125" i="16"/>
  <c r="G121" i="15"/>
  <c r="C121" i="15"/>
  <c r="F121" i="15"/>
  <c r="B121" i="15"/>
  <c r="D121" i="15"/>
  <c r="H121" i="15"/>
  <c r="E121" i="15"/>
  <c r="G119" i="15"/>
  <c r="C119" i="15"/>
  <c r="F119" i="15"/>
  <c r="B119" i="15"/>
  <c r="D119" i="15"/>
  <c r="H119" i="15"/>
  <c r="E119" i="15"/>
  <c r="G115" i="15"/>
  <c r="G114" i="15" s="1"/>
  <c r="C115" i="15"/>
  <c r="C114" i="15" s="1"/>
  <c r="F115" i="15"/>
  <c r="F114" i="15" s="1"/>
  <c r="B115" i="15"/>
  <c r="B114" i="15" s="1"/>
  <c r="D115" i="15"/>
  <c r="D114" i="15" s="1"/>
  <c r="H115" i="15"/>
  <c r="H114" i="15" s="1"/>
  <c r="E115" i="15"/>
  <c r="E114" i="15" s="1"/>
  <c r="C125" i="15"/>
  <c r="B125" i="15"/>
  <c r="G123" i="15"/>
  <c r="C123" i="15"/>
  <c r="F123" i="15"/>
  <c r="B123" i="15"/>
  <c r="D123" i="15"/>
  <c r="H123" i="15"/>
  <c r="E123" i="15"/>
  <c r="G117" i="15"/>
  <c r="C117" i="15"/>
  <c r="F117" i="15"/>
  <c r="B117" i="15"/>
  <c r="D117" i="15"/>
  <c r="H117" i="15"/>
  <c r="E117" i="15"/>
  <c r="B141" i="15"/>
  <c r="C141" i="15"/>
  <c r="B135" i="15" a="1"/>
  <c r="B131" i="15" a="1"/>
  <c r="B133" i="15" a="1"/>
  <c r="B139" i="15" a="1"/>
  <c r="B137" i="15" a="1"/>
  <c r="B129" i="15" a="1"/>
  <c r="H119" i="14"/>
  <c r="E119" i="14"/>
  <c r="D119" i="14"/>
  <c r="G119" i="14"/>
  <c r="B119" i="14"/>
  <c r="F119" i="14"/>
  <c r="H115" i="14"/>
  <c r="H114" i="14" s="1"/>
  <c r="B133" i="14" a="1"/>
  <c r="D133" i="14" s="1"/>
  <c r="H123" i="14"/>
  <c r="C123" i="14"/>
  <c r="C115" i="14"/>
  <c r="C114" i="14" s="1"/>
  <c r="B121" i="14"/>
  <c r="E115" i="14"/>
  <c r="E114" i="14" s="1"/>
  <c r="B115" i="14"/>
  <c r="B114" i="14" s="1"/>
  <c r="D123" i="14"/>
  <c r="B129" i="14" a="1"/>
  <c r="F129" i="14" s="1"/>
  <c r="F128" i="14" s="1"/>
  <c r="B137" i="14" a="1"/>
  <c r="F137" i="14" s="1"/>
  <c r="B139" i="14" a="1"/>
  <c r="B139" i="14" s="1"/>
  <c r="B123" i="14"/>
  <c r="E123" i="14"/>
  <c r="D115" i="14"/>
  <c r="D114" i="14" s="1"/>
  <c r="G115" i="14"/>
  <c r="G114" i="14" s="1"/>
  <c r="H117" i="14"/>
  <c r="B135" i="14" a="1"/>
  <c r="C135" i="14" s="1"/>
  <c r="E117" i="14"/>
  <c r="B141" i="14"/>
  <c r="G121" i="14"/>
  <c r="D121" i="14"/>
  <c r="C141" i="14"/>
  <c r="H121" i="14"/>
  <c r="F123" i="14"/>
  <c r="F121" i="14"/>
  <c r="C125" i="14"/>
  <c r="B131" i="14" a="1"/>
  <c r="G131" i="14" s="1"/>
  <c r="D117" i="14"/>
  <c r="C121" i="14"/>
  <c r="G117" i="14"/>
  <c r="C117" i="14"/>
  <c r="B117" i="14"/>
  <c r="G131" i="58" l="1"/>
  <c r="F131" i="58"/>
  <c r="D131" i="58"/>
  <c r="E131" i="58"/>
  <c r="C131" i="58"/>
  <c r="A131" i="58"/>
  <c r="B131" i="58"/>
  <c r="G135" i="58"/>
  <c r="F135" i="58"/>
  <c r="D135" i="58"/>
  <c r="E135" i="58"/>
  <c r="C135" i="58"/>
  <c r="B135" i="58"/>
  <c r="A135" i="58"/>
  <c r="G137" i="58"/>
  <c r="F137" i="58"/>
  <c r="E137" i="58"/>
  <c r="D137" i="58"/>
  <c r="B137" i="58"/>
  <c r="A137" i="58"/>
  <c r="C137" i="58"/>
  <c r="G129" i="58"/>
  <c r="G128" i="58" s="1"/>
  <c r="F129" i="58"/>
  <c r="F128" i="58" s="1"/>
  <c r="D129" i="58"/>
  <c r="D128" i="58" s="1"/>
  <c r="C129" i="58"/>
  <c r="C128" i="58" s="1"/>
  <c r="B129" i="58"/>
  <c r="B128" i="58" s="1"/>
  <c r="A129" i="58"/>
  <c r="A128" i="58" s="1"/>
  <c r="E129" i="58"/>
  <c r="E128" i="58" s="1"/>
  <c r="B139" i="58"/>
  <c r="A139" i="58"/>
  <c r="A155" i="58"/>
  <c r="A153" i="58" a="1"/>
  <c r="A151" i="58" a="1"/>
  <c r="A149" i="58" a="1"/>
  <c r="A147" i="58" a="1"/>
  <c r="A145" i="58" a="1"/>
  <c r="A143" i="58" a="1"/>
  <c r="B155" i="58"/>
  <c r="G133" i="58"/>
  <c r="F133" i="58"/>
  <c r="D133" i="58"/>
  <c r="A133" i="58"/>
  <c r="E133" i="58"/>
  <c r="C133" i="58"/>
  <c r="B133" i="58"/>
  <c r="A135" i="57"/>
  <c r="G135" i="57"/>
  <c r="F135" i="57"/>
  <c r="E135" i="57"/>
  <c r="B135" i="57"/>
  <c r="D135" i="57"/>
  <c r="C135" i="57"/>
  <c r="A131" i="57"/>
  <c r="G131" i="57"/>
  <c r="F131" i="57"/>
  <c r="E131" i="57"/>
  <c r="B131" i="57"/>
  <c r="D131" i="57"/>
  <c r="C131" i="57"/>
  <c r="A139" i="57"/>
  <c r="B139" i="57"/>
  <c r="A155" i="57"/>
  <c r="B155" i="57"/>
  <c r="A149" i="57" a="1"/>
  <c r="A145" i="57" a="1"/>
  <c r="A147" i="57" a="1"/>
  <c r="A151" i="57" a="1"/>
  <c r="A153" i="57" a="1"/>
  <c r="A143" i="57" a="1"/>
  <c r="A129" i="57"/>
  <c r="A128" i="57" s="1"/>
  <c r="G129" i="57"/>
  <c r="G128" i="57" s="1"/>
  <c r="F129" i="57"/>
  <c r="F128" i="57" s="1"/>
  <c r="E129" i="57"/>
  <c r="E128" i="57" s="1"/>
  <c r="C129" i="57"/>
  <c r="C128" i="57" s="1"/>
  <c r="B129" i="57"/>
  <c r="B128" i="57" s="1"/>
  <c r="D129" i="57"/>
  <c r="D128" i="57" s="1"/>
  <c r="A133" i="57"/>
  <c r="G133" i="57"/>
  <c r="F133" i="57"/>
  <c r="E133" i="57"/>
  <c r="C133" i="57"/>
  <c r="B133" i="57"/>
  <c r="D133" i="57"/>
  <c r="A137" i="57"/>
  <c r="G137" i="57"/>
  <c r="F137" i="57"/>
  <c r="E137" i="57"/>
  <c r="C137" i="57"/>
  <c r="B137" i="57"/>
  <c r="D137" i="57"/>
  <c r="A129" i="56"/>
  <c r="A128" i="56" s="1"/>
  <c r="G129" i="56"/>
  <c r="G128" i="56" s="1"/>
  <c r="F129" i="56"/>
  <c r="F128" i="56" s="1"/>
  <c r="E129" i="56"/>
  <c r="E128" i="56" s="1"/>
  <c r="D129" i="56"/>
  <c r="D128" i="56" s="1"/>
  <c r="C129" i="56"/>
  <c r="C128" i="56" s="1"/>
  <c r="B129" i="56"/>
  <c r="B128" i="56" s="1"/>
  <c r="A139" i="56"/>
  <c r="B139" i="56"/>
  <c r="A131" i="56"/>
  <c r="G131" i="56"/>
  <c r="F131" i="56"/>
  <c r="D131" i="56"/>
  <c r="E131" i="56"/>
  <c r="C131" i="56"/>
  <c r="B131" i="56"/>
  <c r="A155" i="56"/>
  <c r="A145" i="56" a="1"/>
  <c r="A153" i="56" a="1"/>
  <c r="A147" i="56" a="1"/>
  <c r="A149" i="56" a="1"/>
  <c r="A151" i="56" a="1"/>
  <c r="A143" i="56" a="1"/>
  <c r="B155" i="56"/>
  <c r="A135" i="56"/>
  <c r="G135" i="56"/>
  <c r="D135" i="56"/>
  <c r="C135" i="56"/>
  <c r="B135" i="56"/>
  <c r="E135" i="56"/>
  <c r="F135" i="56"/>
  <c r="A133" i="56"/>
  <c r="G133" i="56"/>
  <c r="B133" i="56"/>
  <c r="F133" i="56"/>
  <c r="E133" i="56"/>
  <c r="D133" i="56"/>
  <c r="C133" i="56"/>
  <c r="A137" i="56"/>
  <c r="G137" i="56"/>
  <c r="F137" i="56"/>
  <c r="E137" i="56"/>
  <c r="D137" i="56"/>
  <c r="B137" i="56"/>
  <c r="C137" i="56"/>
  <c r="F131" i="55"/>
  <c r="B131" i="55"/>
  <c r="E131" i="55"/>
  <c r="A131" i="55"/>
  <c r="G131" i="55"/>
  <c r="C131" i="55"/>
  <c r="D131" i="55"/>
  <c r="F129" i="55"/>
  <c r="F128" i="55" s="1"/>
  <c r="B129" i="55"/>
  <c r="B128" i="55" s="1"/>
  <c r="E129" i="55"/>
  <c r="E128" i="55" s="1"/>
  <c r="A129" i="55"/>
  <c r="A128" i="55" s="1"/>
  <c r="G129" i="55"/>
  <c r="G128" i="55" s="1"/>
  <c r="C129" i="55"/>
  <c r="C128" i="55" s="1"/>
  <c r="D129" i="55"/>
  <c r="D128" i="55" s="1"/>
  <c r="A155" i="55"/>
  <c r="A153" i="55" a="1"/>
  <c r="A151" i="55" a="1"/>
  <c r="A149" i="55" a="1"/>
  <c r="A147" i="55" a="1"/>
  <c r="B155" i="55"/>
  <c r="A145" i="55" a="1"/>
  <c r="A143" i="55" a="1"/>
  <c r="B139" i="55"/>
  <c r="A139" i="55"/>
  <c r="F133" i="55"/>
  <c r="B133" i="55"/>
  <c r="E133" i="55"/>
  <c r="A133" i="55"/>
  <c r="G133" i="55"/>
  <c r="C133" i="55"/>
  <c r="D133" i="55"/>
  <c r="F135" i="55"/>
  <c r="B135" i="55"/>
  <c r="E135" i="55"/>
  <c r="A135" i="55"/>
  <c r="G135" i="55"/>
  <c r="C135" i="55"/>
  <c r="D135" i="55"/>
  <c r="F137" i="55"/>
  <c r="B137" i="55"/>
  <c r="E137" i="55"/>
  <c r="A137" i="55"/>
  <c r="G137" i="55"/>
  <c r="C137" i="55"/>
  <c r="D137" i="55"/>
  <c r="B155" i="54"/>
  <c r="A153" i="54" a="1"/>
  <c r="A151" i="54" a="1"/>
  <c r="A149" i="54" a="1"/>
  <c r="A147" i="54" a="1"/>
  <c r="A145" i="54" a="1"/>
  <c r="A143" i="54" a="1"/>
  <c r="A155" i="54"/>
  <c r="F131" i="54"/>
  <c r="B131" i="54"/>
  <c r="E131" i="54"/>
  <c r="A131" i="54"/>
  <c r="D131" i="54"/>
  <c r="G131" i="54"/>
  <c r="C131" i="54"/>
  <c r="B139" i="54"/>
  <c r="A139" i="54"/>
  <c r="F133" i="54"/>
  <c r="B133" i="54"/>
  <c r="E133" i="54"/>
  <c r="A133" i="54"/>
  <c r="D133" i="54"/>
  <c r="G133" i="54"/>
  <c r="C133" i="54"/>
  <c r="F129" i="54"/>
  <c r="F128" i="54" s="1"/>
  <c r="B129" i="54"/>
  <c r="B128" i="54" s="1"/>
  <c r="E129" i="54"/>
  <c r="E128" i="54" s="1"/>
  <c r="A129" i="54"/>
  <c r="A128" i="54" s="1"/>
  <c r="D129" i="54"/>
  <c r="D128" i="54" s="1"/>
  <c r="G129" i="54"/>
  <c r="G128" i="54" s="1"/>
  <c r="C129" i="54"/>
  <c r="C128" i="54" s="1"/>
  <c r="F135" i="54"/>
  <c r="B135" i="54"/>
  <c r="E135" i="54"/>
  <c r="A135" i="54"/>
  <c r="D135" i="54"/>
  <c r="G135" i="54"/>
  <c r="C135" i="54"/>
  <c r="F137" i="54"/>
  <c r="B137" i="54"/>
  <c r="E137" i="54"/>
  <c r="A137" i="54"/>
  <c r="D137" i="54"/>
  <c r="G137" i="54"/>
  <c r="C137" i="54"/>
  <c r="A155" i="53"/>
  <c r="A151" i="53" a="1"/>
  <c r="A143" i="53" a="1"/>
  <c r="A153" i="53" a="1"/>
  <c r="A145" i="53" a="1"/>
  <c r="A147" i="53" a="1"/>
  <c r="B155" i="53"/>
  <c r="A149" i="53" a="1"/>
  <c r="F129" i="53"/>
  <c r="F128" i="53" s="1"/>
  <c r="B129" i="53"/>
  <c r="B128" i="53" s="1"/>
  <c r="E129" i="53"/>
  <c r="E128" i="53" s="1"/>
  <c r="A129" i="53"/>
  <c r="A128" i="53" s="1"/>
  <c r="C129" i="53"/>
  <c r="C128" i="53" s="1"/>
  <c r="G129" i="53"/>
  <c r="G128" i="53" s="1"/>
  <c r="D129" i="53"/>
  <c r="D128" i="53" s="1"/>
  <c r="F133" i="53"/>
  <c r="B133" i="53"/>
  <c r="E133" i="53"/>
  <c r="A133" i="53"/>
  <c r="C133" i="53"/>
  <c r="D133" i="53"/>
  <c r="G133" i="53"/>
  <c r="F137" i="53"/>
  <c r="B137" i="53"/>
  <c r="E137" i="53"/>
  <c r="A137" i="53"/>
  <c r="C137" i="53"/>
  <c r="G137" i="53"/>
  <c r="D137" i="53"/>
  <c r="F131" i="53"/>
  <c r="B131" i="53"/>
  <c r="E131" i="53"/>
  <c r="A131" i="53"/>
  <c r="C131" i="53"/>
  <c r="G131" i="53"/>
  <c r="D131" i="53"/>
  <c r="B139" i="53"/>
  <c r="A139" i="53"/>
  <c r="F135" i="53"/>
  <c r="B135" i="53"/>
  <c r="E135" i="53"/>
  <c r="A135" i="53"/>
  <c r="C135" i="53"/>
  <c r="G135" i="53"/>
  <c r="D135" i="53"/>
  <c r="F135" i="52"/>
  <c r="B135" i="52"/>
  <c r="E135" i="52"/>
  <c r="A135" i="52"/>
  <c r="G135" i="52"/>
  <c r="D135" i="52"/>
  <c r="C135" i="52"/>
  <c r="B139" i="52"/>
  <c r="A139" i="52"/>
  <c r="A155" i="52"/>
  <c r="A153" i="52" a="1"/>
  <c r="A151" i="52" a="1"/>
  <c r="A149" i="52" a="1"/>
  <c r="A147" i="52" a="1"/>
  <c r="A145" i="52" a="1"/>
  <c r="A143" i="52" a="1"/>
  <c r="B155" i="52"/>
  <c r="F129" i="52"/>
  <c r="F128" i="52" s="1"/>
  <c r="B129" i="52"/>
  <c r="B128" i="52" s="1"/>
  <c r="E129" i="52"/>
  <c r="E128" i="52" s="1"/>
  <c r="A129" i="52"/>
  <c r="A128" i="52" s="1"/>
  <c r="G129" i="52"/>
  <c r="G128" i="52" s="1"/>
  <c r="D129" i="52"/>
  <c r="D128" i="52" s="1"/>
  <c r="C129" i="52"/>
  <c r="C128" i="52" s="1"/>
  <c r="F137" i="52"/>
  <c r="B137" i="52"/>
  <c r="E137" i="52"/>
  <c r="A137" i="52"/>
  <c r="G137" i="52"/>
  <c r="D137" i="52"/>
  <c r="C137" i="52"/>
  <c r="F133" i="52"/>
  <c r="B133" i="52"/>
  <c r="E133" i="52"/>
  <c r="A133" i="52"/>
  <c r="G133" i="52"/>
  <c r="D133" i="52"/>
  <c r="C133" i="52"/>
  <c r="F131" i="52"/>
  <c r="B131" i="52"/>
  <c r="E131" i="52"/>
  <c r="A131" i="52"/>
  <c r="G131" i="52"/>
  <c r="D131" i="52"/>
  <c r="C131" i="52"/>
  <c r="G129" i="51"/>
  <c r="G128" i="51" s="1"/>
  <c r="C129" i="51"/>
  <c r="C128" i="51" s="1"/>
  <c r="F129" i="51"/>
  <c r="F128" i="51" s="1"/>
  <c r="B129" i="51"/>
  <c r="B128" i="51" s="1"/>
  <c r="H129" i="51"/>
  <c r="H128" i="51" s="1"/>
  <c r="E129" i="51"/>
  <c r="E128" i="51" s="1"/>
  <c r="D129" i="51"/>
  <c r="D128" i="51" s="1"/>
  <c r="G135" i="51"/>
  <c r="C135" i="51"/>
  <c r="F135" i="51"/>
  <c r="B135" i="51"/>
  <c r="H135" i="51"/>
  <c r="E135" i="51"/>
  <c r="D135" i="51"/>
  <c r="G133" i="51"/>
  <c r="C133" i="51"/>
  <c r="F133" i="51"/>
  <c r="B133" i="51"/>
  <c r="H133" i="51"/>
  <c r="E133" i="51"/>
  <c r="D133" i="51"/>
  <c r="C155" i="51"/>
  <c r="B153" i="51" a="1"/>
  <c r="B151" i="51" a="1"/>
  <c r="B149" i="51" a="1"/>
  <c r="B147" i="51" a="1"/>
  <c r="B145" i="51" a="1"/>
  <c r="B143" i="51" a="1"/>
  <c r="B155" i="51"/>
  <c r="G137" i="51"/>
  <c r="C137" i="51"/>
  <c r="F137" i="51"/>
  <c r="B137" i="51"/>
  <c r="E137" i="51"/>
  <c r="H137" i="51"/>
  <c r="D137" i="51"/>
  <c r="C139" i="51"/>
  <c r="B139" i="51"/>
  <c r="G131" i="51"/>
  <c r="C131" i="51"/>
  <c r="F131" i="51"/>
  <c r="B131" i="51"/>
  <c r="H131" i="51"/>
  <c r="E131" i="51"/>
  <c r="D131" i="51"/>
  <c r="F129" i="50"/>
  <c r="F128" i="50" s="1"/>
  <c r="B129" i="50"/>
  <c r="B128" i="50" s="1"/>
  <c r="E129" i="50"/>
  <c r="E128" i="50" s="1"/>
  <c r="A129" i="50"/>
  <c r="A128" i="50" s="1"/>
  <c r="C129" i="50"/>
  <c r="C128" i="50" s="1"/>
  <c r="G129" i="50"/>
  <c r="G128" i="50" s="1"/>
  <c r="D129" i="50"/>
  <c r="D128" i="50" s="1"/>
  <c r="F137" i="50"/>
  <c r="B137" i="50"/>
  <c r="E137" i="50"/>
  <c r="A137" i="50"/>
  <c r="C137" i="50"/>
  <c r="G137" i="50"/>
  <c r="D137" i="50"/>
  <c r="F131" i="50"/>
  <c r="B131" i="50"/>
  <c r="E131" i="50"/>
  <c r="A131" i="50"/>
  <c r="C131" i="50"/>
  <c r="D131" i="50"/>
  <c r="G131" i="50"/>
  <c r="B139" i="50"/>
  <c r="A139" i="50"/>
  <c r="F133" i="50"/>
  <c r="B133" i="50"/>
  <c r="E133" i="50"/>
  <c r="A133" i="50"/>
  <c r="C133" i="50"/>
  <c r="G133" i="50"/>
  <c r="D133" i="50"/>
  <c r="B155" i="50"/>
  <c r="A153" i="50" a="1"/>
  <c r="A151" i="50" a="1"/>
  <c r="A149" i="50" a="1"/>
  <c r="A145" i="50" a="1"/>
  <c r="A155" i="50"/>
  <c r="A147" i="50" a="1"/>
  <c r="A143" i="50" a="1"/>
  <c r="F135" i="50"/>
  <c r="B135" i="50"/>
  <c r="E135" i="50"/>
  <c r="A135" i="50"/>
  <c r="C135" i="50"/>
  <c r="D135" i="50"/>
  <c r="G135" i="50"/>
  <c r="A155" i="49"/>
  <c r="A151" i="49" a="1"/>
  <c r="A147" i="49" a="1"/>
  <c r="A143" i="49" a="1"/>
  <c r="A153" i="49" a="1"/>
  <c r="A149" i="49" a="1"/>
  <c r="A145" i="49" a="1"/>
  <c r="B155" i="49"/>
  <c r="E129" i="49"/>
  <c r="E128" i="49" s="1"/>
  <c r="A129" i="49"/>
  <c r="A128" i="49" s="1"/>
  <c r="D129" i="49"/>
  <c r="D128" i="49" s="1"/>
  <c r="G129" i="49"/>
  <c r="G128" i="49" s="1"/>
  <c r="B129" i="49"/>
  <c r="B128" i="49" s="1"/>
  <c r="F129" i="49"/>
  <c r="F128" i="49" s="1"/>
  <c r="C129" i="49"/>
  <c r="C128" i="49" s="1"/>
  <c r="E133" i="49"/>
  <c r="A133" i="49"/>
  <c r="D133" i="49"/>
  <c r="G133" i="49"/>
  <c r="B133" i="49"/>
  <c r="C133" i="49"/>
  <c r="F133" i="49"/>
  <c r="E131" i="49"/>
  <c r="A131" i="49"/>
  <c r="G131" i="49"/>
  <c r="B131" i="49"/>
  <c r="D131" i="49"/>
  <c r="F131" i="49"/>
  <c r="C131" i="49"/>
  <c r="E137" i="49"/>
  <c r="A137" i="49"/>
  <c r="D137" i="49"/>
  <c r="G137" i="49"/>
  <c r="B137" i="49"/>
  <c r="F137" i="49"/>
  <c r="C137" i="49"/>
  <c r="A139" i="49"/>
  <c r="B139" i="49"/>
  <c r="E135" i="49"/>
  <c r="A135" i="49"/>
  <c r="G135" i="49"/>
  <c r="B135" i="49"/>
  <c r="D135" i="49"/>
  <c r="F135" i="49"/>
  <c r="C135" i="49"/>
  <c r="G129" i="48"/>
  <c r="G128" i="48" s="1"/>
  <c r="C129" i="48"/>
  <c r="C128" i="48" s="1"/>
  <c r="F129" i="48"/>
  <c r="F128" i="48" s="1"/>
  <c r="D129" i="48"/>
  <c r="D128" i="48" s="1"/>
  <c r="H129" i="48"/>
  <c r="H128" i="48" s="1"/>
  <c r="E129" i="48"/>
  <c r="E128" i="48" s="1"/>
  <c r="B129" i="48"/>
  <c r="B128" i="48" s="1"/>
  <c r="C155" i="48"/>
  <c r="B153" i="48" a="1"/>
  <c r="B145" i="48" a="1"/>
  <c r="B147" i="48" a="1"/>
  <c r="B149" i="48" a="1"/>
  <c r="B155" i="48"/>
  <c r="B143" i="48" a="1"/>
  <c r="B151" i="48" a="1"/>
  <c r="G131" i="48"/>
  <c r="C131" i="48"/>
  <c r="D131" i="48"/>
  <c r="F131" i="48"/>
  <c r="H131" i="48"/>
  <c r="E131" i="48"/>
  <c r="B131" i="48"/>
  <c r="G133" i="48"/>
  <c r="C133" i="48"/>
  <c r="F133" i="48"/>
  <c r="D133" i="48"/>
  <c r="B133" i="48"/>
  <c r="H133" i="48"/>
  <c r="E133" i="48"/>
  <c r="G135" i="48"/>
  <c r="C135" i="48"/>
  <c r="D135" i="48"/>
  <c r="F135" i="48"/>
  <c r="E135" i="48"/>
  <c r="B135" i="48"/>
  <c r="H135" i="48"/>
  <c r="G137" i="48"/>
  <c r="C137" i="48"/>
  <c r="F137" i="48"/>
  <c r="D137" i="48"/>
  <c r="H137" i="48"/>
  <c r="E137" i="48"/>
  <c r="B137" i="48"/>
  <c r="C139" i="48"/>
  <c r="B139" i="48"/>
  <c r="C129" i="47"/>
  <c r="C128" i="47" s="1"/>
  <c r="H129" i="47"/>
  <c r="H128" i="47" s="1"/>
  <c r="E129" i="47"/>
  <c r="E128" i="47" s="1"/>
  <c r="G129" i="47"/>
  <c r="G128" i="47" s="1"/>
  <c r="F129" i="47"/>
  <c r="F128" i="47" s="1"/>
  <c r="D129" i="47"/>
  <c r="D128" i="47" s="1"/>
  <c r="B129" i="47"/>
  <c r="B128" i="47" s="1"/>
  <c r="C135" i="47"/>
  <c r="H135" i="47"/>
  <c r="E135" i="47"/>
  <c r="G135" i="47"/>
  <c r="F135" i="47"/>
  <c r="D135" i="47"/>
  <c r="B135" i="47"/>
  <c r="C139" i="47"/>
  <c r="B139" i="47"/>
  <c r="C133" i="47"/>
  <c r="H133" i="47"/>
  <c r="E133" i="47"/>
  <c r="G133" i="47"/>
  <c r="F133" i="47"/>
  <c r="D133" i="47"/>
  <c r="B133" i="47"/>
  <c r="C137" i="47"/>
  <c r="H137" i="47"/>
  <c r="E137" i="47"/>
  <c r="F137" i="47"/>
  <c r="D137" i="47"/>
  <c r="B137" i="47"/>
  <c r="G137" i="47"/>
  <c r="C155" i="47"/>
  <c r="B155" i="47"/>
  <c r="B153" i="47" a="1"/>
  <c r="B151" i="47" a="1"/>
  <c r="B149" i="47" a="1"/>
  <c r="B147" i="47" a="1"/>
  <c r="B145" i="47" a="1"/>
  <c r="B143" i="47" a="1"/>
  <c r="C131" i="47"/>
  <c r="H131" i="47"/>
  <c r="E131" i="47"/>
  <c r="D131" i="47"/>
  <c r="B131" i="47"/>
  <c r="G131" i="47"/>
  <c r="F131" i="47"/>
  <c r="B137" i="46"/>
  <c r="H137" i="46"/>
  <c r="G137" i="46"/>
  <c r="C137" i="46"/>
  <c r="F137" i="46"/>
  <c r="E137" i="46"/>
  <c r="D137" i="46"/>
  <c r="B139" i="46"/>
  <c r="C139" i="46"/>
  <c r="B133" i="46"/>
  <c r="H133" i="46"/>
  <c r="G133" i="46"/>
  <c r="D133" i="46"/>
  <c r="C133" i="46"/>
  <c r="F133" i="46"/>
  <c r="E133" i="46"/>
  <c r="B155" i="46"/>
  <c r="B153" i="46" a="1"/>
  <c r="B151" i="46" a="1"/>
  <c r="B149" i="46" a="1"/>
  <c r="B147" i="46" a="1"/>
  <c r="B143" i="46" a="1"/>
  <c r="B145" i="46" a="1"/>
  <c r="C155" i="46"/>
  <c r="B131" i="46"/>
  <c r="H131" i="46"/>
  <c r="G131" i="46"/>
  <c r="F131" i="46"/>
  <c r="E131" i="46"/>
  <c r="D131" i="46"/>
  <c r="C131" i="46"/>
  <c r="B135" i="46"/>
  <c r="H135" i="46"/>
  <c r="G135" i="46"/>
  <c r="D135" i="46"/>
  <c r="F135" i="46"/>
  <c r="C135" i="46"/>
  <c r="E135" i="46"/>
  <c r="B129" i="46"/>
  <c r="B128" i="46" s="1"/>
  <c r="H129" i="46"/>
  <c r="H128" i="46" s="1"/>
  <c r="G129" i="46"/>
  <c r="G128" i="46" s="1"/>
  <c r="C129" i="46"/>
  <c r="C128" i="46" s="1"/>
  <c r="F129" i="46"/>
  <c r="F128" i="46" s="1"/>
  <c r="E129" i="46"/>
  <c r="E128" i="46" s="1"/>
  <c r="D129" i="46"/>
  <c r="D128" i="46" s="1"/>
  <c r="C155" i="45"/>
  <c r="B155" i="45"/>
  <c r="B153" i="45" a="1"/>
  <c r="B147" i="45" a="1"/>
  <c r="B151" i="45" a="1"/>
  <c r="B145" i="45" a="1"/>
  <c r="B149" i="45" a="1"/>
  <c r="B143" i="45" a="1"/>
  <c r="C131" i="45"/>
  <c r="H131" i="45"/>
  <c r="G131" i="45"/>
  <c r="F131" i="45"/>
  <c r="E131" i="45"/>
  <c r="D131" i="45"/>
  <c r="B131" i="45"/>
  <c r="C135" i="45"/>
  <c r="H135" i="45"/>
  <c r="G135" i="45"/>
  <c r="F135" i="45"/>
  <c r="E135" i="45"/>
  <c r="D135" i="45"/>
  <c r="B135" i="45"/>
  <c r="C129" i="45"/>
  <c r="C128" i="45" s="1"/>
  <c r="H129" i="45"/>
  <c r="H128" i="45" s="1"/>
  <c r="G129" i="45"/>
  <c r="G128" i="45" s="1"/>
  <c r="F129" i="45"/>
  <c r="F128" i="45" s="1"/>
  <c r="E129" i="45"/>
  <c r="E128" i="45" s="1"/>
  <c r="B129" i="45"/>
  <c r="B128" i="45" s="1"/>
  <c r="D129" i="45"/>
  <c r="D128" i="45" s="1"/>
  <c r="C133" i="45"/>
  <c r="H133" i="45"/>
  <c r="G133" i="45"/>
  <c r="F133" i="45"/>
  <c r="E133" i="45"/>
  <c r="B133" i="45"/>
  <c r="D133" i="45"/>
  <c r="C137" i="45"/>
  <c r="H137" i="45"/>
  <c r="G137" i="45"/>
  <c r="F137" i="45"/>
  <c r="E137" i="45"/>
  <c r="B137" i="45"/>
  <c r="D137" i="45"/>
  <c r="C139" i="45"/>
  <c r="B139" i="45"/>
  <c r="C137" i="43"/>
  <c r="B137" i="43"/>
  <c r="H137" i="43"/>
  <c r="E137" i="43"/>
  <c r="D137" i="43"/>
  <c r="G137" i="43"/>
  <c r="F137" i="43"/>
  <c r="C131" i="43"/>
  <c r="B131" i="43"/>
  <c r="H131" i="43"/>
  <c r="D131" i="43"/>
  <c r="G131" i="43"/>
  <c r="F131" i="43"/>
  <c r="E131" i="43"/>
  <c r="C139" i="43"/>
  <c r="B139" i="43"/>
  <c r="C135" i="43"/>
  <c r="B135" i="43"/>
  <c r="H135" i="43"/>
  <c r="D135" i="43"/>
  <c r="G135" i="43"/>
  <c r="F135" i="43"/>
  <c r="E135" i="43"/>
  <c r="C133" i="43"/>
  <c r="B133" i="43"/>
  <c r="H133" i="43"/>
  <c r="G133" i="43"/>
  <c r="F133" i="43"/>
  <c r="E133" i="43"/>
  <c r="D133" i="43"/>
  <c r="B155" i="43"/>
  <c r="B143" i="43" a="1"/>
  <c r="B145" i="43" a="1"/>
  <c r="B153" i="43" a="1"/>
  <c r="B151" i="43" a="1"/>
  <c r="C155" i="43"/>
  <c r="B147" i="43" a="1"/>
  <c r="B149" i="43" a="1"/>
  <c r="C129" i="43"/>
  <c r="C128" i="43" s="1"/>
  <c r="B129" i="43"/>
  <c r="B128" i="43" s="1"/>
  <c r="H129" i="43"/>
  <c r="H128" i="43" s="1"/>
  <c r="G129" i="43"/>
  <c r="G128" i="43" s="1"/>
  <c r="F129" i="43"/>
  <c r="F128" i="43" s="1"/>
  <c r="E129" i="43"/>
  <c r="E128" i="43" s="1"/>
  <c r="D129" i="43"/>
  <c r="D128" i="43" s="1"/>
  <c r="G131" i="42"/>
  <c r="F131" i="42"/>
  <c r="D131" i="42"/>
  <c r="B131" i="42"/>
  <c r="H131" i="42"/>
  <c r="E131" i="42"/>
  <c r="C131" i="42"/>
  <c r="B151" i="42" a="1"/>
  <c r="B149" i="42" a="1"/>
  <c r="B153" i="42" a="1"/>
  <c r="B145" i="42" a="1"/>
  <c r="B147" i="42" a="1"/>
  <c r="B143" i="42" a="1"/>
  <c r="B155" i="42"/>
  <c r="C155" i="42"/>
  <c r="G135" i="42"/>
  <c r="F135" i="42"/>
  <c r="D135" i="42"/>
  <c r="H135" i="42"/>
  <c r="E135" i="42"/>
  <c r="C135" i="42"/>
  <c r="B135" i="42"/>
  <c r="G129" i="42"/>
  <c r="G128" i="42" s="1"/>
  <c r="F129" i="42"/>
  <c r="F128" i="42" s="1"/>
  <c r="D129" i="42"/>
  <c r="D128" i="42" s="1"/>
  <c r="H129" i="42"/>
  <c r="H128" i="42" s="1"/>
  <c r="C129" i="42"/>
  <c r="C128" i="42" s="1"/>
  <c r="E129" i="42"/>
  <c r="E128" i="42" s="1"/>
  <c r="B129" i="42"/>
  <c r="B128" i="42" s="1"/>
  <c r="G133" i="42"/>
  <c r="F133" i="42"/>
  <c r="D133" i="42"/>
  <c r="H133" i="42"/>
  <c r="E133" i="42"/>
  <c r="C133" i="42"/>
  <c r="B133" i="42"/>
  <c r="C139" i="42"/>
  <c r="B139" i="42"/>
  <c r="G137" i="42"/>
  <c r="F137" i="42"/>
  <c r="D137" i="42"/>
  <c r="C137" i="42"/>
  <c r="B137" i="42"/>
  <c r="E137" i="42"/>
  <c r="H137" i="42"/>
  <c r="G135" i="41"/>
  <c r="C135" i="41"/>
  <c r="F135" i="41"/>
  <c r="B135" i="41"/>
  <c r="E135" i="41"/>
  <c r="D135" i="41"/>
  <c r="H135" i="41"/>
  <c r="G129" i="41"/>
  <c r="G128" i="41" s="1"/>
  <c r="C129" i="41"/>
  <c r="C128" i="41" s="1"/>
  <c r="F129" i="41"/>
  <c r="F128" i="41" s="1"/>
  <c r="B129" i="41"/>
  <c r="B128" i="41" s="1"/>
  <c r="E129" i="41"/>
  <c r="E128" i="41" s="1"/>
  <c r="D129" i="41"/>
  <c r="D128" i="41" s="1"/>
  <c r="H129" i="41"/>
  <c r="H128" i="41" s="1"/>
  <c r="G137" i="41"/>
  <c r="C137" i="41"/>
  <c r="F137" i="41"/>
  <c r="B137" i="41"/>
  <c r="E137" i="41"/>
  <c r="D137" i="41"/>
  <c r="H137" i="41"/>
  <c r="C155" i="41"/>
  <c r="B153" i="41" a="1"/>
  <c r="B151" i="41" a="1"/>
  <c r="B149" i="41" a="1"/>
  <c r="B155" i="41"/>
  <c r="B147" i="41" a="1"/>
  <c r="B145" i="41" a="1"/>
  <c r="B143" i="41" a="1"/>
  <c r="G131" i="41"/>
  <c r="C131" i="41"/>
  <c r="F131" i="41"/>
  <c r="B131" i="41"/>
  <c r="E131" i="41"/>
  <c r="D131" i="41"/>
  <c r="H131" i="41"/>
  <c r="C139" i="41"/>
  <c r="B139" i="41"/>
  <c r="G133" i="41"/>
  <c r="C133" i="41"/>
  <c r="F133" i="41"/>
  <c r="B133" i="41"/>
  <c r="E133" i="41"/>
  <c r="D133" i="41"/>
  <c r="H133" i="41"/>
  <c r="C155" i="40"/>
  <c r="B153" i="40" a="1"/>
  <c r="B151" i="40" a="1"/>
  <c r="B149" i="40" a="1"/>
  <c r="B147" i="40" a="1"/>
  <c r="B145" i="40" a="1"/>
  <c r="B155" i="40"/>
  <c r="B143" i="40" a="1"/>
  <c r="G135" i="40"/>
  <c r="C135" i="40"/>
  <c r="F135" i="40"/>
  <c r="B135" i="40"/>
  <c r="E135" i="40"/>
  <c r="D135" i="40"/>
  <c r="H135" i="40"/>
  <c r="G129" i="40"/>
  <c r="G128" i="40" s="1"/>
  <c r="C129" i="40"/>
  <c r="C128" i="40" s="1"/>
  <c r="F129" i="40"/>
  <c r="F128" i="40" s="1"/>
  <c r="B129" i="40"/>
  <c r="B128" i="40" s="1"/>
  <c r="E129" i="40"/>
  <c r="E128" i="40" s="1"/>
  <c r="H129" i="40"/>
  <c r="H128" i="40" s="1"/>
  <c r="D129" i="40"/>
  <c r="D128" i="40" s="1"/>
  <c r="G137" i="40"/>
  <c r="C137" i="40"/>
  <c r="F137" i="40"/>
  <c r="B137" i="40"/>
  <c r="E137" i="40"/>
  <c r="D137" i="40"/>
  <c r="H137" i="40"/>
  <c r="G131" i="40"/>
  <c r="C131" i="40"/>
  <c r="F131" i="40"/>
  <c r="B131" i="40"/>
  <c r="E131" i="40"/>
  <c r="D131" i="40"/>
  <c r="H131" i="40"/>
  <c r="C139" i="40"/>
  <c r="B139" i="40"/>
  <c r="G133" i="40"/>
  <c r="C133" i="40"/>
  <c r="F133" i="40"/>
  <c r="B133" i="40"/>
  <c r="E133" i="40"/>
  <c r="H133" i="40"/>
  <c r="D133" i="40"/>
  <c r="G133" i="39"/>
  <c r="C133" i="39"/>
  <c r="F133" i="39"/>
  <c r="B133" i="39"/>
  <c r="H133" i="39"/>
  <c r="E133" i="39"/>
  <c r="D133" i="39"/>
  <c r="C139" i="39"/>
  <c r="B139" i="39"/>
  <c r="C155" i="39"/>
  <c r="B153" i="39" a="1"/>
  <c r="B151" i="39" a="1"/>
  <c r="B149" i="39" a="1"/>
  <c r="B147" i="39" a="1"/>
  <c r="B145" i="39" a="1"/>
  <c r="B143" i="39" a="1"/>
  <c r="B155" i="39"/>
  <c r="G131" i="39"/>
  <c r="C131" i="39"/>
  <c r="H131" i="39"/>
  <c r="B131" i="39"/>
  <c r="F131" i="39"/>
  <c r="E131" i="39"/>
  <c r="D131" i="39"/>
  <c r="G129" i="39"/>
  <c r="G128" i="39" s="1"/>
  <c r="C129" i="39"/>
  <c r="C128" i="39" s="1"/>
  <c r="E129" i="39"/>
  <c r="E128" i="39" s="1"/>
  <c r="D129" i="39"/>
  <c r="D128" i="39" s="1"/>
  <c r="H129" i="39"/>
  <c r="H128" i="39" s="1"/>
  <c r="B129" i="39"/>
  <c r="B128" i="39" s="1"/>
  <c r="F129" i="39"/>
  <c r="F128" i="39" s="1"/>
  <c r="G135" i="39"/>
  <c r="C135" i="39"/>
  <c r="F135" i="39"/>
  <c r="B135" i="39"/>
  <c r="H135" i="39"/>
  <c r="E135" i="39"/>
  <c r="D135" i="39"/>
  <c r="G137" i="39"/>
  <c r="C137" i="39"/>
  <c r="F137" i="39"/>
  <c r="B137" i="39"/>
  <c r="E137" i="39"/>
  <c r="H137" i="39"/>
  <c r="D137" i="39"/>
  <c r="G137" i="38"/>
  <c r="C137" i="38"/>
  <c r="F137" i="38"/>
  <c r="B137" i="38"/>
  <c r="D137" i="38"/>
  <c r="H137" i="38"/>
  <c r="E137" i="38"/>
  <c r="C139" i="38"/>
  <c r="B139" i="38"/>
  <c r="G133" i="38"/>
  <c r="C133" i="38"/>
  <c r="F133" i="38"/>
  <c r="B133" i="38"/>
  <c r="D133" i="38"/>
  <c r="H133" i="38"/>
  <c r="E133" i="38"/>
  <c r="C155" i="38"/>
  <c r="B153" i="38" a="1"/>
  <c r="B151" i="38" a="1"/>
  <c r="B149" i="38" a="1"/>
  <c r="B155" i="38"/>
  <c r="B147" i="38" a="1"/>
  <c r="B143" i="38" a="1"/>
  <c r="B145" i="38" a="1"/>
  <c r="G135" i="38"/>
  <c r="C135" i="38"/>
  <c r="F135" i="38"/>
  <c r="B135" i="38"/>
  <c r="D135" i="38"/>
  <c r="H135" i="38"/>
  <c r="E135" i="38"/>
  <c r="G129" i="38"/>
  <c r="G128" i="38" s="1"/>
  <c r="C129" i="38"/>
  <c r="C128" i="38" s="1"/>
  <c r="F129" i="38"/>
  <c r="F128" i="38" s="1"/>
  <c r="B129" i="38"/>
  <c r="B128" i="38" s="1"/>
  <c r="D129" i="38"/>
  <c r="D128" i="38" s="1"/>
  <c r="H129" i="38"/>
  <c r="H128" i="38" s="1"/>
  <c r="E129" i="38"/>
  <c r="E128" i="38" s="1"/>
  <c r="G131" i="38"/>
  <c r="C131" i="38"/>
  <c r="F131" i="38"/>
  <c r="B131" i="38"/>
  <c r="D131" i="38"/>
  <c r="H131" i="38"/>
  <c r="E131" i="38"/>
  <c r="G131" i="37"/>
  <c r="C131" i="37"/>
  <c r="F131" i="37"/>
  <c r="B131" i="37"/>
  <c r="H131" i="37"/>
  <c r="D131" i="37"/>
  <c r="E131" i="37"/>
  <c r="G129" i="37"/>
  <c r="G128" i="37" s="1"/>
  <c r="C129" i="37"/>
  <c r="C128" i="37" s="1"/>
  <c r="F129" i="37"/>
  <c r="F128" i="37" s="1"/>
  <c r="B129" i="37"/>
  <c r="B128" i="37" s="1"/>
  <c r="H129" i="37"/>
  <c r="H128" i="37" s="1"/>
  <c r="D129" i="37"/>
  <c r="D128" i="37" s="1"/>
  <c r="E129" i="37"/>
  <c r="E128" i="37" s="1"/>
  <c r="G135" i="37"/>
  <c r="C135" i="37"/>
  <c r="F135" i="37"/>
  <c r="B135" i="37"/>
  <c r="H135" i="37"/>
  <c r="D135" i="37"/>
  <c r="E135" i="37"/>
  <c r="G137" i="37"/>
  <c r="C137" i="37"/>
  <c r="F137" i="37"/>
  <c r="B137" i="37"/>
  <c r="H137" i="37"/>
  <c r="D137" i="37"/>
  <c r="E137" i="37"/>
  <c r="C155" i="37"/>
  <c r="B153" i="37" a="1"/>
  <c r="B151" i="37" a="1"/>
  <c r="B155" i="37"/>
  <c r="B149" i="37" a="1"/>
  <c r="B145" i="37" a="1"/>
  <c r="B147" i="37" a="1"/>
  <c r="B143" i="37" a="1"/>
  <c r="G133" i="37"/>
  <c r="C133" i="37"/>
  <c r="F133" i="37"/>
  <c r="B133" i="37"/>
  <c r="H133" i="37"/>
  <c r="D133" i="37"/>
  <c r="E133" i="37"/>
  <c r="C139" i="37"/>
  <c r="B139" i="37"/>
  <c r="C155" i="36"/>
  <c r="B153" i="36" a="1"/>
  <c r="B151" i="36" a="1"/>
  <c r="B149" i="36" a="1"/>
  <c r="B147" i="36" a="1"/>
  <c r="B145" i="36" a="1"/>
  <c r="B143" i="36" a="1"/>
  <c r="B155" i="36"/>
  <c r="G137" i="36"/>
  <c r="C137" i="36"/>
  <c r="F137" i="36"/>
  <c r="E137" i="36"/>
  <c r="D137" i="36"/>
  <c r="B137" i="36"/>
  <c r="H137" i="36"/>
  <c r="C139" i="36"/>
  <c r="B139" i="36"/>
  <c r="G135" i="36"/>
  <c r="C135" i="36"/>
  <c r="D135" i="36"/>
  <c r="H135" i="36"/>
  <c r="B135" i="36"/>
  <c r="F135" i="36"/>
  <c r="E135" i="36"/>
  <c r="G129" i="36"/>
  <c r="G128" i="36" s="1"/>
  <c r="C129" i="36"/>
  <c r="C128" i="36" s="1"/>
  <c r="F129" i="36"/>
  <c r="F128" i="36" s="1"/>
  <c r="E129" i="36"/>
  <c r="E128" i="36" s="1"/>
  <c r="D129" i="36"/>
  <c r="D128" i="36" s="1"/>
  <c r="H129" i="36"/>
  <c r="H128" i="36" s="1"/>
  <c r="B129" i="36"/>
  <c r="B128" i="36" s="1"/>
  <c r="G131" i="36"/>
  <c r="C131" i="36"/>
  <c r="D131" i="36"/>
  <c r="H131" i="36"/>
  <c r="B131" i="36"/>
  <c r="F131" i="36"/>
  <c r="E131" i="36"/>
  <c r="G133" i="36"/>
  <c r="C133" i="36"/>
  <c r="F133" i="36"/>
  <c r="E133" i="36"/>
  <c r="D133" i="36"/>
  <c r="H133" i="36"/>
  <c r="B133" i="36"/>
  <c r="G135" i="35"/>
  <c r="C135" i="35"/>
  <c r="D135" i="35"/>
  <c r="H135" i="35"/>
  <c r="B135" i="35"/>
  <c r="F135" i="35"/>
  <c r="E135" i="35"/>
  <c r="C139" i="35"/>
  <c r="B139" i="35"/>
  <c r="C155" i="35"/>
  <c r="B153" i="35" a="1"/>
  <c r="B151" i="35" a="1"/>
  <c r="B149" i="35" a="1"/>
  <c r="B147" i="35" a="1"/>
  <c r="B145" i="35" a="1"/>
  <c r="B143" i="35" a="1"/>
  <c r="B155" i="35"/>
  <c r="G129" i="35"/>
  <c r="G128" i="35" s="1"/>
  <c r="C129" i="35"/>
  <c r="C128" i="35" s="1"/>
  <c r="F129" i="35"/>
  <c r="F128" i="35" s="1"/>
  <c r="E129" i="35"/>
  <c r="E128" i="35" s="1"/>
  <c r="D129" i="35"/>
  <c r="D128" i="35" s="1"/>
  <c r="B129" i="35"/>
  <c r="B128" i="35" s="1"/>
  <c r="H129" i="35"/>
  <c r="H128" i="35" s="1"/>
  <c r="G133" i="35"/>
  <c r="C133" i="35"/>
  <c r="F133" i="35"/>
  <c r="E133" i="35"/>
  <c r="D133" i="35"/>
  <c r="H133" i="35"/>
  <c r="B133" i="35"/>
  <c r="G131" i="35"/>
  <c r="C131" i="35"/>
  <c r="D131" i="35"/>
  <c r="H131" i="35"/>
  <c r="B131" i="35"/>
  <c r="F131" i="35"/>
  <c r="E131" i="35"/>
  <c r="G137" i="35"/>
  <c r="C137" i="35"/>
  <c r="E137" i="35"/>
  <c r="B137" i="35"/>
  <c r="H137" i="35"/>
  <c r="F137" i="35"/>
  <c r="D137" i="35"/>
  <c r="G135" i="34"/>
  <c r="C135" i="34"/>
  <c r="F135" i="34"/>
  <c r="B135" i="34"/>
  <c r="E135" i="34"/>
  <c r="D135" i="34"/>
  <c r="H135" i="34"/>
  <c r="C155" i="34"/>
  <c r="B153" i="34" a="1"/>
  <c r="B151" i="34" a="1"/>
  <c r="B149" i="34" a="1"/>
  <c r="B155" i="34"/>
  <c r="B147" i="34" a="1"/>
  <c r="B145" i="34" a="1"/>
  <c r="B143" i="34" a="1"/>
  <c r="G129" i="34"/>
  <c r="G128" i="34" s="1"/>
  <c r="C129" i="34"/>
  <c r="C128" i="34" s="1"/>
  <c r="F129" i="34"/>
  <c r="F128" i="34" s="1"/>
  <c r="B129" i="34"/>
  <c r="B128" i="34" s="1"/>
  <c r="E129" i="34"/>
  <c r="E128" i="34" s="1"/>
  <c r="D129" i="34"/>
  <c r="D128" i="34" s="1"/>
  <c r="H129" i="34"/>
  <c r="H128" i="34" s="1"/>
  <c r="G137" i="34"/>
  <c r="C137" i="34"/>
  <c r="F137" i="34"/>
  <c r="B137" i="34"/>
  <c r="E137" i="34"/>
  <c r="D137" i="34"/>
  <c r="H137" i="34"/>
  <c r="G131" i="34"/>
  <c r="C131" i="34"/>
  <c r="F131" i="34"/>
  <c r="B131" i="34"/>
  <c r="E131" i="34"/>
  <c r="D131" i="34"/>
  <c r="H131" i="34"/>
  <c r="C139" i="34"/>
  <c r="B139" i="34"/>
  <c r="G133" i="34"/>
  <c r="C133" i="34"/>
  <c r="F133" i="34"/>
  <c r="B133" i="34"/>
  <c r="E133" i="34"/>
  <c r="D133" i="34"/>
  <c r="H133" i="34"/>
  <c r="C155" i="33"/>
  <c r="B153" i="33" a="1"/>
  <c r="B151" i="33" a="1"/>
  <c r="B149" i="33" a="1"/>
  <c r="B155" i="33"/>
  <c r="B147" i="33" a="1"/>
  <c r="B145" i="33" a="1"/>
  <c r="B143" i="33" a="1"/>
  <c r="G135" i="33"/>
  <c r="C135" i="33"/>
  <c r="F135" i="33"/>
  <c r="B135" i="33"/>
  <c r="E135" i="33"/>
  <c r="D135" i="33"/>
  <c r="H135" i="33"/>
  <c r="G129" i="33"/>
  <c r="G128" i="33" s="1"/>
  <c r="C129" i="33"/>
  <c r="C128" i="33" s="1"/>
  <c r="F129" i="33"/>
  <c r="F128" i="33" s="1"/>
  <c r="B129" i="33"/>
  <c r="B128" i="33" s="1"/>
  <c r="E129" i="33"/>
  <c r="E128" i="33" s="1"/>
  <c r="D129" i="33"/>
  <c r="D128" i="33" s="1"/>
  <c r="H129" i="33"/>
  <c r="H128" i="33" s="1"/>
  <c r="G137" i="33"/>
  <c r="C137" i="33"/>
  <c r="F137" i="33"/>
  <c r="B137" i="33"/>
  <c r="E137" i="33"/>
  <c r="D137" i="33"/>
  <c r="H137" i="33"/>
  <c r="G131" i="33"/>
  <c r="C131" i="33"/>
  <c r="F131" i="33"/>
  <c r="B131" i="33"/>
  <c r="E131" i="33"/>
  <c r="D131" i="33"/>
  <c r="H131" i="33"/>
  <c r="C139" i="33"/>
  <c r="B139" i="33"/>
  <c r="G133" i="33"/>
  <c r="C133" i="33"/>
  <c r="F133" i="33"/>
  <c r="B133" i="33"/>
  <c r="E133" i="33"/>
  <c r="D133" i="33"/>
  <c r="H133" i="33"/>
  <c r="C155" i="32"/>
  <c r="B153" i="32" a="1"/>
  <c r="B151" i="32" a="1"/>
  <c r="B149" i="32" a="1"/>
  <c r="B147" i="32" a="1"/>
  <c r="B145" i="32" a="1"/>
  <c r="B143" i="32" a="1"/>
  <c r="B155" i="32"/>
  <c r="G135" i="32"/>
  <c r="C135" i="32"/>
  <c r="E135" i="32"/>
  <c r="B135" i="32"/>
  <c r="H135" i="32"/>
  <c r="F135" i="32"/>
  <c r="D135" i="32"/>
  <c r="G131" i="32"/>
  <c r="C131" i="32"/>
  <c r="D131" i="32"/>
  <c r="H131" i="32"/>
  <c r="B131" i="32"/>
  <c r="F131" i="32"/>
  <c r="E131" i="32"/>
  <c r="G137" i="32"/>
  <c r="C137" i="32"/>
  <c r="E137" i="32"/>
  <c r="B137" i="32"/>
  <c r="H137" i="32"/>
  <c r="F137" i="32"/>
  <c r="D137" i="32"/>
  <c r="G129" i="32"/>
  <c r="G128" i="32" s="1"/>
  <c r="C129" i="32"/>
  <c r="C128" i="32" s="1"/>
  <c r="F129" i="32"/>
  <c r="F128" i="32" s="1"/>
  <c r="E129" i="32"/>
  <c r="E128" i="32" s="1"/>
  <c r="D129" i="32"/>
  <c r="D128" i="32" s="1"/>
  <c r="H129" i="32"/>
  <c r="H128" i="32" s="1"/>
  <c r="B129" i="32"/>
  <c r="B128" i="32" s="1"/>
  <c r="C139" i="32"/>
  <c r="B139" i="32"/>
  <c r="G133" i="32"/>
  <c r="C133" i="32"/>
  <c r="E133" i="32"/>
  <c r="B133" i="32"/>
  <c r="H133" i="32"/>
  <c r="F133" i="32"/>
  <c r="D133" i="32"/>
  <c r="G133" i="31"/>
  <c r="C133" i="31"/>
  <c r="E133" i="31"/>
  <c r="B133" i="31"/>
  <c r="F133" i="31"/>
  <c r="H133" i="31"/>
  <c r="D133" i="31"/>
  <c r="G135" i="31"/>
  <c r="C135" i="31"/>
  <c r="E135" i="31"/>
  <c r="B135" i="31"/>
  <c r="F135" i="31"/>
  <c r="H135" i="31"/>
  <c r="D135" i="31"/>
  <c r="C155" i="31"/>
  <c r="B153" i="31" a="1"/>
  <c r="B151" i="31" a="1"/>
  <c r="B149" i="31" a="1"/>
  <c r="B147" i="31" a="1"/>
  <c r="B145" i="31" a="1"/>
  <c r="B143" i="31" a="1"/>
  <c r="B155" i="31"/>
  <c r="G131" i="31"/>
  <c r="C131" i="31"/>
  <c r="D131" i="31"/>
  <c r="F131" i="31"/>
  <c r="B131" i="31"/>
  <c r="H131" i="31"/>
  <c r="E131" i="31"/>
  <c r="G137" i="31"/>
  <c r="C137" i="31"/>
  <c r="E137" i="31"/>
  <c r="B137" i="31"/>
  <c r="F137" i="31"/>
  <c r="H137" i="31"/>
  <c r="D137" i="31"/>
  <c r="G129" i="31"/>
  <c r="G128" i="31" s="1"/>
  <c r="C129" i="31"/>
  <c r="C128" i="31" s="1"/>
  <c r="F129" i="31"/>
  <c r="F128" i="31" s="1"/>
  <c r="D129" i="31"/>
  <c r="D128" i="31" s="1"/>
  <c r="H129" i="31"/>
  <c r="H128" i="31" s="1"/>
  <c r="E129" i="31"/>
  <c r="E128" i="31" s="1"/>
  <c r="B129" i="31"/>
  <c r="B128" i="31" s="1"/>
  <c r="C139" i="31"/>
  <c r="B139" i="31"/>
  <c r="G133" i="30"/>
  <c r="C133" i="30"/>
  <c r="F133" i="30"/>
  <c r="B133" i="30"/>
  <c r="D133" i="30"/>
  <c r="H133" i="30"/>
  <c r="E133" i="30"/>
  <c r="C139" i="30"/>
  <c r="B139" i="30"/>
  <c r="G129" i="30"/>
  <c r="G128" i="30" s="1"/>
  <c r="C129" i="30"/>
  <c r="C128" i="30" s="1"/>
  <c r="F129" i="30"/>
  <c r="F128" i="30" s="1"/>
  <c r="B129" i="30"/>
  <c r="B128" i="30" s="1"/>
  <c r="D129" i="30"/>
  <c r="D128" i="30" s="1"/>
  <c r="H129" i="30"/>
  <c r="H128" i="30" s="1"/>
  <c r="E129" i="30"/>
  <c r="E128" i="30" s="1"/>
  <c r="G135" i="30"/>
  <c r="C135" i="30"/>
  <c r="F135" i="30"/>
  <c r="B135" i="30"/>
  <c r="E135" i="30"/>
  <c r="H135" i="30"/>
  <c r="D135" i="30"/>
  <c r="C155" i="30"/>
  <c r="B153" i="30" a="1"/>
  <c r="B151" i="30" a="1"/>
  <c r="B149" i="30" a="1"/>
  <c r="B147" i="30" a="1"/>
  <c r="B145" i="30" a="1"/>
  <c r="B143" i="30" a="1"/>
  <c r="B155" i="30"/>
  <c r="G131" i="30"/>
  <c r="C131" i="30"/>
  <c r="F131" i="30"/>
  <c r="B131" i="30"/>
  <c r="D131" i="30"/>
  <c r="H131" i="30"/>
  <c r="E131" i="30"/>
  <c r="G137" i="30"/>
  <c r="C137" i="30"/>
  <c r="F137" i="30"/>
  <c r="B137" i="30"/>
  <c r="E137" i="30"/>
  <c r="H137" i="30"/>
  <c r="D137" i="30"/>
  <c r="G129" i="29"/>
  <c r="G128" i="29" s="1"/>
  <c r="C129" i="29"/>
  <c r="C128" i="29" s="1"/>
  <c r="F129" i="29"/>
  <c r="F128" i="29" s="1"/>
  <c r="B129" i="29"/>
  <c r="B128" i="29" s="1"/>
  <c r="E129" i="29"/>
  <c r="E128" i="29" s="1"/>
  <c r="D129" i="29"/>
  <c r="D128" i="29" s="1"/>
  <c r="H129" i="29"/>
  <c r="H128" i="29" s="1"/>
  <c r="G137" i="29"/>
  <c r="C137" i="29"/>
  <c r="F137" i="29"/>
  <c r="B137" i="29"/>
  <c r="E137" i="29"/>
  <c r="D137" i="29"/>
  <c r="H137" i="29"/>
  <c r="G131" i="29"/>
  <c r="C131" i="29"/>
  <c r="F131" i="29"/>
  <c r="B131" i="29"/>
  <c r="E131" i="29"/>
  <c r="D131" i="29"/>
  <c r="H131" i="29"/>
  <c r="C139" i="29"/>
  <c r="B139" i="29"/>
  <c r="G133" i="29"/>
  <c r="C133" i="29"/>
  <c r="F133" i="29"/>
  <c r="B133" i="29"/>
  <c r="E133" i="29"/>
  <c r="D133" i="29"/>
  <c r="H133" i="29"/>
  <c r="C155" i="29"/>
  <c r="B153" i="29" a="1"/>
  <c r="B155" i="29"/>
  <c r="B151" i="29" a="1"/>
  <c r="B149" i="29" a="1"/>
  <c r="B147" i="29" a="1"/>
  <c r="B145" i="29" a="1"/>
  <c r="B143" i="29" a="1"/>
  <c r="G135" i="29"/>
  <c r="C135" i="29"/>
  <c r="F135" i="29"/>
  <c r="B135" i="29"/>
  <c r="E135" i="29"/>
  <c r="D135" i="29"/>
  <c r="H135" i="29"/>
  <c r="C155" i="28"/>
  <c r="B153" i="28" a="1"/>
  <c r="B151" i="28" a="1"/>
  <c r="B155" i="28"/>
  <c r="B149" i="28" a="1"/>
  <c r="B147" i="28" a="1"/>
  <c r="B145" i="28" a="1"/>
  <c r="B143" i="28" a="1"/>
  <c r="G133" i="28"/>
  <c r="C133" i="28"/>
  <c r="F133" i="28"/>
  <c r="B133" i="28"/>
  <c r="H133" i="28"/>
  <c r="E133" i="28"/>
  <c r="D133" i="28"/>
  <c r="G135" i="28"/>
  <c r="C135" i="28"/>
  <c r="F135" i="28"/>
  <c r="B135" i="28"/>
  <c r="H135" i="28"/>
  <c r="E135" i="28"/>
  <c r="D135" i="28"/>
  <c r="G129" i="28"/>
  <c r="G128" i="28" s="1"/>
  <c r="C129" i="28"/>
  <c r="C128" i="28" s="1"/>
  <c r="F129" i="28"/>
  <c r="F128" i="28" s="1"/>
  <c r="B129" i="28"/>
  <c r="B128" i="28" s="1"/>
  <c r="H129" i="28"/>
  <c r="H128" i="28" s="1"/>
  <c r="E129" i="28"/>
  <c r="E128" i="28" s="1"/>
  <c r="D129" i="28"/>
  <c r="D128" i="28" s="1"/>
  <c r="G137" i="28"/>
  <c r="C137" i="28"/>
  <c r="F137" i="28"/>
  <c r="B137" i="28"/>
  <c r="H137" i="28"/>
  <c r="E137" i="28"/>
  <c r="D137" i="28"/>
  <c r="G131" i="28"/>
  <c r="C131" i="28"/>
  <c r="F131" i="28"/>
  <c r="B131" i="28"/>
  <c r="H131" i="28"/>
  <c r="E131" i="28"/>
  <c r="D131" i="28"/>
  <c r="C139" i="28"/>
  <c r="B139" i="28"/>
  <c r="G133" i="27"/>
  <c r="C133" i="27"/>
  <c r="F133" i="27"/>
  <c r="B133" i="27"/>
  <c r="H133" i="27"/>
  <c r="E133" i="27"/>
  <c r="D133" i="27"/>
  <c r="C155" i="27"/>
  <c r="B153" i="27" a="1"/>
  <c r="B151" i="27" a="1"/>
  <c r="B149" i="27" a="1"/>
  <c r="B147" i="27" a="1"/>
  <c r="B155" i="27"/>
  <c r="B145" i="27" a="1"/>
  <c r="B143" i="27" a="1"/>
  <c r="G135" i="27"/>
  <c r="C135" i="27"/>
  <c r="F135" i="27"/>
  <c r="B135" i="27"/>
  <c r="H135" i="27"/>
  <c r="E135" i="27"/>
  <c r="D135" i="27"/>
  <c r="G129" i="27"/>
  <c r="G128" i="27" s="1"/>
  <c r="C129" i="27"/>
  <c r="C128" i="27" s="1"/>
  <c r="F129" i="27"/>
  <c r="F128" i="27" s="1"/>
  <c r="B129" i="27"/>
  <c r="B128" i="27" s="1"/>
  <c r="H129" i="27"/>
  <c r="H128" i="27" s="1"/>
  <c r="E129" i="27"/>
  <c r="E128" i="27" s="1"/>
  <c r="D129" i="27"/>
  <c r="D128" i="27" s="1"/>
  <c r="G137" i="27"/>
  <c r="C137" i="27"/>
  <c r="F137" i="27"/>
  <c r="B137" i="27"/>
  <c r="H137" i="27"/>
  <c r="E137" i="27"/>
  <c r="D137" i="27"/>
  <c r="G131" i="27"/>
  <c r="C131" i="27"/>
  <c r="F131" i="27"/>
  <c r="B131" i="27"/>
  <c r="H131" i="27"/>
  <c r="E131" i="27"/>
  <c r="D131" i="27"/>
  <c r="C139" i="27"/>
  <c r="B139" i="27"/>
  <c r="G129" i="26"/>
  <c r="G128" i="26" s="1"/>
  <c r="C129" i="26"/>
  <c r="C128" i="26" s="1"/>
  <c r="F129" i="26"/>
  <c r="F128" i="26" s="1"/>
  <c r="B129" i="26"/>
  <c r="B128" i="26" s="1"/>
  <c r="H129" i="26"/>
  <c r="H128" i="26" s="1"/>
  <c r="E129" i="26"/>
  <c r="E128" i="26" s="1"/>
  <c r="D129" i="26"/>
  <c r="D128" i="26" s="1"/>
  <c r="G133" i="26"/>
  <c r="C133" i="26"/>
  <c r="F133" i="26"/>
  <c r="B133" i="26"/>
  <c r="H133" i="26"/>
  <c r="E133" i="26"/>
  <c r="D133" i="26"/>
  <c r="G137" i="26"/>
  <c r="C137" i="26"/>
  <c r="F137" i="26"/>
  <c r="B137" i="26"/>
  <c r="H137" i="26"/>
  <c r="E137" i="26"/>
  <c r="D137" i="26"/>
  <c r="C155" i="26"/>
  <c r="B155" i="26"/>
  <c r="B153" i="26" a="1"/>
  <c r="B151" i="26" a="1"/>
  <c r="B149" i="26" a="1"/>
  <c r="B147" i="26" a="1"/>
  <c r="B145" i="26" a="1"/>
  <c r="B143" i="26" a="1"/>
  <c r="G131" i="26"/>
  <c r="C131" i="26"/>
  <c r="F131" i="26"/>
  <c r="B131" i="26"/>
  <c r="H131" i="26"/>
  <c r="E131" i="26"/>
  <c r="D131" i="26"/>
  <c r="G135" i="26"/>
  <c r="C135" i="26"/>
  <c r="F135" i="26"/>
  <c r="B135" i="26"/>
  <c r="H135" i="26"/>
  <c r="E135" i="26"/>
  <c r="D135" i="26"/>
  <c r="C139" i="26"/>
  <c r="B139" i="26"/>
  <c r="C139" i="25"/>
  <c r="B139" i="25"/>
  <c r="G137" i="25"/>
  <c r="C137" i="25"/>
  <c r="F137" i="25"/>
  <c r="B137" i="25"/>
  <c r="H137" i="25"/>
  <c r="D137" i="25"/>
  <c r="E137" i="25"/>
  <c r="G131" i="25"/>
  <c r="C131" i="25"/>
  <c r="F131" i="25"/>
  <c r="B131" i="25"/>
  <c r="H131" i="25"/>
  <c r="D131" i="25"/>
  <c r="E131" i="25"/>
  <c r="G133" i="25"/>
  <c r="C133" i="25"/>
  <c r="F133" i="25"/>
  <c r="B133" i="25"/>
  <c r="H133" i="25"/>
  <c r="D133" i="25"/>
  <c r="E133" i="25"/>
  <c r="C155" i="25"/>
  <c r="B153" i="25" a="1"/>
  <c r="B151" i="25" a="1"/>
  <c r="B155" i="25"/>
  <c r="B149" i="25" a="1"/>
  <c r="B145" i="25" a="1"/>
  <c r="B147" i="25" a="1"/>
  <c r="B143" i="25" a="1"/>
  <c r="G129" i="25"/>
  <c r="G128" i="25" s="1"/>
  <c r="C129" i="25"/>
  <c r="C128" i="25" s="1"/>
  <c r="F129" i="25"/>
  <c r="F128" i="25" s="1"/>
  <c r="B129" i="25"/>
  <c r="B128" i="25" s="1"/>
  <c r="H129" i="25"/>
  <c r="H128" i="25" s="1"/>
  <c r="D129" i="25"/>
  <c r="D128" i="25" s="1"/>
  <c r="E129" i="25"/>
  <c r="E128" i="25" s="1"/>
  <c r="G135" i="25"/>
  <c r="C135" i="25"/>
  <c r="F135" i="25"/>
  <c r="B135" i="25"/>
  <c r="H135" i="25"/>
  <c r="D135" i="25"/>
  <c r="E135" i="25"/>
  <c r="G129" i="24"/>
  <c r="G128" i="24" s="1"/>
  <c r="C129" i="24"/>
  <c r="C128" i="24" s="1"/>
  <c r="F129" i="24"/>
  <c r="F128" i="24" s="1"/>
  <c r="B129" i="24"/>
  <c r="B128" i="24" s="1"/>
  <c r="D129" i="24"/>
  <c r="D128" i="24" s="1"/>
  <c r="H129" i="24"/>
  <c r="H128" i="24" s="1"/>
  <c r="E129" i="24"/>
  <c r="E128" i="24" s="1"/>
  <c r="G137" i="24"/>
  <c r="C137" i="24"/>
  <c r="F137" i="24"/>
  <c r="B137" i="24"/>
  <c r="D137" i="24"/>
  <c r="H137" i="24"/>
  <c r="E137" i="24"/>
  <c r="G133" i="24"/>
  <c r="C133" i="24"/>
  <c r="F133" i="24"/>
  <c r="B133" i="24"/>
  <c r="D133" i="24"/>
  <c r="H133" i="24"/>
  <c r="E133" i="24"/>
  <c r="G131" i="24"/>
  <c r="C131" i="24"/>
  <c r="F131" i="24"/>
  <c r="B131" i="24"/>
  <c r="D131" i="24"/>
  <c r="H131" i="24"/>
  <c r="E131" i="24"/>
  <c r="C139" i="24"/>
  <c r="B139" i="24"/>
  <c r="C155" i="24"/>
  <c r="B153" i="24" a="1"/>
  <c r="B151" i="24" a="1"/>
  <c r="B149" i="24" a="1"/>
  <c r="B147" i="24" a="1"/>
  <c r="B145" i="24" a="1"/>
  <c r="B143" i="24" a="1"/>
  <c r="B155" i="24"/>
  <c r="G135" i="24"/>
  <c r="C135" i="24"/>
  <c r="F135" i="24"/>
  <c r="B135" i="24"/>
  <c r="D135" i="24"/>
  <c r="H135" i="24"/>
  <c r="E135" i="24"/>
  <c r="C139" i="23"/>
  <c r="B139" i="23"/>
  <c r="B155" i="23"/>
  <c r="B153" i="23" a="1"/>
  <c r="B149" i="23" a="1"/>
  <c r="B145" i="23" a="1"/>
  <c r="C155" i="23"/>
  <c r="B151" i="23" a="1"/>
  <c r="B147" i="23" a="1"/>
  <c r="B143" i="23" a="1"/>
  <c r="G129" i="23"/>
  <c r="G128" i="23" s="1"/>
  <c r="C129" i="23"/>
  <c r="C128" i="23" s="1"/>
  <c r="F129" i="23"/>
  <c r="F128" i="23" s="1"/>
  <c r="B129" i="23"/>
  <c r="B128" i="23" s="1"/>
  <c r="H129" i="23"/>
  <c r="H128" i="23" s="1"/>
  <c r="D129" i="23"/>
  <c r="D128" i="23" s="1"/>
  <c r="E129" i="23"/>
  <c r="E128" i="23" s="1"/>
  <c r="G133" i="23"/>
  <c r="C133" i="23"/>
  <c r="F133" i="23"/>
  <c r="B133" i="23"/>
  <c r="H133" i="23"/>
  <c r="D133" i="23"/>
  <c r="E133" i="23"/>
  <c r="G137" i="23"/>
  <c r="C137" i="23"/>
  <c r="F137" i="23"/>
  <c r="B137" i="23"/>
  <c r="H137" i="23"/>
  <c r="D137" i="23"/>
  <c r="E137" i="23"/>
  <c r="G135" i="23"/>
  <c r="C135" i="23"/>
  <c r="F135" i="23"/>
  <c r="B135" i="23"/>
  <c r="H135" i="23"/>
  <c r="D135" i="23"/>
  <c r="E135" i="23"/>
  <c r="G131" i="23"/>
  <c r="C131" i="23"/>
  <c r="F131" i="23"/>
  <c r="B131" i="23"/>
  <c r="H131" i="23"/>
  <c r="D131" i="23"/>
  <c r="E131" i="23"/>
  <c r="G135" i="22"/>
  <c r="C135" i="22"/>
  <c r="F135" i="22"/>
  <c r="B135" i="22"/>
  <c r="H135" i="22"/>
  <c r="E135" i="22"/>
  <c r="D135" i="22"/>
  <c r="G129" i="22"/>
  <c r="G128" i="22" s="1"/>
  <c r="C129" i="22"/>
  <c r="C128" i="22" s="1"/>
  <c r="F129" i="22"/>
  <c r="F128" i="22" s="1"/>
  <c r="B129" i="22"/>
  <c r="B128" i="22" s="1"/>
  <c r="H129" i="22"/>
  <c r="H128" i="22" s="1"/>
  <c r="E129" i="22"/>
  <c r="E128" i="22" s="1"/>
  <c r="D129" i="22"/>
  <c r="D128" i="22" s="1"/>
  <c r="G137" i="22"/>
  <c r="C137" i="22"/>
  <c r="F137" i="22"/>
  <c r="B137" i="22"/>
  <c r="H137" i="22"/>
  <c r="E137" i="22"/>
  <c r="D137" i="22"/>
  <c r="C155" i="22"/>
  <c r="B153" i="22" a="1"/>
  <c r="B151" i="22" a="1"/>
  <c r="B155" i="22"/>
  <c r="B149" i="22" a="1"/>
  <c r="B147" i="22" a="1"/>
  <c r="B145" i="22" a="1"/>
  <c r="B143" i="22" a="1"/>
  <c r="G131" i="22"/>
  <c r="C131" i="22"/>
  <c r="F131" i="22"/>
  <c r="B131" i="22"/>
  <c r="H131" i="22"/>
  <c r="E131" i="22"/>
  <c r="D131" i="22"/>
  <c r="C139" i="22"/>
  <c r="B139" i="22"/>
  <c r="G133" i="22"/>
  <c r="C133" i="22"/>
  <c r="F133" i="22"/>
  <c r="B133" i="22"/>
  <c r="H133" i="22"/>
  <c r="E133" i="22"/>
  <c r="D133" i="22"/>
  <c r="G135" i="21"/>
  <c r="C135" i="21"/>
  <c r="F135" i="21"/>
  <c r="B135" i="21"/>
  <c r="E135" i="21"/>
  <c r="H135" i="21"/>
  <c r="D135" i="21"/>
  <c r="G133" i="21"/>
  <c r="C133" i="21"/>
  <c r="F133" i="21"/>
  <c r="B133" i="21"/>
  <c r="E133" i="21"/>
  <c r="H133" i="21"/>
  <c r="D133" i="21"/>
  <c r="G129" i="21"/>
  <c r="G128" i="21" s="1"/>
  <c r="C129" i="21"/>
  <c r="C128" i="21" s="1"/>
  <c r="F129" i="21"/>
  <c r="F128" i="21" s="1"/>
  <c r="B129" i="21"/>
  <c r="B128" i="21" s="1"/>
  <c r="E129" i="21"/>
  <c r="E128" i="21" s="1"/>
  <c r="H129" i="21"/>
  <c r="H128" i="21" s="1"/>
  <c r="D129" i="21"/>
  <c r="D128" i="21" s="1"/>
  <c r="G137" i="21"/>
  <c r="C137" i="21"/>
  <c r="F137" i="21"/>
  <c r="B137" i="21"/>
  <c r="E137" i="21"/>
  <c r="H137" i="21"/>
  <c r="D137" i="21"/>
  <c r="C155" i="21"/>
  <c r="B153" i="21" a="1"/>
  <c r="B151" i="21" a="1"/>
  <c r="B149" i="21" a="1"/>
  <c r="B147" i="21" a="1"/>
  <c r="B145" i="21" a="1"/>
  <c r="B143" i="21" a="1"/>
  <c r="B155" i="21"/>
  <c r="G131" i="21"/>
  <c r="C131" i="21"/>
  <c r="F131" i="21"/>
  <c r="B131" i="21"/>
  <c r="E131" i="21"/>
  <c r="H131" i="21"/>
  <c r="D131" i="21"/>
  <c r="C139" i="21"/>
  <c r="B139" i="21"/>
  <c r="G131" i="20"/>
  <c r="C131" i="20"/>
  <c r="F131" i="20"/>
  <c r="B131" i="20"/>
  <c r="H131" i="20"/>
  <c r="E131" i="20"/>
  <c r="D131" i="20"/>
  <c r="G129" i="20"/>
  <c r="G128" i="20" s="1"/>
  <c r="C129" i="20"/>
  <c r="C128" i="20" s="1"/>
  <c r="F129" i="20"/>
  <c r="F128" i="20" s="1"/>
  <c r="B129" i="20"/>
  <c r="B128" i="20" s="1"/>
  <c r="H129" i="20"/>
  <c r="H128" i="20" s="1"/>
  <c r="E129" i="20"/>
  <c r="E128" i="20" s="1"/>
  <c r="D129" i="20"/>
  <c r="D128" i="20" s="1"/>
  <c r="G135" i="20"/>
  <c r="C135" i="20"/>
  <c r="F135" i="20"/>
  <c r="B135" i="20"/>
  <c r="H135" i="20"/>
  <c r="E135" i="20"/>
  <c r="D135" i="20"/>
  <c r="G137" i="20"/>
  <c r="C137" i="20"/>
  <c r="F137" i="20"/>
  <c r="B137" i="20"/>
  <c r="H137" i="20"/>
  <c r="E137" i="20"/>
  <c r="D137" i="20"/>
  <c r="C139" i="20"/>
  <c r="B139" i="20"/>
  <c r="C155" i="20"/>
  <c r="B155" i="20"/>
  <c r="B153" i="20" a="1"/>
  <c r="B151" i="20" a="1"/>
  <c r="B149" i="20" a="1"/>
  <c r="B147" i="20" a="1"/>
  <c r="B145" i="20" a="1"/>
  <c r="B143" i="20" a="1"/>
  <c r="G133" i="20"/>
  <c r="C133" i="20"/>
  <c r="F133" i="20"/>
  <c r="B133" i="20"/>
  <c r="H133" i="20"/>
  <c r="E133" i="20"/>
  <c r="D133" i="20"/>
  <c r="G137" i="19"/>
  <c r="C137" i="19"/>
  <c r="F137" i="19"/>
  <c r="B137" i="19"/>
  <c r="E137" i="19"/>
  <c r="D137" i="19"/>
  <c r="H137" i="19"/>
  <c r="C155" i="19"/>
  <c r="B153" i="19" a="1"/>
  <c r="B151" i="19" a="1"/>
  <c r="B149" i="19" a="1"/>
  <c r="B155" i="19"/>
  <c r="B147" i="19" a="1"/>
  <c r="B145" i="19" a="1"/>
  <c r="B143" i="19" a="1"/>
  <c r="G131" i="19"/>
  <c r="C131" i="19"/>
  <c r="F131" i="19"/>
  <c r="B131" i="19"/>
  <c r="E131" i="19"/>
  <c r="D131" i="19"/>
  <c r="H131" i="19"/>
  <c r="C139" i="19"/>
  <c r="B139" i="19"/>
  <c r="G129" i="19"/>
  <c r="G128" i="19" s="1"/>
  <c r="C129" i="19"/>
  <c r="C128" i="19" s="1"/>
  <c r="F129" i="19"/>
  <c r="F128" i="19" s="1"/>
  <c r="B129" i="19"/>
  <c r="B128" i="19" s="1"/>
  <c r="E129" i="19"/>
  <c r="E128" i="19" s="1"/>
  <c r="D129" i="19"/>
  <c r="D128" i="19" s="1"/>
  <c r="H129" i="19"/>
  <c r="H128" i="19" s="1"/>
  <c r="G133" i="19"/>
  <c r="C133" i="19"/>
  <c r="F133" i="19"/>
  <c r="B133" i="19"/>
  <c r="E133" i="19"/>
  <c r="D133" i="19"/>
  <c r="H133" i="19"/>
  <c r="G135" i="19"/>
  <c r="C135" i="19"/>
  <c r="F135" i="19"/>
  <c r="B135" i="19"/>
  <c r="E135" i="19"/>
  <c r="D135" i="19"/>
  <c r="H135" i="19"/>
  <c r="G135" i="18"/>
  <c r="C135" i="18"/>
  <c r="F135" i="18"/>
  <c r="B135" i="18"/>
  <c r="E135" i="18"/>
  <c r="D135" i="18"/>
  <c r="H135" i="18"/>
  <c r="G129" i="18"/>
  <c r="G128" i="18" s="1"/>
  <c r="C129" i="18"/>
  <c r="C128" i="18" s="1"/>
  <c r="F129" i="18"/>
  <c r="F128" i="18" s="1"/>
  <c r="B129" i="18"/>
  <c r="B128" i="18" s="1"/>
  <c r="E129" i="18"/>
  <c r="E128" i="18" s="1"/>
  <c r="D129" i="18"/>
  <c r="D128" i="18" s="1"/>
  <c r="H129" i="18"/>
  <c r="H128" i="18" s="1"/>
  <c r="G137" i="18"/>
  <c r="C137" i="18"/>
  <c r="F137" i="18"/>
  <c r="B137" i="18"/>
  <c r="E137" i="18"/>
  <c r="D137" i="18"/>
  <c r="H137" i="18"/>
  <c r="C155" i="18"/>
  <c r="B153" i="18" a="1"/>
  <c r="B155" i="18"/>
  <c r="B151" i="18" a="1"/>
  <c r="B149" i="18" a="1"/>
  <c r="B147" i="18" a="1"/>
  <c r="B145" i="18" a="1"/>
  <c r="B143" i="18" a="1"/>
  <c r="G131" i="18"/>
  <c r="C131" i="18"/>
  <c r="F131" i="18"/>
  <c r="B131" i="18"/>
  <c r="E131" i="18"/>
  <c r="D131" i="18"/>
  <c r="H131" i="18"/>
  <c r="C139" i="18"/>
  <c r="B139" i="18"/>
  <c r="G133" i="18"/>
  <c r="C133" i="18"/>
  <c r="F133" i="18"/>
  <c r="B133" i="18"/>
  <c r="E133" i="18"/>
  <c r="D133" i="18"/>
  <c r="H133" i="18"/>
  <c r="G135" i="17"/>
  <c r="C135" i="17"/>
  <c r="F135" i="17"/>
  <c r="B135" i="17"/>
  <c r="H135" i="17"/>
  <c r="E135" i="17"/>
  <c r="D135" i="17"/>
  <c r="G129" i="17"/>
  <c r="G128" i="17" s="1"/>
  <c r="C129" i="17"/>
  <c r="C128" i="17" s="1"/>
  <c r="F129" i="17"/>
  <c r="F128" i="17" s="1"/>
  <c r="B129" i="17"/>
  <c r="B128" i="17" s="1"/>
  <c r="H129" i="17"/>
  <c r="H128" i="17" s="1"/>
  <c r="E129" i="17"/>
  <c r="E128" i="17" s="1"/>
  <c r="D129" i="17"/>
  <c r="D128" i="17" s="1"/>
  <c r="G131" i="17"/>
  <c r="C131" i="17"/>
  <c r="F131" i="17"/>
  <c r="B131" i="17"/>
  <c r="H131" i="17"/>
  <c r="E131" i="17"/>
  <c r="D131" i="17"/>
  <c r="G133" i="17"/>
  <c r="C133" i="17"/>
  <c r="F133" i="17"/>
  <c r="B133" i="17"/>
  <c r="H133" i="17"/>
  <c r="E133" i="17"/>
  <c r="D133" i="17"/>
  <c r="C155" i="17"/>
  <c r="B155" i="17"/>
  <c r="B153" i="17" a="1"/>
  <c r="B151" i="17" a="1"/>
  <c r="B149" i="17" a="1"/>
  <c r="B147" i="17" a="1"/>
  <c r="B145" i="17" a="1"/>
  <c r="B143" i="17" a="1"/>
  <c r="C139" i="17"/>
  <c r="B139" i="17"/>
  <c r="G137" i="17"/>
  <c r="C137" i="17"/>
  <c r="F137" i="17"/>
  <c r="B137" i="17"/>
  <c r="H137" i="17"/>
  <c r="E137" i="17"/>
  <c r="D137" i="17"/>
  <c r="B155" i="16"/>
  <c r="B153" i="16" a="1"/>
  <c r="B151" i="16" a="1"/>
  <c r="B149" i="16" a="1"/>
  <c r="B147" i="16" a="1"/>
  <c r="B145" i="16" a="1"/>
  <c r="B143" i="16" a="1"/>
  <c r="C155" i="16"/>
  <c r="C139" i="16"/>
  <c r="B139" i="16"/>
  <c r="G137" i="16"/>
  <c r="C137" i="16"/>
  <c r="F137" i="16"/>
  <c r="B137" i="16"/>
  <c r="H137" i="16"/>
  <c r="E137" i="16"/>
  <c r="D137" i="16"/>
  <c r="G131" i="16"/>
  <c r="C131" i="16"/>
  <c r="F131" i="16"/>
  <c r="B131" i="16"/>
  <c r="H131" i="16"/>
  <c r="E131" i="16"/>
  <c r="D131" i="16"/>
  <c r="G133" i="16"/>
  <c r="C133" i="16"/>
  <c r="F133" i="16"/>
  <c r="B133" i="16"/>
  <c r="H133" i="16"/>
  <c r="E133" i="16"/>
  <c r="D133" i="16"/>
  <c r="G129" i="16"/>
  <c r="G128" i="16" s="1"/>
  <c r="C129" i="16"/>
  <c r="C128" i="16" s="1"/>
  <c r="F129" i="16"/>
  <c r="F128" i="16" s="1"/>
  <c r="B129" i="16"/>
  <c r="B128" i="16" s="1"/>
  <c r="H129" i="16"/>
  <c r="H128" i="16" s="1"/>
  <c r="E129" i="16"/>
  <c r="E128" i="16" s="1"/>
  <c r="D129" i="16"/>
  <c r="D128" i="16" s="1"/>
  <c r="G135" i="16"/>
  <c r="C135" i="16"/>
  <c r="F135" i="16"/>
  <c r="B135" i="16"/>
  <c r="H135" i="16"/>
  <c r="E135" i="16"/>
  <c r="D135" i="16"/>
  <c r="G135" i="15"/>
  <c r="C135" i="15"/>
  <c r="F135" i="15"/>
  <c r="B135" i="15"/>
  <c r="H135" i="15"/>
  <c r="D135" i="15"/>
  <c r="E135" i="15"/>
  <c r="B155" i="15"/>
  <c r="B153" i="15" a="1"/>
  <c r="B151" i="15" a="1"/>
  <c r="B149" i="15" a="1"/>
  <c r="B147" i="15" a="1"/>
  <c r="B145" i="15" a="1"/>
  <c r="C155" i="15"/>
  <c r="B143" i="15" a="1"/>
  <c r="C139" i="15"/>
  <c r="B139" i="15"/>
  <c r="G133" i="15"/>
  <c r="C133" i="15"/>
  <c r="F133" i="15"/>
  <c r="B133" i="15"/>
  <c r="H133" i="15"/>
  <c r="D133" i="15"/>
  <c r="E133" i="15"/>
  <c r="G137" i="15"/>
  <c r="C137" i="15"/>
  <c r="F137" i="15"/>
  <c r="B137" i="15"/>
  <c r="H137" i="15"/>
  <c r="D137" i="15"/>
  <c r="E137" i="15"/>
  <c r="G129" i="15"/>
  <c r="G128" i="15" s="1"/>
  <c r="C129" i="15"/>
  <c r="C128" i="15" s="1"/>
  <c r="F129" i="15"/>
  <c r="F128" i="15" s="1"/>
  <c r="B129" i="15"/>
  <c r="B128" i="15" s="1"/>
  <c r="H129" i="15"/>
  <c r="H128" i="15" s="1"/>
  <c r="D129" i="15"/>
  <c r="D128" i="15" s="1"/>
  <c r="E129" i="15"/>
  <c r="E128" i="15" s="1"/>
  <c r="G131" i="15"/>
  <c r="C131" i="15"/>
  <c r="F131" i="15"/>
  <c r="B131" i="15"/>
  <c r="H131" i="15"/>
  <c r="D131" i="15"/>
  <c r="E131" i="15"/>
  <c r="B133" i="14"/>
  <c r="C133" i="14"/>
  <c r="H133" i="14"/>
  <c r="E133" i="14"/>
  <c r="F133" i="14"/>
  <c r="G133" i="14"/>
  <c r="D129" i="14"/>
  <c r="D128" i="14" s="1"/>
  <c r="C129" i="14"/>
  <c r="C128" i="14" s="1"/>
  <c r="H129" i="14"/>
  <c r="H128" i="14" s="1"/>
  <c r="E129" i="14"/>
  <c r="E128" i="14" s="1"/>
  <c r="H135" i="14"/>
  <c r="G135" i="14"/>
  <c r="G137" i="14"/>
  <c r="E137" i="14"/>
  <c r="B153" i="14" a="1"/>
  <c r="B153" i="14" s="1"/>
  <c r="B145" i="14" a="1"/>
  <c r="F145" i="14" s="1"/>
  <c r="B137" i="14"/>
  <c r="G129" i="14"/>
  <c r="G128" i="14" s="1"/>
  <c r="H137" i="14"/>
  <c r="B129" i="14"/>
  <c r="B128" i="14" s="1"/>
  <c r="C155" i="14"/>
  <c r="B147" i="14" a="1"/>
  <c r="B147" i="14" s="1"/>
  <c r="C139" i="14"/>
  <c r="B149" i="14" a="1"/>
  <c r="B149" i="14" s="1"/>
  <c r="D137" i="14"/>
  <c r="C137" i="14"/>
  <c r="B155" i="14"/>
  <c r="B151" i="14" a="1"/>
  <c r="F151" i="14" s="1"/>
  <c r="B135" i="14"/>
  <c r="E135" i="14"/>
  <c r="B131" i="14"/>
  <c r="B143" i="14" a="1"/>
  <c r="B143" i="14" s="1"/>
  <c r="B142" i="14" s="1"/>
  <c r="E131" i="14"/>
  <c r="F135" i="14"/>
  <c r="D135" i="14"/>
  <c r="H131" i="14"/>
  <c r="F131" i="14"/>
  <c r="D131" i="14"/>
  <c r="C131" i="14"/>
  <c r="B153" i="58" l="1"/>
  <c r="A153" i="58"/>
  <c r="C143" i="58"/>
  <c r="C142" i="58" s="1"/>
  <c r="B143" i="58"/>
  <c r="B142" i="58" s="1"/>
  <c r="A143" i="58"/>
  <c r="A142" i="58" s="1"/>
  <c r="F143" i="58"/>
  <c r="F142" i="58" s="1"/>
  <c r="E143" i="58"/>
  <c r="E142" i="58" s="1"/>
  <c r="D143" i="58"/>
  <c r="D142" i="58" s="1"/>
  <c r="G143" i="58"/>
  <c r="G142" i="58" s="1"/>
  <c r="C145" i="58"/>
  <c r="B145" i="58"/>
  <c r="A145" i="58"/>
  <c r="G145" i="58"/>
  <c r="E145" i="58"/>
  <c r="F145" i="58"/>
  <c r="D145" i="58"/>
  <c r="C147" i="58"/>
  <c r="A147" i="58"/>
  <c r="B147" i="58"/>
  <c r="F147" i="58"/>
  <c r="E147" i="58"/>
  <c r="D147" i="58"/>
  <c r="G147" i="58"/>
  <c r="A165" i="58" a="1"/>
  <c r="A161" i="58" a="1"/>
  <c r="A157" i="58" a="1"/>
  <c r="A159" i="58" a="1"/>
  <c r="A167" i="58" a="1"/>
  <c r="A163" i="58" a="1"/>
  <c r="C149" i="58"/>
  <c r="B149" i="58"/>
  <c r="A149" i="58"/>
  <c r="G149" i="58"/>
  <c r="F149" i="58"/>
  <c r="E149" i="58"/>
  <c r="D149" i="58"/>
  <c r="C151" i="58"/>
  <c r="A151" i="58"/>
  <c r="B151" i="58"/>
  <c r="F151" i="58"/>
  <c r="E151" i="58"/>
  <c r="D151" i="58"/>
  <c r="G151" i="58"/>
  <c r="B153" i="57"/>
  <c r="A153" i="57"/>
  <c r="E151" i="57"/>
  <c r="C151" i="57"/>
  <c r="B151" i="57"/>
  <c r="A151" i="57"/>
  <c r="F151" i="57"/>
  <c r="D151" i="57"/>
  <c r="G151" i="57"/>
  <c r="E143" i="57"/>
  <c r="E142" i="57" s="1"/>
  <c r="C143" i="57"/>
  <c r="C142" i="57" s="1"/>
  <c r="B143" i="57"/>
  <c r="B142" i="57" s="1"/>
  <c r="A143" i="57"/>
  <c r="A142" i="57" s="1"/>
  <c r="F143" i="57"/>
  <c r="F142" i="57" s="1"/>
  <c r="D143" i="57"/>
  <c r="D142" i="57" s="1"/>
  <c r="G143" i="57"/>
  <c r="G142" i="57" s="1"/>
  <c r="A167" i="57" a="1"/>
  <c r="A165" i="57" a="1"/>
  <c r="A161" i="57" a="1"/>
  <c r="A157" i="57" a="1"/>
  <c r="A163" i="57" a="1"/>
  <c r="A159" i="57" a="1"/>
  <c r="E147" i="57"/>
  <c r="C147" i="57"/>
  <c r="B147" i="57"/>
  <c r="A147" i="57"/>
  <c r="F147" i="57"/>
  <c r="D147" i="57"/>
  <c r="G147" i="57"/>
  <c r="E145" i="57"/>
  <c r="C145" i="57"/>
  <c r="B145" i="57"/>
  <c r="A145" i="57"/>
  <c r="G145" i="57"/>
  <c r="F145" i="57"/>
  <c r="D145" i="57"/>
  <c r="E149" i="57"/>
  <c r="C149" i="57"/>
  <c r="B149" i="57"/>
  <c r="A149" i="57"/>
  <c r="G149" i="57"/>
  <c r="F149" i="57"/>
  <c r="D149" i="57"/>
  <c r="A165" i="56" a="1"/>
  <c r="A167" i="56" a="1"/>
  <c r="A159" i="56" a="1"/>
  <c r="A161" i="56" a="1"/>
  <c r="A157" i="56" a="1"/>
  <c r="A163" i="56" a="1"/>
  <c r="E143" i="56"/>
  <c r="E142" i="56" s="1"/>
  <c r="C143" i="56"/>
  <c r="C142" i="56" s="1"/>
  <c r="A143" i="56"/>
  <c r="A142" i="56" s="1"/>
  <c r="G143" i="56"/>
  <c r="G142" i="56" s="1"/>
  <c r="F143" i="56"/>
  <c r="F142" i="56" s="1"/>
  <c r="B143" i="56"/>
  <c r="B142" i="56" s="1"/>
  <c r="D143" i="56"/>
  <c r="D142" i="56" s="1"/>
  <c r="E151" i="56"/>
  <c r="C151" i="56"/>
  <c r="B151" i="56"/>
  <c r="A151" i="56"/>
  <c r="G151" i="56"/>
  <c r="F151" i="56"/>
  <c r="D151" i="56"/>
  <c r="E149" i="56"/>
  <c r="C149" i="56"/>
  <c r="F149" i="56"/>
  <c r="D149" i="56"/>
  <c r="B149" i="56"/>
  <c r="A149" i="56"/>
  <c r="G149" i="56"/>
  <c r="E147" i="56"/>
  <c r="C147" i="56"/>
  <c r="G147" i="56"/>
  <c r="B147" i="56"/>
  <c r="A147" i="56"/>
  <c r="D147" i="56"/>
  <c r="F147" i="56"/>
  <c r="B153" i="56"/>
  <c r="A153" i="56"/>
  <c r="E145" i="56"/>
  <c r="C145" i="56"/>
  <c r="D145" i="56"/>
  <c r="G145" i="56"/>
  <c r="F145" i="56"/>
  <c r="B145" i="56"/>
  <c r="A145" i="56"/>
  <c r="B153" i="55"/>
  <c r="A153" i="55"/>
  <c r="A167" i="55" a="1"/>
  <c r="A165" i="55" a="1"/>
  <c r="A163" i="55" a="1"/>
  <c r="A161" i="55" a="1"/>
  <c r="A159" i="55" a="1"/>
  <c r="A157" i="55" a="1"/>
  <c r="F147" i="55"/>
  <c r="B147" i="55"/>
  <c r="E147" i="55"/>
  <c r="A147" i="55"/>
  <c r="C147" i="55"/>
  <c r="G147" i="55"/>
  <c r="D147" i="55"/>
  <c r="F143" i="55"/>
  <c r="F142" i="55" s="1"/>
  <c r="B143" i="55"/>
  <c r="B142" i="55" s="1"/>
  <c r="E143" i="55"/>
  <c r="E142" i="55" s="1"/>
  <c r="A143" i="55"/>
  <c r="A142" i="55" s="1"/>
  <c r="C143" i="55"/>
  <c r="C142" i="55" s="1"/>
  <c r="G143" i="55"/>
  <c r="G142" i="55" s="1"/>
  <c r="D143" i="55"/>
  <c r="D142" i="55" s="1"/>
  <c r="F149" i="55"/>
  <c r="B149" i="55"/>
  <c r="E149" i="55"/>
  <c r="A149" i="55"/>
  <c r="C149" i="55"/>
  <c r="G149" i="55"/>
  <c r="D149" i="55"/>
  <c r="F145" i="55"/>
  <c r="B145" i="55"/>
  <c r="E145" i="55"/>
  <c r="A145" i="55"/>
  <c r="C145" i="55"/>
  <c r="G145" i="55"/>
  <c r="D145" i="55"/>
  <c r="F151" i="55"/>
  <c r="B151" i="55"/>
  <c r="E151" i="55"/>
  <c r="A151" i="55"/>
  <c r="C151" i="55"/>
  <c r="G151" i="55"/>
  <c r="D151" i="55"/>
  <c r="F149" i="54"/>
  <c r="B149" i="54"/>
  <c r="E149" i="54"/>
  <c r="A149" i="54"/>
  <c r="D149" i="54"/>
  <c r="C149" i="54"/>
  <c r="G149" i="54"/>
  <c r="F143" i="54"/>
  <c r="F142" i="54" s="1"/>
  <c r="B143" i="54"/>
  <c r="B142" i="54" s="1"/>
  <c r="E143" i="54"/>
  <c r="E142" i="54" s="1"/>
  <c r="A143" i="54"/>
  <c r="A142" i="54" s="1"/>
  <c r="D143" i="54"/>
  <c r="D142" i="54" s="1"/>
  <c r="C143" i="54"/>
  <c r="C142" i="54" s="1"/>
  <c r="G143" i="54"/>
  <c r="G142" i="54" s="1"/>
  <c r="F151" i="54"/>
  <c r="B151" i="54"/>
  <c r="E151" i="54"/>
  <c r="A151" i="54"/>
  <c r="D151" i="54"/>
  <c r="C151" i="54"/>
  <c r="G151" i="54"/>
  <c r="F145" i="54"/>
  <c r="B145" i="54"/>
  <c r="E145" i="54"/>
  <c r="A145" i="54"/>
  <c r="D145" i="54"/>
  <c r="G145" i="54"/>
  <c r="C145" i="54"/>
  <c r="B153" i="54"/>
  <c r="A153" i="54"/>
  <c r="A167" i="54" a="1"/>
  <c r="A165" i="54" a="1"/>
  <c r="A163" i="54" a="1"/>
  <c r="A161" i="54" a="1"/>
  <c r="A159" i="54" a="1"/>
  <c r="A157" i="54" a="1"/>
  <c r="F147" i="54"/>
  <c r="B147" i="54"/>
  <c r="E147" i="54"/>
  <c r="A147" i="54"/>
  <c r="D147" i="54"/>
  <c r="C147" i="54"/>
  <c r="G147" i="54"/>
  <c r="F149" i="53"/>
  <c r="B149" i="53"/>
  <c r="E149" i="53"/>
  <c r="A149" i="53"/>
  <c r="G149" i="53"/>
  <c r="D149" i="53"/>
  <c r="C149" i="53"/>
  <c r="B153" i="53"/>
  <c r="A153" i="53"/>
  <c r="F143" i="53"/>
  <c r="F142" i="53" s="1"/>
  <c r="B143" i="53"/>
  <c r="B142" i="53" s="1"/>
  <c r="E143" i="53"/>
  <c r="E142" i="53" s="1"/>
  <c r="A143" i="53"/>
  <c r="A142" i="53" s="1"/>
  <c r="G143" i="53"/>
  <c r="G142" i="53" s="1"/>
  <c r="D143" i="53"/>
  <c r="D142" i="53" s="1"/>
  <c r="C143" i="53"/>
  <c r="C142" i="53" s="1"/>
  <c r="A167" i="53" a="1"/>
  <c r="A165" i="53" a="1"/>
  <c r="A161" i="53" a="1"/>
  <c r="A157" i="53" a="1"/>
  <c r="A163" i="53" a="1"/>
  <c r="A159" i="53" a="1"/>
  <c r="F147" i="53"/>
  <c r="B147" i="53"/>
  <c r="E147" i="53"/>
  <c r="A147" i="53"/>
  <c r="G147" i="53"/>
  <c r="D147" i="53"/>
  <c r="C147" i="53"/>
  <c r="F151" i="53"/>
  <c r="B151" i="53"/>
  <c r="E151" i="53"/>
  <c r="A151" i="53"/>
  <c r="G151" i="53"/>
  <c r="D151" i="53"/>
  <c r="C151" i="53"/>
  <c r="F145" i="53"/>
  <c r="B145" i="53"/>
  <c r="E145" i="53"/>
  <c r="A145" i="53"/>
  <c r="G145" i="53"/>
  <c r="C145" i="53"/>
  <c r="D145" i="53"/>
  <c r="A167" i="52" a="1"/>
  <c r="A165" i="52" a="1"/>
  <c r="A157" i="52" a="1"/>
  <c r="A159" i="52" a="1"/>
  <c r="A163" i="52" a="1"/>
  <c r="A161" i="52" a="1"/>
  <c r="F143" i="52"/>
  <c r="F142" i="52" s="1"/>
  <c r="B143" i="52"/>
  <c r="B142" i="52" s="1"/>
  <c r="E143" i="52"/>
  <c r="E142" i="52" s="1"/>
  <c r="A143" i="52"/>
  <c r="A142" i="52" s="1"/>
  <c r="C143" i="52"/>
  <c r="C142" i="52" s="1"/>
  <c r="G143" i="52"/>
  <c r="G142" i="52" s="1"/>
  <c r="D143" i="52"/>
  <c r="D142" i="52" s="1"/>
  <c r="F151" i="52"/>
  <c r="B151" i="52"/>
  <c r="E151" i="52"/>
  <c r="A151" i="52"/>
  <c r="C151" i="52"/>
  <c r="G151" i="52"/>
  <c r="D151" i="52"/>
  <c r="F145" i="52"/>
  <c r="B145" i="52"/>
  <c r="E145" i="52"/>
  <c r="A145" i="52"/>
  <c r="C145" i="52"/>
  <c r="G145" i="52"/>
  <c r="D145" i="52"/>
  <c r="B153" i="52"/>
  <c r="A153" i="52"/>
  <c r="F147" i="52"/>
  <c r="B147" i="52"/>
  <c r="E147" i="52"/>
  <c r="A147" i="52"/>
  <c r="C147" i="52"/>
  <c r="G147" i="52"/>
  <c r="D147" i="52"/>
  <c r="F149" i="52"/>
  <c r="B149" i="52"/>
  <c r="E149" i="52"/>
  <c r="A149" i="52"/>
  <c r="C149" i="52"/>
  <c r="G149" i="52"/>
  <c r="D149" i="52"/>
  <c r="G143" i="51"/>
  <c r="G142" i="51" s="1"/>
  <c r="C143" i="51"/>
  <c r="C142" i="51" s="1"/>
  <c r="F143" i="51"/>
  <c r="F142" i="51" s="1"/>
  <c r="B143" i="51"/>
  <c r="B142" i="51" s="1"/>
  <c r="E143" i="51"/>
  <c r="E142" i="51" s="1"/>
  <c r="H143" i="51"/>
  <c r="H142" i="51" s="1"/>
  <c r="D143" i="51"/>
  <c r="D142" i="51" s="1"/>
  <c r="G151" i="51"/>
  <c r="C151" i="51"/>
  <c r="F151" i="51"/>
  <c r="B151" i="51"/>
  <c r="E151" i="51"/>
  <c r="H151" i="51"/>
  <c r="D151" i="51"/>
  <c r="B167" i="51" a="1"/>
  <c r="B165" i="51" a="1"/>
  <c r="B163" i="51" a="1"/>
  <c r="B161" i="51" a="1"/>
  <c r="B159" i="51" a="1"/>
  <c r="B157" i="51" a="1"/>
  <c r="G145" i="51"/>
  <c r="C145" i="51"/>
  <c r="F145" i="51"/>
  <c r="B145" i="51"/>
  <c r="E145" i="51"/>
  <c r="D145" i="51"/>
  <c r="H145" i="51"/>
  <c r="C153" i="51"/>
  <c r="B153" i="51"/>
  <c r="G147" i="51"/>
  <c r="C147" i="51"/>
  <c r="F147" i="51"/>
  <c r="B147" i="51"/>
  <c r="E147" i="51"/>
  <c r="H147" i="51"/>
  <c r="D147" i="51"/>
  <c r="G149" i="51"/>
  <c r="C149" i="51"/>
  <c r="F149" i="51"/>
  <c r="B149" i="51"/>
  <c r="E149" i="51"/>
  <c r="D149" i="51"/>
  <c r="H149" i="51"/>
  <c r="B153" i="50"/>
  <c r="A153" i="50"/>
  <c r="F145" i="50"/>
  <c r="B145" i="50"/>
  <c r="E145" i="50"/>
  <c r="A145" i="50"/>
  <c r="G145" i="50"/>
  <c r="D145" i="50"/>
  <c r="C145" i="50"/>
  <c r="A167" i="50" a="1"/>
  <c r="A165" i="50" a="1"/>
  <c r="A163" i="50" a="1"/>
  <c r="A161" i="50" a="1"/>
  <c r="A159" i="50" a="1"/>
  <c r="A157" i="50" a="1"/>
  <c r="F143" i="50"/>
  <c r="F142" i="50" s="1"/>
  <c r="B143" i="50"/>
  <c r="B142" i="50" s="1"/>
  <c r="E143" i="50"/>
  <c r="E142" i="50" s="1"/>
  <c r="A143" i="50"/>
  <c r="A142" i="50" s="1"/>
  <c r="G143" i="50"/>
  <c r="G142" i="50" s="1"/>
  <c r="D143" i="50"/>
  <c r="D142" i="50" s="1"/>
  <c r="C143" i="50"/>
  <c r="C142" i="50" s="1"/>
  <c r="F149" i="50"/>
  <c r="B149" i="50"/>
  <c r="E149" i="50"/>
  <c r="A149" i="50"/>
  <c r="D149" i="50"/>
  <c r="C149" i="50"/>
  <c r="G149" i="50"/>
  <c r="F147" i="50"/>
  <c r="B147" i="50"/>
  <c r="E147" i="50"/>
  <c r="A147" i="50"/>
  <c r="G147" i="50"/>
  <c r="D147" i="50"/>
  <c r="C147" i="50"/>
  <c r="F151" i="50"/>
  <c r="B151" i="50"/>
  <c r="E151" i="50"/>
  <c r="A151" i="50"/>
  <c r="D151" i="50"/>
  <c r="G151" i="50"/>
  <c r="C151" i="50"/>
  <c r="E143" i="49"/>
  <c r="E142" i="49" s="1"/>
  <c r="A143" i="49"/>
  <c r="A142" i="49" s="1"/>
  <c r="F143" i="49"/>
  <c r="F142" i="49" s="1"/>
  <c r="C143" i="49"/>
  <c r="C142" i="49" s="1"/>
  <c r="G143" i="49"/>
  <c r="G142" i="49" s="1"/>
  <c r="D143" i="49"/>
  <c r="D142" i="49" s="1"/>
  <c r="B143" i="49"/>
  <c r="B142" i="49" s="1"/>
  <c r="E145" i="49"/>
  <c r="A145" i="49"/>
  <c r="C145" i="49"/>
  <c r="F145" i="49"/>
  <c r="B145" i="49"/>
  <c r="G145" i="49"/>
  <c r="D145" i="49"/>
  <c r="E147" i="49"/>
  <c r="A147" i="49"/>
  <c r="F147" i="49"/>
  <c r="C147" i="49"/>
  <c r="D147" i="49"/>
  <c r="B147" i="49"/>
  <c r="G147" i="49"/>
  <c r="E149" i="49"/>
  <c r="A149" i="49"/>
  <c r="C149" i="49"/>
  <c r="F149" i="49"/>
  <c r="G149" i="49"/>
  <c r="D149" i="49"/>
  <c r="B149" i="49"/>
  <c r="E151" i="49"/>
  <c r="A151" i="49"/>
  <c r="F151" i="49"/>
  <c r="C151" i="49"/>
  <c r="G151" i="49"/>
  <c r="D151" i="49"/>
  <c r="B151" i="49"/>
  <c r="A167" i="49" a="1"/>
  <c r="A165" i="49" a="1"/>
  <c r="A157" i="49" a="1"/>
  <c r="A159" i="49" a="1"/>
  <c r="A161" i="49" a="1"/>
  <c r="A163" i="49" a="1"/>
  <c r="A153" i="49"/>
  <c r="B153" i="49"/>
  <c r="B167" i="48" a="1"/>
  <c r="B165" i="48" a="1"/>
  <c r="B163" i="48" a="1"/>
  <c r="B161" i="48" a="1"/>
  <c r="B159" i="48" a="1"/>
  <c r="B157" i="48" a="1"/>
  <c r="G149" i="48"/>
  <c r="C149" i="48"/>
  <c r="E149" i="48"/>
  <c r="H149" i="48"/>
  <c r="B149" i="48"/>
  <c r="F149" i="48"/>
  <c r="D149" i="48"/>
  <c r="G151" i="48"/>
  <c r="C151" i="48"/>
  <c r="H151" i="48"/>
  <c r="B151" i="48"/>
  <c r="E151" i="48"/>
  <c r="F151" i="48"/>
  <c r="D151" i="48"/>
  <c r="G147" i="48"/>
  <c r="C147" i="48"/>
  <c r="H147" i="48"/>
  <c r="B147" i="48"/>
  <c r="E147" i="48"/>
  <c r="D147" i="48"/>
  <c r="F147" i="48"/>
  <c r="G143" i="48"/>
  <c r="G142" i="48" s="1"/>
  <c r="C143" i="48"/>
  <c r="C142" i="48" s="1"/>
  <c r="H143" i="48"/>
  <c r="H142" i="48" s="1"/>
  <c r="B143" i="48"/>
  <c r="B142" i="48" s="1"/>
  <c r="E143" i="48"/>
  <c r="E142" i="48" s="1"/>
  <c r="F143" i="48"/>
  <c r="F142" i="48" s="1"/>
  <c r="D143" i="48"/>
  <c r="D142" i="48" s="1"/>
  <c r="G145" i="48"/>
  <c r="C145" i="48"/>
  <c r="E145" i="48"/>
  <c r="H145" i="48"/>
  <c r="B145" i="48"/>
  <c r="F145" i="48"/>
  <c r="D145" i="48"/>
  <c r="C153" i="48"/>
  <c r="B153" i="48"/>
  <c r="G143" i="47"/>
  <c r="G142" i="47" s="1"/>
  <c r="E143" i="47"/>
  <c r="E142" i="47" s="1"/>
  <c r="D143" i="47"/>
  <c r="D142" i="47" s="1"/>
  <c r="H143" i="47"/>
  <c r="H142" i="47" s="1"/>
  <c r="F143" i="47"/>
  <c r="F142" i="47" s="1"/>
  <c r="C143" i="47"/>
  <c r="C142" i="47" s="1"/>
  <c r="B143" i="47"/>
  <c r="B142" i="47" s="1"/>
  <c r="G145" i="47"/>
  <c r="E145" i="47"/>
  <c r="D145" i="47"/>
  <c r="H145" i="47"/>
  <c r="F145" i="47"/>
  <c r="C145" i="47"/>
  <c r="B145" i="47"/>
  <c r="G147" i="47"/>
  <c r="E147" i="47"/>
  <c r="D147" i="47"/>
  <c r="H147" i="47"/>
  <c r="F147" i="47"/>
  <c r="C147" i="47"/>
  <c r="B147" i="47"/>
  <c r="G149" i="47"/>
  <c r="E149" i="47"/>
  <c r="D149" i="47"/>
  <c r="H149" i="47"/>
  <c r="F149" i="47"/>
  <c r="C149" i="47"/>
  <c r="B149" i="47"/>
  <c r="G151" i="47"/>
  <c r="E151" i="47"/>
  <c r="D151" i="47"/>
  <c r="H151" i="47"/>
  <c r="F151" i="47"/>
  <c r="C151" i="47"/>
  <c r="B151" i="47"/>
  <c r="B167" i="47" a="1"/>
  <c r="B165" i="47" a="1"/>
  <c r="B163" i="47" a="1"/>
  <c r="B161" i="47" a="1"/>
  <c r="B159" i="47" a="1"/>
  <c r="B157" i="47" a="1"/>
  <c r="C153" i="47"/>
  <c r="B153" i="47"/>
  <c r="F145" i="46"/>
  <c r="D145" i="46"/>
  <c r="C145" i="46"/>
  <c r="B145" i="46"/>
  <c r="H145" i="46"/>
  <c r="G145" i="46"/>
  <c r="E145" i="46"/>
  <c r="F143" i="46"/>
  <c r="F142" i="46" s="1"/>
  <c r="D143" i="46"/>
  <c r="D142" i="46" s="1"/>
  <c r="B143" i="46"/>
  <c r="B142" i="46" s="1"/>
  <c r="C143" i="46"/>
  <c r="C142" i="46" s="1"/>
  <c r="H143" i="46"/>
  <c r="H142" i="46" s="1"/>
  <c r="G143" i="46"/>
  <c r="G142" i="46" s="1"/>
  <c r="E143" i="46"/>
  <c r="E142" i="46" s="1"/>
  <c r="B167" i="46" a="1"/>
  <c r="B165" i="46" a="1"/>
  <c r="B163" i="46" a="1"/>
  <c r="B161" i="46" a="1"/>
  <c r="B159" i="46" a="1"/>
  <c r="B157" i="46" a="1"/>
  <c r="F147" i="46"/>
  <c r="D147" i="46"/>
  <c r="C147" i="46"/>
  <c r="B147" i="46"/>
  <c r="E147" i="46"/>
  <c r="H147" i="46"/>
  <c r="G147" i="46"/>
  <c r="F149" i="46"/>
  <c r="D149" i="46"/>
  <c r="B149" i="46"/>
  <c r="C149" i="46"/>
  <c r="E149" i="46"/>
  <c r="H149" i="46"/>
  <c r="G149" i="46"/>
  <c r="F151" i="46"/>
  <c r="D151" i="46"/>
  <c r="C151" i="46"/>
  <c r="B151" i="46"/>
  <c r="H151" i="46"/>
  <c r="G151" i="46"/>
  <c r="E151" i="46"/>
  <c r="C153" i="46"/>
  <c r="B153" i="46"/>
  <c r="B167" i="45" a="1"/>
  <c r="B165" i="45" a="1"/>
  <c r="B163" i="45" a="1"/>
  <c r="B161" i="45" a="1"/>
  <c r="B159" i="45" a="1"/>
  <c r="B157" i="45" a="1"/>
  <c r="G143" i="45"/>
  <c r="G142" i="45" s="1"/>
  <c r="E143" i="45"/>
  <c r="E142" i="45" s="1"/>
  <c r="D143" i="45"/>
  <c r="D142" i="45" s="1"/>
  <c r="C143" i="45"/>
  <c r="C142" i="45" s="1"/>
  <c r="B143" i="45"/>
  <c r="B142" i="45" s="1"/>
  <c r="H143" i="45"/>
  <c r="H142" i="45" s="1"/>
  <c r="F143" i="45"/>
  <c r="F142" i="45" s="1"/>
  <c r="G149" i="45"/>
  <c r="E149" i="45"/>
  <c r="D149" i="45"/>
  <c r="C149" i="45"/>
  <c r="B149" i="45"/>
  <c r="F149" i="45"/>
  <c r="H149" i="45"/>
  <c r="G145" i="45"/>
  <c r="E145" i="45"/>
  <c r="D145" i="45"/>
  <c r="C145" i="45"/>
  <c r="B145" i="45"/>
  <c r="H145" i="45"/>
  <c r="F145" i="45"/>
  <c r="G151" i="45"/>
  <c r="E151" i="45"/>
  <c r="D151" i="45"/>
  <c r="C151" i="45"/>
  <c r="B151" i="45"/>
  <c r="H151" i="45"/>
  <c r="F151" i="45"/>
  <c r="G147" i="45"/>
  <c r="E147" i="45"/>
  <c r="D147" i="45"/>
  <c r="C147" i="45"/>
  <c r="B147" i="45"/>
  <c r="F147" i="45"/>
  <c r="H147" i="45"/>
  <c r="C153" i="45"/>
  <c r="B153" i="45"/>
  <c r="G143" i="43"/>
  <c r="G142" i="43" s="1"/>
  <c r="F143" i="43"/>
  <c r="F142" i="43" s="1"/>
  <c r="D143" i="43"/>
  <c r="D142" i="43" s="1"/>
  <c r="H143" i="43"/>
  <c r="H142" i="43" s="1"/>
  <c r="E143" i="43"/>
  <c r="E142" i="43" s="1"/>
  <c r="C143" i="43"/>
  <c r="C142" i="43" s="1"/>
  <c r="B143" i="43"/>
  <c r="B142" i="43" s="1"/>
  <c r="G149" i="43"/>
  <c r="F149" i="43"/>
  <c r="D149" i="43"/>
  <c r="C149" i="43"/>
  <c r="H149" i="43"/>
  <c r="E149" i="43"/>
  <c r="B149" i="43"/>
  <c r="G147" i="43"/>
  <c r="F147" i="43"/>
  <c r="D147" i="43"/>
  <c r="H147" i="43"/>
  <c r="E147" i="43"/>
  <c r="C147" i="43"/>
  <c r="B147" i="43"/>
  <c r="B163" i="43" a="1"/>
  <c r="B165" i="43" a="1"/>
  <c r="B167" i="43" a="1"/>
  <c r="B159" i="43" a="1"/>
  <c r="B161" i="43" a="1"/>
  <c r="B157" i="43" a="1"/>
  <c r="G151" i="43"/>
  <c r="F151" i="43"/>
  <c r="D151" i="43"/>
  <c r="C151" i="43"/>
  <c r="B151" i="43"/>
  <c r="H151" i="43"/>
  <c r="E151" i="43"/>
  <c r="C153" i="43"/>
  <c r="B153" i="43"/>
  <c r="G145" i="43"/>
  <c r="F145" i="43"/>
  <c r="D145" i="43"/>
  <c r="B145" i="43"/>
  <c r="E145" i="43"/>
  <c r="H145" i="43"/>
  <c r="C145" i="43"/>
  <c r="C151" i="42"/>
  <c r="B151" i="42"/>
  <c r="H151" i="42"/>
  <c r="G151" i="42"/>
  <c r="F151" i="42"/>
  <c r="E151" i="42"/>
  <c r="D151" i="42"/>
  <c r="B167" i="42" a="1"/>
  <c r="B159" i="42" a="1"/>
  <c r="B163" i="42" a="1"/>
  <c r="B161" i="42" a="1"/>
  <c r="B157" i="42" a="1"/>
  <c r="B165" i="42" a="1"/>
  <c r="C143" i="42"/>
  <c r="C142" i="42" s="1"/>
  <c r="B143" i="42"/>
  <c r="B142" i="42" s="1"/>
  <c r="H143" i="42"/>
  <c r="H142" i="42" s="1"/>
  <c r="G143" i="42"/>
  <c r="G142" i="42" s="1"/>
  <c r="F143" i="42"/>
  <c r="F142" i="42" s="1"/>
  <c r="E143" i="42"/>
  <c r="E142" i="42" s="1"/>
  <c r="D143" i="42"/>
  <c r="D142" i="42" s="1"/>
  <c r="C147" i="42"/>
  <c r="B147" i="42"/>
  <c r="H147" i="42"/>
  <c r="F147" i="42"/>
  <c r="E147" i="42"/>
  <c r="D147" i="42"/>
  <c r="G147" i="42"/>
  <c r="C145" i="42"/>
  <c r="B145" i="42"/>
  <c r="H145" i="42"/>
  <c r="G145" i="42"/>
  <c r="F145" i="42"/>
  <c r="E145" i="42"/>
  <c r="D145" i="42"/>
  <c r="C153" i="42"/>
  <c r="B153" i="42"/>
  <c r="C149" i="42"/>
  <c r="B149" i="42"/>
  <c r="H149" i="42"/>
  <c r="F149" i="42"/>
  <c r="G149" i="42"/>
  <c r="E149" i="42"/>
  <c r="D149" i="42"/>
  <c r="G147" i="41"/>
  <c r="C147" i="41"/>
  <c r="F147" i="41"/>
  <c r="B147" i="41"/>
  <c r="H147" i="41"/>
  <c r="E147" i="41"/>
  <c r="D147" i="41"/>
  <c r="C153" i="41"/>
  <c r="B153" i="41"/>
  <c r="G145" i="41"/>
  <c r="C145" i="41"/>
  <c r="F145" i="41"/>
  <c r="B145" i="41"/>
  <c r="H145" i="41"/>
  <c r="E145" i="41"/>
  <c r="D145" i="41"/>
  <c r="B167" i="41" a="1"/>
  <c r="B165" i="41" a="1"/>
  <c r="B163" i="41" a="1"/>
  <c r="B161" i="41" a="1"/>
  <c r="B159" i="41" a="1"/>
  <c r="B157" i="41" a="1"/>
  <c r="G151" i="41"/>
  <c r="C151" i="41"/>
  <c r="F151" i="41"/>
  <c r="B151" i="41"/>
  <c r="E151" i="41"/>
  <c r="H151" i="41"/>
  <c r="D151" i="41"/>
  <c r="G143" i="41"/>
  <c r="G142" i="41" s="1"/>
  <c r="C143" i="41"/>
  <c r="C142" i="41" s="1"/>
  <c r="F143" i="41"/>
  <c r="F142" i="41" s="1"/>
  <c r="B143" i="41"/>
  <c r="B142" i="41" s="1"/>
  <c r="H143" i="41"/>
  <c r="H142" i="41" s="1"/>
  <c r="E143" i="41"/>
  <c r="E142" i="41" s="1"/>
  <c r="D143" i="41"/>
  <c r="D142" i="41" s="1"/>
  <c r="G149" i="41"/>
  <c r="C149" i="41"/>
  <c r="F149" i="41"/>
  <c r="B149" i="41"/>
  <c r="E149" i="41"/>
  <c r="D149" i="41"/>
  <c r="H149" i="41"/>
  <c r="G143" i="40"/>
  <c r="G142" i="40" s="1"/>
  <c r="C143" i="40"/>
  <c r="C142" i="40" s="1"/>
  <c r="F143" i="40"/>
  <c r="F142" i="40" s="1"/>
  <c r="B143" i="40"/>
  <c r="B142" i="40" s="1"/>
  <c r="H143" i="40"/>
  <c r="H142" i="40" s="1"/>
  <c r="D143" i="40"/>
  <c r="D142" i="40" s="1"/>
  <c r="E143" i="40"/>
  <c r="E142" i="40" s="1"/>
  <c r="G149" i="40"/>
  <c r="C149" i="40"/>
  <c r="F149" i="40"/>
  <c r="B149" i="40"/>
  <c r="E149" i="40"/>
  <c r="D149" i="40"/>
  <c r="H149" i="40"/>
  <c r="G151" i="40"/>
  <c r="C151" i="40"/>
  <c r="F151" i="40"/>
  <c r="B151" i="40"/>
  <c r="E151" i="40"/>
  <c r="H151" i="40"/>
  <c r="D151" i="40"/>
  <c r="G145" i="40"/>
  <c r="C145" i="40"/>
  <c r="F145" i="40"/>
  <c r="B145" i="40"/>
  <c r="E145" i="40"/>
  <c r="D145" i="40"/>
  <c r="H145" i="40"/>
  <c r="C153" i="40"/>
  <c r="B153" i="40"/>
  <c r="B167" i="40" a="1"/>
  <c r="B165" i="40" a="1"/>
  <c r="B163" i="40" a="1"/>
  <c r="B161" i="40" a="1"/>
  <c r="B159" i="40" a="1"/>
  <c r="B157" i="40" a="1"/>
  <c r="G147" i="40"/>
  <c r="C147" i="40"/>
  <c r="F147" i="40"/>
  <c r="B147" i="40"/>
  <c r="E147" i="40"/>
  <c r="H147" i="40"/>
  <c r="D147" i="40"/>
  <c r="B167" i="39" a="1"/>
  <c r="B165" i="39" a="1"/>
  <c r="B163" i="39" a="1"/>
  <c r="B161" i="39" a="1"/>
  <c r="B159" i="39" a="1"/>
  <c r="B157" i="39" a="1"/>
  <c r="G143" i="39"/>
  <c r="G142" i="39" s="1"/>
  <c r="C143" i="39"/>
  <c r="C142" i="39" s="1"/>
  <c r="F143" i="39"/>
  <c r="F142" i="39" s="1"/>
  <c r="B143" i="39"/>
  <c r="B142" i="39" s="1"/>
  <c r="E143" i="39"/>
  <c r="E142" i="39" s="1"/>
  <c r="H143" i="39"/>
  <c r="H142" i="39" s="1"/>
  <c r="D143" i="39"/>
  <c r="D142" i="39" s="1"/>
  <c r="G151" i="39"/>
  <c r="C151" i="39"/>
  <c r="F151" i="39"/>
  <c r="B151" i="39"/>
  <c r="E151" i="39"/>
  <c r="H151" i="39"/>
  <c r="D151" i="39"/>
  <c r="G145" i="39"/>
  <c r="C145" i="39"/>
  <c r="F145" i="39"/>
  <c r="B145" i="39"/>
  <c r="E145" i="39"/>
  <c r="D145" i="39"/>
  <c r="H145" i="39"/>
  <c r="C153" i="39"/>
  <c r="B153" i="39"/>
  <c r="G147" i="39"/>
  <c r="C147" i="39"/>
  <c r="F147" i="39"/>
  <c r="B147" i="39"/>
  <c r="E147" i="39"/>
  <c r="H147" i="39"/>
  <c r="D147" i="39"/>
  <c r="G149" i="39"/>
  <c r="C149" i="39"/>
  <c r="F149" i="39"/>
  <c r="B149" i="39"/>
  <c r="E149" i="39"/>
  <c r="D149" i="39"/>
  <c r="H149" i="39"/>
  <c r="G145" i="38"/>
  <c r="C145" i="38"/>
  <c r="F145" i="38"/>
  <c r="B145" i="38"/>
  <c r="H145" i="38"/>
  <c r="D145" i="38"/>
  <c r="E145" i="38"/>
  <c r="G149" i="38"/>
  <c r="C149" i="38"/>
  <c r="F149" i="38"/>
  <c r="B149" i="38"/>
  <c r="E149" i="38"/>
  <c r="D149" i="38"/>
  <c r="H149" i="38"/>
  <c r="B167" i="38" a="1"/>
  <c r="B165" i="38" a="1"/>
  <c r="B163" i="38" a="1"/>
  <c r="B161" i="38" a="1"/>
  <c r="B159" i="38" a="1"/>
  <c r="B157" i="38" a="1"/>
  <c r="G143" i="38"/>
  <c r="G142" i="38" s="1"/>
  <c r="C143" i="38"/>
  <c r="C142" i="38" s="1"/>
  <c r="F143" i="38"/>
  <c r="F142" i="38" s="1"/>
  <c r="B143" i="38"/>
  <c r="B142" i="38" s="1"/>
  <c r="H143" i="38"/>
  <c r="H142" i="38" s="1"/>
  <c r="D143" i="38"/>
  <c r="D142" i="38" s="1"/>
  <c r="E143" i="38"/>
  <c r="E142" i="38" s="1"/>
  <c r="G151" i="38"/>
  <c r="C151" i="38"/>
  <c r="F151" i="38"/>
  <c r="B151" i="38"/>
  <c r="E151" i="38"/>
  <c r="D151" i="38"/>
  <c r="H151" i="38"/>
  <c r="G147" i="38"/>
  <c r="C147" i="38"/>
  <c r="F147" i="38"/>
  <c r="B147" i="38"/>
  <c r="E147" i="38"/>
  <c r="D147" i="38"/>
  <c r="H147" i="38"/>
  <c r="C153" i="38"/>
  <c r="B153" i="38"/>
  <c r="G143" i="37"/>
  <c r="G142" i="37" s="1"/>
  <c r="C143" i="37"/>
  <c r="C142" i="37" s="1"/>
  <c r="F143" i="37"/>
  <c r="F142" i="37" s="1"/>
  <c r="B143" i="37"/>
  <c r="B142" i="37" s="1"/>
  <c r="D143" i="37"/>
  <c r="D142" i="37" s="1"/>
  <c r="H143" i="37"/>
  <c r="H142" i="37" s="1"/>
  <c r="E143" i="37"/>
  <c r="E142" i="37" s="1"/>
  <c r="G147" i="37"/>
  <c r="C147" i="37"/>
  <c r="F147" i="37"/>
  <c r="B147" i="37"/>
  <c r="D147" i="37"/>
  <c r="H147" i="37"/>
  <c r="E147" i="37"/>
  <c r="G151" i="37"/>
  <c r="C151" i="37"/>
  <c r="F151" i="37"/>
  <c r="B151" i="37"/>
  <c r="E151" i="37"/>
  <c r="D151" i="37"/>
  <c r="H151" i="37"/>
  <c r="B167" i="37" a="1"/>
  <c r="B165" i="37" a="1"/>
  <c r="B163" i="37" a="1"/>
  <c r="B161" i="37" a="1"/>
  <c r="B159" i="37" a="1"/>
  <c r="B157" i="37" a="1"/>
  <c r="G145" i="37"/>
  <c r="C145" i="37"/>
  <c r="F145" i="37"/>
  <c r="B145" i="37"/>
  <c r="D145" i="37"/>
  <c r="H145" i="37"/>
  <c r="E145" i="37"/>
  <c r="C153" i="37"/>
  <c r="B153" i="37"/>
  <c r="G149" i="37"/>
  <c r="C149" i="37"/>
  <c r="F149" i="37"/>
  <c r="B149" i="37"/>
  <c r="E149" i="37"/>
  <c r="D149" i="37"/>
  <c r="H149" i="37"/>
  <c r="G149" i="36"/>
  <c r="C149" i="36"/>
  <c r="E149" i="36"/>
  <c r="B149" i="36"/>
  <c r="H149" i="36"/>
  <c r="F149" i="36"/>
  <c r="D149" i="36"/>
  <c r="G143" i="36"/>
  <c r="G142" i="36" s="1"/>
  <c r="C143" i="36"/>
  <c r="C142" i="36" s="1"/>
  <c r="E143" i="36"/>
  <c r="E142" i="36" s="1"/>
  <c r="B143" i="36"/>
  <c r="B142" i="36" s="1"/>
  <c r="H143" i="36"/>
  <c r="H142" i="36" s="1"/>
  <c r="F143" i="36"/>
  <c r="F142" i="36" s="1"/>
  <c r="D143" i="36"/>
  <c r="D142" i="36" s="1"/>
  <c r="G151" i="36"/>
  <c r="C151" i="36"/>
  <c r="E151" i="36"/>
  <c r="B151" i="36"/>
  <c r="H151" i="36"/>
  <c r="F151" i="36"/>
  <c r="D151" i="36"/>
  <c r="G145" i="36"/>
  <c r="C145" i="36"/>
  <c r="E145" i="36"/>
  <c r="B145" i="36"/>
  <c r="H145" i="36"/>
  <c r="F145" i="36"/>
  <c r="D145" i="36"/>
  <c r="C153" i="36"/>
  <c r="B153" i="36"/>
  <c r="B167" i="36" a="1"/>
  <c r="B165" i="36" a="1"/>
  <c r="B163" i="36" a="1"/>
  <c r="B161" i="36" a="1"/>
  <c r="B159" i="36" a="1"/>
  <c r="B157" i="36" a="1"/>
  <c r="G147" i="36"/>
  <c r="C147" i="36"/>
  <c r="E147" i="36"/>
  <c r="B147" i="36"/>
  <c r="H147" i="36"/>
  <c r="F147" i="36"/>
  <c r="D147" i="36"/>
  <c r="B167" i="35" a="1"/>
  <c r="B165" i="35" a="1"/>
  <c r="B163" i="35" a="1"/>
  <c r="B161" i="35" a="1"/>
  <c r="B159" i="35" a="1"/>
  <c r="B157" i="35" a="1"/>
  <c r="G143" i="35"/>
  <c r="G142" i="35" s="1"/>
  <c r="C143" i="35"/>
  <c r="C142" i="35" s="1"/>
  <c r="E143" i="35"/>
  <c r="E142" i="35" s="1"/>
  <c r="F143" i="35"/>
  <c r="F142" i="35" s="1"/>
  <c r="D143" i="35"/>
  <c r="D142" i="35" s="1"/>
  <c r="B143" i="35"/>
  <c r="B142" i="35" s="1"/>
  <c r="H143" i="35"/>
  <c r="H142" i="35" s="1"/>
  <c r="G151" i="35"/>
  <c r="C151" i="35"/>
  <c r="E151" i="35"/>
  <c r="F151" i="35"/>
  <c r="D151" i="35"/>
  <c r="B151" i="35"/>
  <c r="H151" i="35"/>
  <c r="G145" i="35"/>
  <c r="C145" i="35"/>
  <c r="E145" i="35"/>
  <c r="F145" i="35"/>
  <c r="D145" i="35"/>
  <c r="B145" i="35"/>
  <c r="H145" i="35"/>
  <c r="C153" i="35"/>
  <c r="B153" i="35"/>
  <c r="G147" i="35"/>
  <c r="C147" i="35"/>
  <c r="E147" i="35"/>
  <c r="F147" i="35"/>
  <c r="D147" i="35"/>
  <c r="B147" i="35"/>
  <c r="H147" i="35"/>
  <c r="G149" i="35"/>
  <c r="C149" i="35"/>
  <c r="E149" i="35"/>
  <c r="F149" i="35"/>
  <c r="D149" i="35"/>
  <c r="B149" i="35"/>
  <c r="H149" i="35"/>
  <c r="G143" i="34"/>
  <c r="G142" i="34" s="1"/>
  <c r="C143" i="34"/>
  <c r="C142" i="34" s="1"/>
  <c r="F143" i="34"/>
  <c r="F142" i="34" s="1"/>
  <c r="B143" i="34"/>
  <c r="B142" i="34" s="1"/>
  <c r="H143" i="34"/>
  <c r="H142" i="34" s="1"/>
  <c r="E143" i="34"/>
  <c r="E142" i="34" s="1"/>
  <c r="D143" i="34"/>
  <c r="D142" i="34" s="1"/>
  <c r="G149" i="34"/>
  <c r="C149" i="34"/>
  <c r="F149" i="34"/>
  <c r="B149" i="34"/>
  <c r="E149" i="34"/>
  <c r="D149" i="34"/>
  <c r="H149" i="34"/>
  <c r="B167" i="34" a="1"/>
  <c r="B165" i="34" a="1"/>
  <c r="B163" i="34" a="1"/>
  <c r="B161" i="34" a="1"/>
  <c r="B159" i="34" a="1"/>
  <c r="B157" i="34" a="1"/>
  <c r="G145" i="34"/>
  <c r="C145" i="34"/>
  <c r="F145" i="34"/>
  <c r="B145" i="34"/>
  <c r="H145" i="34"/>
  <c r="E145" i="34"/>
  <c r="D145" i="34"/>
  <c r="G151" i="34"/>
  <c r="C151" i="34"/>
  <c r="F151" i="34"/>
  <c r="B151" i="34"/>
  <c r="E151" i="34"/>
  <c r="H151" i="34"/>
  <c r="D151" i="34"/>
  <c r="G147" i="34"/>
  <c r="C147" i="34"/>
  <c r="F147" i="34"/>
  <c r="B147" i="34"/>
  <c r="H147" i="34"/>
  <c r="E147" i="34"/>
  <c r="D147" i="34"/>
  <c r="C153" i="34"/>
  <c r="B153" i="34"/>
  <c r="G143" i="33"/>
  <c r="G142" i="33" s="1"/>
  <c r="C143" i="33"/>
  <c r="C142" i="33" s="1"/>
  <c r="F143" i="33"/>
  <c r="F142" i="33" s="1"/>
  <c r="B143" i="33"/>
  <c r="B142" i="33" s="1"/>
  <c r="H143" i="33"/>
  <c r="H142" i="33" s="1"/>
  <c r="E143" i="33"/>
  <c r="E142" i="33" s="1"/>
  <c r="D143" i="33"/>
  <c r="D142" i="33" s="1"/>
  <c r="G149" i="33"/>
  <c r="C149" i="33"/>
  <c r="F149" i="33"/>
  <c r="B149" i="33"/>
  <c r="E149" i="33"/>
  <c r="D149" i="33"/>
  <c r="H149" i="33"/>
  <c r="G145" i="33"/>
  <c r="C145" i="33"/>
  <c r="F145" i="33"/>
  <c r="B145" i="33"/>
  <c r="H145" i="33"/>
  <c r="E145" i="33"/>
  <c r="D145" i="33"/>
  <c r="G151" i="33"/>
  <c r="C151" i="33"/>
  <c r="F151" i="33"/>
  <c r="B151" i="33"/>
  <c r="E151" i="33"/>
  <c r="H151" i="33"/>
  <c r="D151" i="33"/>
  <c r="B167" i="33" a="1"/>
  <c r="B165" i="33" a="1"/>
  <c r="B163" i="33" a="1"/>
  <c r="B161" i="33" a="1"/>
  <c r="B159" i="33" a="1"/>
  <c r="B157" i="33" a="1"/>
  <c r="G147" i="33"/>
  <c r="C147" i="33"/>
  <c r="F147" i="33"/>
  <c r="B147" i="33"/>
  <c r="H147" i="33"/>
  <c r="E147" i="33"/>
  <c r="D147" i="33"/>
  <c r="C153" i="33"/>
  <c r="B153" i="33"/>
  <c r="G149" i="32"/>
  <c r="C149" i="32"/>
  <c r="E149" i="32"/>
  <c r="F149" i="32"/>
  <c r="D149" i="32"/>
  <c r="B149" i="32"/>
  <c r="H149" i="32"/>
  <c r="B167" i="32" a="1"/>
  <c r="B165" i="32" a="1"/>
  <c r="B163" i="32" a="1"/>
  <c r="B161" i="32" a="1"/>
  <c r="B159" i="32" a="1"/>
  <c r="B157" i="32" a="1"/>
  <c r="G143" i="32"/>
  <c r="G142" i="32" s="1"/>
  <c r="C143" i="32"/>
  <c r="C142" i="32" s="1"/>
  <c r="E143" i="32"/>
  <c r="E142" i="32" s="1"/>
  <c r="F143" i="32"/>
  <c r="F142" i="32" s="1"/>
  <c r="D143" i="32"/>
  <c r="D142" i="32" s="1"/>
  <c r="B143" i="32"/>
  <c r="B142" i="32" s="1"/>
  <c r="H143" i="32"/>
  <c r="H142" i="32" s="1"/>
  <c r="G151" i="32"/>
  <c r="C151" i="32"/>
  <c r="E151" i="32"/>
  <c r="F151" i="32"/>
  <c r="D151" i="32"/>
  <c r="B151" i="32"/>
  <c r="H151" i="32"/>
  <c r="G145" i="32"/>
  <c r="C145" i="32"/>
  <c r="E145" i="32"/>
  <c r="F145" i="32"/>
  <c r="D145" i="32"/>
  <c r="B145" i="32"/>
  <c r="H145" i="32"/>
  <c r="C153" i="32"/>
  <c r="B153" i="32"/>
  <c r="G147" i="32"/>
  <c r="C147" i="32"/>
  <c r="E147" i="32"/>
  <c r="F147" i="32"/>
  <c r="D147" i="32"/>
  <c r="B147" i="32"/>
  <c r="H147" i="32"/>
  <c r="C153" i="31"/>
  <c r="B153" i="31"/>
  <c r="G147" i="31"/>
  <c r="C147" i="31"/>
  <c r="E147" i="31"/>
  <c r="F147" i="31"/>
  <c r="B147" i="31"/>
  <c r="D147" i="31"/>
  <c r="H147" i="31"/>
  <c r="G145" i="31"/>
  <c r="C145" i="31"/>
  <c r="E145" i="31"/>
  <c r="F145" i="31"/>
  <c r="B145" i="31"/>
  <c r="H145" i="31"/>
  <c r="D145" i="31"/>
  <c r="G149" i="31"/>
  <c r="C149" i="31"/>
  <c r="E149" i="31"/>
  <c r="F149" i="31"/>
  <c r="B149" i="31"/>
  <c r="H149" i="31"/>
  <c r="D149" i="31"/>
  <c r="B167" i="31" a="1"/>
  <c r="B165" i="31" a="1"/>
  <c r="B163" i="31" a="1"/>
  <c r="B161" i="31" a="1"/>
  <c r="B159" i="31" a="1"/>
  <c r="B157" i="31" a="1"/>
  <c r="G143" i="31"/>
  <c r="G142" i="31" s="1"/>
  <c r="C143" i="31"/>
  <c r="C142" i="31" s="1"/>
  <c r="E143" i="31"/>
  <c r="E142" i="31" s="1"/>
  <c r="F143" i="31"/>
  <c r="F142" i="31" s="1"/>
  <c r="B143" i="31"/>
  <c r="B142" i="31" s="1"/>
  <c r="D143" i="31"/>
  <c r="D142" i="31" s="1"/>
  <c r="H143" i="31"/>
  <c r="H142" i="31" s="1"/>
  <c r="G151" i="31"/>
  <c r="C151" i="31"/>
  <c r="E151" i="31"/>
  <c r="F151" i="31"/>
  <c r="B151" i="31"/>
  <c r="D151" i="31"/>
  <c r="H151" i="31"/>
  <c r="G147" i="30"/>
  <c r="C147" i="30"/>
  <c r="F147" i="30"/>
  <c r="B147" i="30"/>
  <c r="E147" i="30"/>
  <c r="H147" i="30"/>
  <c r="D147" i="30"/>
  <c r="B167" i="30" a="1"/>
  <c r="B165" i="30" a="1"/>
  <c r="B163" i="30" a="1"/>
  <c r="B161" i="30" a="1"/>
  <c r="B159" i="30" a="1"/>
  <c r="B157" i="30" a="1"/>
  <c r="G149" i="30"/>
  <c r="C149" i="30"/>
  <c r="F149" i="30"/>
  <c r="B149" i="30"/>
  <c r="E149" i="30"/>
  <c r="D149" i="30"/>
  <c r="H149" i="30"/>
  <c r="G143" i="30"/>
  <c r="G142" i="30" s="1"/>
  <c r="C143" i="30"/>
  <c r="C142" i="30" s="1"/>
  <c r="F143" i="30"/>
  <c r="F142" i="30" s="1"/>
  <c r="B143" i="30"/>
  <c r="B142" i="30" s="1"/>
  <c r="E143" i="30"/>
  <c r="E142" i="30" s="1"/>
  <c r="H143" i="30"/>
  <c r="H142" i="30" s="1"/>
  <c r="D143" i="30"/>
  <c r="D142" i="30" s="1"/>
  <c r="G151" i="30"/>
  <c r="C151" i="30"/>
  <c r="F151" i="30"/>
  <c r="B151" i="30"/>
  <c r="E151" i="30"/>
  <c r="H151" i="30"/>
  <c r="D151" i="30"/>
  <c r="G145" i="30"/>
  <c r="C145" i="30"/>
  <c r="F145" i="30"/>
  <c r="B145" i="30"/>
  <c r="E145" i="30"/>
  <c r="D145" i="30"/>
  <c r="H145" i="30"/>
  <c r="C153" i="30"/>
  <c r="B153" i="30"/>
  <c r="G147" i="29"/>
  <c r="C147" i="29"/>
  <c r="F147" i="29"/>
  <c r="B147" i="29"/>
  <c r="H147" i="29"/>
  <c r="E147" i="29"/>
  <c r="D147" i="29"/>
  <c r="C153" i="29"/>
  <c r="B153" i="29"/>
  <c r="G149" i="29"/>
  <c r="C149" i="29"/>
  <c r="F149" i="29"/>
  <c r="B149" i="29"/>
  <c r="H149" i="29"/>
  <c r="E149" i="29"/>
  <c r="D149" i="29"/>
  <c r="B167" i="29" a="1"/>
  <c r="B165" i="29" a="1"/>
  <c r="B163" i="29" a="1"/>
  <c r="B161" i="29" a="1"/>
  <c r="B159" i="29" a="1"/>
  <c r="B157" i="29" a="1"/>
  <c r="G143" i="29"/>
  <c r="G142" i="29" s="1"/>
  <c r="C143" i="29"/>
  <c r="C142" i="29" s="1"/>
  <c r="F143" i="29"/>
  <c r="F142" i="29" s="1"/>
  <c r="B143" i="29"/>
  <c r="B142" i="29" s="1"/>
  <c r="H143" i="29"/>
  <c r="H142" i="29" s="1"/>
  <c r="E143" i="29"/>
  <c r="E142" i="29" s="1"/>
  <c r="D143" i="29"/>
  <c r="D142" i="29" s="1"/>
  <c r="G151" i="29"/>
  <c r="C151" i="29"/>
  <c r="F151" i="29"/>
  <c r="B151" i="29"/>
  <c r="H151" i="29"/>
  <c r="E151" i="29"/>
  <c r="D151" i="29"/>
  <c r="G145" i="29"/>
  <c r="C145" i="29"/>
  <c r="F145" i="29"/>
  <c r="B145" i="29"/>
  <c r="H145" i="29"/>
  <c r="E145" i="29"/>
  <c r="D145" i="29"/>
  <c r="G143" i="28"/>
  <c r="G142" i="28" s="1"/>
  <c r="C143" i="28"/>
  <c r="C142" i="28" s="1"/>
  <c r="F143" i="28"/>
  <c r="F142" i="28" s="1"/>
  <c r="B143" i="28"/>
  <c r="B142" i="28" s="1"/>
  <c r="E143" i="28"/>
  <c r="E142" i="28" s="1"/>
  <c r="D143" i="28"/>
  <c r="D142" i="28" s="1"/>
  <c r="H143" i="28"/>
  <c r="H142" i="28" s="1"/>
  <c r="G145" i="28"/>
  <c r="C145" i="28"/>
  <c r="F145" i="28"/>
  <c r="B145" i="28"/>
  <c r="E145" i="28"/>
  <c r="D145" i="28"/>
  <c r="H145" i="28"/>
  <c r="G151" i="28"/>
  <c r="C151" i="28"/>
  <c r="F151" i="28"/>
  <c r="B151" i="28"/>
  <c r="E151" i="28"/>
  <c r="H151" i="28"/>
  <c r="D151" i="28"/>
  <c r="G147" i="28"/>
  <c r="C147" i="28"/>
  <c r="F147" i="28"/>
  <c r="B147" i="28"/>
  <c r="E147" i="28"/>
  <c r="D147" i="28"/>
  <c r="H147" i="28"/>
  <c r="C153" i="28"/>
  <c r="B153" i="28"/>
  <c r="B167" i="28" a="1"/>
  <c r="B165" i="28" a="1"/>
  <c r="B163" i="28" a="1"/>
  <c r="B161" i="28" a="1"/>
  <c r="B159" i="28" a="1"/>
  <c r="B157" i="28" a="1"/>
  <c r="G149" i="28"/>
  <c r="C149" i="28"/>
  <c r="F149" i="28"/>
  <c r="B149" i="28"/>
  <c r="E149" i="28"/>
  <c r="D149" i="28"/>
  <c r="H149" i="28"/>
  <c r="B167" i="27" a="1"/>
  <c r="B165" i="27" a="1"/>
  <c r="B163" i="27" a="1"/>
  <c r="B161" i="27" a="1"/>
  <c r="B159" i="27" a="1"/>
  <c r="B157" i="27" a="1"/>
  <c r="G147" i="27"/>
  <c r="C147" i="27"/>
  <c r="F147" i="27"/>
  <c r="B147" i="27"/>
  <c r="E147" i="27"/>
  <c r="H147" i="27"/>
  <c r="D147" i="27"/>
  <c r="G143" i="27"/>
  <c r="G142" i="27" s="1"/>
  <c r="C143" i="27"/>
  <c r="C142" i="27" s="1"/>
  <c r="F143" i="27"/>
  <c r="F142" i="27" s="1"/>
  <c r="B143" i="27"/>
  <c r="B142" i="27" s="1"/>
  <c r="E143" i="27"/>
  <c r="E142" i="27" s="1"/>
  <c r="D143" i="27"/>
  <c r="D142" i="27" s="1"/>
  <c r="H143" i="27"/>
  <c r="H142" i="27" s="1"/>
  <c r="G149" i="27"/>
  <c r="C149" i="27"/>
  <c r="F149" i="27"/>
  <c r="B149" i="27"/>
  <c r="E149" i="27"/>
  <c r="D149" i="27"/>
  <c r="H149" i="27"/>
  <c r="G145" i="27"/>
  <c r="C145" i="27"/>
  <c r="F145" i="27"/>
  <c r="B145" i="27"/>
  <c r="E145" i="27"/>
  <c r="D145" i="27"/>
  <c r="H145" i="27"/>
  <c r="G151" i="27"/>
  <c r="C151" i="27"/>
  <c r="F151" i="27"/>
  <c r="B151" i="27"/>
  <c r="E151" i="27"/>
  <c r="H151" i="27"/>
  <c r="D151" i="27"/>
  <c r="C153" i="27"/>
  <c r="B153" i="27"/>
  <c r="G145" i="26"/>
  <c r="C145" i="26"/>
  <c r="F145" i="26"/>
  <c r="B145" i="26"/>
  <c r="D145" i="26"/>
  <c r="H145" i="26"/>
  <c r="E145" i="26"/>
  <c r="C153" i="26"/>
  <c r="B153" i="26"/>
  <c r="B167" i="26" a="1"/>
  <c r="B165" i="26" a="1"/>
  <c r="B163" i="26" a="1"/>
  <c r="B161" i="26" a="1"/>
  <c r="B159" i="26" a="1"/>
  <c r="B157" i="26" a="1"/>
  <c r="G147" i="26"/>
  <c r="C147" i="26"/>
  <c r="F147" i="26"/>
  <c r="B147" i="26"/>
  <c r="D147" i="26"/>
  <c r="H147" i="26"/>
  <c r="E147" i="26"/>
  <c r="G149" i="26"/>
  <c r="C149" i="26"/>
  <c r="F149" i="26"/>
  <c r="B149" i="26"/>
  <c r="D149" i="26"/>
  <c r="H149" i="26"/>
  <c r="E149" i="26"/>
  <c r="G143" i="26"/>
  <c r="G142" i="26" s="1"/>
  <c r="C143" i="26"/>
  <c r="C142" i="26" s="1"/>
  <c r="F143" i="26"/>
  <c r="F142" i="26" s="1"/>
  <c r="B143" i="26"/>
  <c r="B142" i="26" s="1"/>
  <c r="D143" i="26"/>
  <c r="D142" i="26" s="1"/>
  <c r="H143" i="26"/>
  <c r="H142" i="26" s="1"/>
  <c r="E143" i="26"/>
  <c r="E142" i="26" s="1"/>
  <c r="G151" i="26"/>
  <c r="C151" i="26"/>
  <c r="F151" i="26"/>
  <c r="B151" i="26"/>
  <c r="D151" i="26"/>
  <c r="H151" i="26"/>
  <c r="E151" i="26"/>
  <c r="G149" i="25"/>
  <c r="C149" i="25"/>
  <c r="F149" i="25"/>
  <c r="B149" i="25"/>
  <c r="E149" i="25"/>
  <c r="D149" i="25"/>
  <c r="H149" i="25"/>
  <c r="G143" i="25"/>
  <c r="G142" i="25" s="1"/>
  <c r="C143" i="25"/>
  <c r="C142" i="25" s="1"/>
  <c r="F143" i="25"/>
  <c r="F142" i="25" s="1"/>
  <c r="B143" i="25"/>
  <c r="B142" i="25" s="1"/>
  <c r="D143" i="25"/>
  <c r="D142" i="25" s="1"/>
  <c r="H143" i="25"/>
  <c r="H142" i="25" s="1"/>
  <c r="E143" i="25"/>
  <c r="E142" i="25" s="1"/>
  <c r="B167" i="25" a="1"/>
  <c r="B165" i="25" a="1"/>
  <c r="B163" i="25" a="1"/>
  <c r="B161" i="25" a="1"/>
  <c r="B159" i="25" a="1"/>
  <c r="B157" i="25" a="1"/>
  <c r="G147" i="25"/>
  <c r="C147" i="25"/>
  <c r="F147" i="25"/>
  <c r="B147" i="25"/>
  <c r="D147" i="25"/>
  <c r="H147" i="25"/>
  <c r="E147" i="25"/>
  <c r="G151" i="25"/>
  <c r="C151" i="25"/>
  <c r="F151" i="25"/>
  <c r="B151" i="25"/>
  <c r="E151" i="25"/>
  <c r="D151" i="25"/>
  <c r="H151" i="25"/>
  <c r="G145" i="25"/>
  <c r="C145" i="25"/>
  <c r="F145" i="25"/>
  <c r="B145" i="25"/>
  <c r="D145" i="25"/>
  <c r="H145" i="25"/>
  <c r="E145" i="25"/>
  <c r="C153" i="25"/>
  <c r="B153" i="25"/>
  <c r="G145" i="24"/>
  <c r="C145" i="24"/>
  <c r="F145" i="24"/>
  <c r="B145" i="24"/>
  <c r="E145" i="24"/>
  <c r="D145" i="24"/>
  <c r="H145" i="24"/>
  <c r="C153" i="24"/>
  <c r="B153" i="24"/>
  <c r="G147" i="24"/>
  <c r="C147" i="24"/>
  <c r="F147" i="24"/>
  <c r="B147" i="24"/>
  <c r="E147" i="24"/>
  <c r="H147" i="24"/>
  <c r="D147" i="24"/>
  <c r="G149" i="24"/>
  <c r="C149" i="24"/>
  <c r="F149" i="24"/>
  <c r="B149" i="24"/>
  <c r="E149" i="24"/>
  <c r="D149" i="24"/>
  <c r="H149" i="24"/>
  <c r="B167" i="24" a="1"/>
  <c r="B165" i="24" a="1"/>
  <c r="B163" i="24" a="1"/>
  <c r="B161" i="24" a="1"/>
  <c r="B159" i="24" a="1"/>
  <c r="B157" i="24" a="1"/>
  <c r="G143" i="24"/>
  <c r="G142" i="24" s="1"/>
  <c r="C143" i="24"/>
  <c r="C142" i="24" s="1"/>
  <c r="F143" i="24"/>
  <c r="F142" i="24" s="1"/>
  <c r="B143" i="24"/>
  <c r="B142" i="24" s="1"/>
  <c r="E143" i="24"/>
  <c r="E142" i="24" s="1"/>
  <c r="H143" i="24"/>
  <c r="H142" i="24" s="1"/>
  <c r="D143" i="24"/>
  <c r="D142" i="24" s="1"/>
  <c r="G151" i="24"/>
  <c r="C151" i="24"/>
  <c r="F151" i="24"/>
  <c r="B151" i="24"/>
  <c r="E151" i="24"/>
  <c r="H151" i="24"/>
  <c r="D151" i="24"/>
  <c r="C153" i="23"/>
  <c r="B153" i="23"/>
  <c r="G151" i="23"/>
  <c r="C151" i="23"/>
  <c r="F151" i="23"/>
  <c r="B151" i="23"/>
  <c r="D151" i="23"/>
  <c r="H151" i="23"/>
  <c r="E151" i="23"/>
  <c r="G143" i="23"/>
  <c r="G142" i="23" s="1"/>
  <c r="C143" i="23"/>
  <c r="C142" i="23" s="1"/>
  <c r="F143" i="23"/>
  <c r="F142" i="23" s="1"/>
  <c r="B143" i="23"/>
  <c r="B142" i="23" s="1"/>
  <c r="D143" i="23"/>
  <c r="D142" i="23" s="1"/>
  <c r="H143" i="23"/>
  <c r="H142" i="23" s="1"/>
  <c r="E143" i="23"/>
  <c r="E142" i="23" s="1"/>
  <c r="G145" i="23"/>
  <c r="C145" i="23"/>
  <c r="F145" i="23"/>
  <c r="B145" i="23"/>
  <c r="D145" i="23"/>
  <c r="H145" i="23"/>
  <c r="E145" i="23"/>
  <c r="B167" i="23" a="1"/>
  <c r="B165" i="23" a="1"/>
  <c r="B161" i="23" a="1"/>
  <c r="B157" i="23" a="1"/>
  <c r="B163" i="23" a="1"/>
  <c r="B159" i="23" a="1"/>
  <c r="G147" i="23"/>
  <c r="C147" i="23"/>
  <c r="F147" i="23"/>
  <c r="B147" i="23"/>
  <c r="D147" i="23"/>
  <c r="H147" i="23"/>
  <c r="E147" i="23"/>
  <c r="G149" i="23"/>
  <c r="C149" i="23"/>
  <c r="F149" i="23"/>
  <c r="B149" i="23"/>
  <c r="D149" i="23"/>
  <c r="H149" i="23"/>
  <c r="E149" i="23"/>
  <c r="G151" i="22"/>
  <c r="C151" i="22"/>
  <c r="F151" i="22"/>
  <c r="B151" i="22"/>
  <c r="E151" i="22"/>
  <c r="H151" i="22"/>
  <c r="D151" i="22"/>
  <c r="B167" i="22" a="1"/>
  <c r="B165" i="22" a="1"/>
  <c r="B163" i="22" a="1"/>
  <c r="B161" i="22" a="1"/>
  <c r="B159" i="22" a="1"/>
  <c r="B157" i="22" a="1"/>
  <c r="G147" i="22"/>
  <c r="C147" i="22"/>
  <c r="F147" i="22"/>
  <c r="B147" i="22"/>
  <c r="E147" i="22"/>
  <c r="D147" i="22"/>
  <c r="H147" i="22"/>
  <c r="C153" i="22"/>
  <c r="B153" i="22"/>
  <c r="G149" i="22"/>
  <c r="C149" i="22"/>
  <c r="F149" i="22"/>
  <c r="B149" i="22"/>
  <c r="E149" i="22"/>
  <c r="D149" i="22"/>
  <c r="H149" i="22"/>
  <c r="G145" i="22"/>
  <c r="C145" i="22"/>
  <c r="F145" i="22"/>
  <c r="B145" i="22"/>
  <c r="E145" i="22"/>
  <c r="D145" i="22"/>
  <c r="H145" i="22"/>
  <c r="G143" i="22"/>
  <c r="G142" i="22" s="1"/>
  <c r="C143" i="22"/>
  <c r="C142" i="22" s="1"/>
  <c r="F143" i="22"/>
  <c r="F142" i="22" s="1"/>
  <c r="B143" i="22"/>
  <c r="B142" i="22" s="1"/>
  <c r="E143" i="22"/>
  <c r="E142" i="22" s="1"/>
  <c r="D143" i="22"/>
  <c r="D142" i="22" s="1"/>
  <c r="H143" i="22"/>
  <c r="H142" i="22" s="1"/>
  <c r="G143" i="21"/>
  <c r="G142" i="21" s="1"/>
  <c r="C143" i="21"/>
  <c r="C142" i="21" s="1"/>
  <c r="F143" i="21"/>
  <c r="F142" i="21" s="1"/>
  <c r="B143" i="21"/>
  <c r="B142" i="21" s="1"/>
  <c r="E143" i="21"/>
  <c r="E142" i="21" s="1"/>
  <c r="H143" i="21"/>
  <c r="H142" i="21" s="1"/>
  <c r="D143" i="21"/>
  <c r="D142" i="21" s="1"/>
  <c r="G151" i="21"/>
  <c r="C151" i="21"/>
  <c r="F151" i="21"/>
  <c r="B151" i="21"/>
  <c r="E151" i="21"/>
  <c r="H151" i="21"/>
  <c r="D151" i="21"/>
  <c r="G149" i="21"/>
  <c r="C149" i="21"/>
  <c r="F149" i="21"/>
  <c r="B149" i="21"/>
  <c r="E149" i="21"/>
  <c r="D149" i="21"/>
  <c r="H149" i="21"/>
  <c r="B167" i="21" a="1"/>
  <c r="B165" i="21" a="1"/>
  <c r="B163" i="21" a="1"/>
  <c r="B161" i="21" a="1"/>
  <c r="B159" i="21" a="1"/>
  <c r="B157" i="21" a="1"/>
  <c r="G145" i="21"/>
  <c r="C145" i="21"/>
  <c r="F145" i="21"/>
  <c r="B145" i="21"/>
  <c r="E145" i="21"/>
  <c r="D145" i="21"/>
  <c r="H145" i="21"/>
  <c r="C153" i="21"/>
  <c r="B153" i="21"/>
  <c r="G147" i="21"/>
  <c r="C147" i="21"/>
  <c r="F147" i="21"/>
  <c r="B147" i="21"/>
  <c r="E147" i="21"/>
  <c r="H147" i="21"/>
  <c r="D147" i="21"/>
  <c r="G147" i="20"/>
  <c r="C147" i="20"/>
  <c r="F147" i="20"/>
  <c r="B147" i="20"/>
  <c r="E147" i="20"/>
  <c r="D147" i="20"/>
  <c r="H147" i="20"/>
  <c r="G149" i="20"/>
  <c r="C149" i="20"/>
  <c r="F149" i="20"/>
  <c r="B149" i="20"/>
  <c r="E149" i="20"/>
  <c r="D149" i="20"/>
  <c r="H149" i="20"/>
  <c r="G143" i="20"/>
  <c r="G142" i="20" s="1"/>
  <c r="C143" i="20"/>
  <c r="C142" i="20" s="1"/>
  <c r="F143" i="20"/>
  <c r="F142" i="20" s="1"/>
  <c r="B143" i="20"/>
  <c r="B142" i="20" s="1"/>
  <c r="E143" i="20"/>
  <c r="E142" i="20" s="1"/>
  <c r="D143" i="20"/>
  <c r="D142" i="20" s="1"/>
  <c r="H143" i="20"/>
  <c r="H142" i="20" s="1"/>
  <c r="G151" i="20"/>
  <c r="C151" i="20"/>
  <c r="F151" i="20"/>
  <c r="B151" i="20"/>
  <c r="E151" i="20"/>
  <c r="D151" i="20"/>
  <c r="H151" i="20"/>
  <c r="B167" i="20" a="1"/>
  <c r="B165" i="20" a="1"/>
  <c r="B163" i="20" a="1"/>
  <c r="B161" i="20" a="1"/>
  <c r="B159" i="20" a="1"/>
  <c r="B157" i="20" a="1"/>
  <c r="G145" i="20"/>
  <c r="C145" i="20"/>
  <c r="F145" i="20"/>
  <c r="B145" i="20"/>
  <c r="E145" i="20"/>
  <c r="D145" i="20"/>
  <c r="H145" i="20"/>
  <c r="C153" i="20"/>
  <c r="B153" i="20"/>
  <c r="B167" i="19" a="1"/>
  <c r="B165" i="19" a="1"/>
  <c r="B163" i="19" a="1"/>
  <c r="B161" i="19" a="1"/>
  <c r="B159" i="19" a="1"/>
  <c r="B157" i="19" a="1"/>
  <c r="G143" i="19"/>
  <c r="G142" i="19" s="1"/>
  <c r="C143" i="19"/>
  <c r="C142" i="19" s="1"/>
  <c r="F143" i="19"/>
  <c r="F142" i="19" s="1"/>
  <c r="B143" i="19"/>
  <c r="B142" i="19" s="1"/>
  <c r="H143" i="19"/>
  <c r="H142" i="19" s="1"/>
  <c r="E143" i="19"/>
  <c r="E142" i="19" s="1"/>
  <c r="D143" i="19"/>
  <c r="D142" i="19" s="1"/>
  <c r="G149" i="19"/>
  <c r="C149" i="19"/>
  <c r="F149" i="19"/>
  <c r="B149" i="19"/>
  <c r="E149" i="19"/>
  <c r="D149" i="19"/>
  <c r="H149" i="19"/>
  <c r="G145" i="19"/>
  <c r="C145" i="19"/>
  <c r="F145" i="19"/>
  <c r="B145" i="19"/>
  <c r="H145" i="19"/>
  <c r="E145" i="19"/>
  <c r="D145" i="19"/>
  <c r="G151" i="19"/>
  <c r="C151" i="19"/>
  <c r="F151" i="19"/>
  <c r="B151" i="19"/>
  <c r="E151" i="19"/>
  <c r="H151" i="19"/>
  <c r="D151" i="19"/>
  <c r="G147" i="19"/>
  <c r="C147" i="19"/>
  <c r="F147" i="19"/>
  <c r="B147" i="19"/>
  <c r="H147" i="19"/>
  <c r="E147" i="19"/>
  <c r="D147" i="19"/>
  <c r="C153" i="19"/>
  <c r="B153" i="19"/>
  <c r="B167" i="18" a="1"/>
  <c r="B165" i="18" a="1"/>
  <c r="B163" i="18" a="1"/>
  <c r="B161" i="18" a="1"/>
  <c r="B159" i="18" a="1"/>
  <c r="B157" i="18" a="1"/>
  <c r="G147" i="18"/>
  <c r="C147" i="18"/>
  <c r="F147" i="18"/>
  <c r="B147" i="18"/>
  <c r="H147" i="18"/>
  <c r="E147" i="18"/>
  <c r="D147" i="18"/>
  <c r="C153" i="18"/>
  <c r="B153" i="18"/>
  <c r="G145" i="18"/>
  <c r="C145" i="18"/>
  <c r="F145" i="18"/>
  <c r="B145" i="18"/>
  <c r="H145" i="18"/>
  <c r="E145" i="18"/>
  <c r="D145" i="18"/>
  <c r="G149" i="18"/>
  <c r="C149" i="18"/>
  <c r="F149" i="18"/>
  <c r="B149" i="18"/>
  <c r="H149" i="18"/>
  <c r="E149" i="18"/>
  <c r="D149" i="18"/>
  <c r="G143" i="18"/>
  <c r="G142" i="18" s="1"/>
  <c r="C143" i="18"/>
  <c r="C142" i="18" s="1"/>
  <c r="F143" i="18"/>
  <c r="F142" i="18" s="1"/>
  <c r="B143" i="18"/>
  <c r="B142" i="18" s="1"/>
  <c r="H143" i="18"/>
  <c r="H142" i="18" s="1"/>
  <c r="E143" i="18"/>
  <c r="E142" i="18" s="1"/>
  <c r="D143" i="18"/>
  <c r="D142" i="18" s="1"/>
  <c r="G151" i="18"/>
  <c r="C151" i="18"/>
  <c r="F151" i="18"/>
  <c r="B151" i="18"/>
  <c r="H151" i="18"/>
  <c r="E151" i="18"/>
  <c r="D151" i="18"/>
  <c r="G143" i="17"/>
  <c r="G142" i="17" s="1"/>
  <c r="C143" i="17"/>
  <c r="C142" i="17" s="1"/>
  <c r="F143" i="17"/>
  <c r="F142" i="17" s="1"/>
  <c r="B143" i="17"/>
  <c r="B142" i="17" s="1"/>
  <c r="D143" i="17"/>
  <c r="D142" i="17" s="1"/>
  <c r="H143" i="17"/>
  <c r="H142" i="17" s="1"/>
  <c r="E143" i="17"/>
  <c r="E142" i="17" s="1"/>
  <c r="G145" i="17"/>
  <c r="C145" i="17"/>
  <c r="F145" i="17"/>
  <c r="B145" i="17"/>
  <c r="D145" i="17"/>
  <c r="E145" i="17"/>
  <c r="H145" i="17"/>
  <c r="C153" i="17"/>
  <c r="B153" i="17"/>
  <c r="G151" i="17"/>
  <c r="C151" i="17"/>
  <c r="F151" i="17"/>
  <c r="B151" i="17"/>
  <c r="D151" i="17"/>
  <c r="H151" i="17"/>
  <c r="E151" i="17"/>
  <c r="B167" i="17" a="1"/>
  <c r="B165" i="17" a="1"/>
  <c r="B163" i="17" a="1"/>
  <c r="B161" i="17" a="1"/>
  <c r="B159" i="17" a="1"/>
  <c r="B157" i="17" a="1"/>
  <c r="G147" i="17"/>
  <c r="C147" i="17"/>
  <c r="F147" i="17"/>
  <c r="B147" i="17"/>
  <c r="D147" i="17"/>
  <c r="H147" i="17"/>
  <c r="E147" i="17"/>
  <c r="G149" i="17"/>
  <c r="C149" i="17"/>
  <c r="F149" i="17"/>
  <c r="B149" i="17"/>
  <c r="D149" i="17"/>
  <c r="E149" i="17"/>
  <c r="H149" i="17"/>
  <c r="G149" i="16"/>
  <c r="C149" i="16"/>
  <c r="F149" i="16"/>
  <c r="B149" i="16"/>
  <c r="D149" i="16"/>
  <c r="H149" i="16"/>
  <c r="E149" i="16"/>
  <c r="G143" i="16"/>
  <c r="G142" i="16" s="1"/>
  <c r="C143" i="16"/>
  <c r="C142" i="16" s="1"/>
  <c r="F143" i="16"/>
  <c r="F142" i="16" s="1"/>
  <c r="B143" i="16"/>
  <c r="B142" i="16" s="1"/>
  <c r="D143" i="16"/>
  <c r="D142" i="16" s="1"/>
  <c r="H143" i="16"/>
  <c r="H142" i="16" s="1"/>
  <c r="E143" i="16"/>
  <c r="E142" i="16" s="1"/>
  <c r="G151" i="16"/>
  <c r="C151" i="16"/>
  <c r="F151" i="16"/>
  <c r="B151" i="16"/>
  <c r="D151" i="16"/>
  <c r="H151" i="16"/>
  <c r="E151" i="16"/>
  <c r="G145" i="16"/>
  <c r="C145" i="16"/>
  <c r="F145" i="16"/>
  <c r="B145" i="16"/>
  <c r="D145" i="16"/>
  <c r="H145" i="16"/>
  <c r="E145" i="16"/>
  <c r="C153" i="16"/>
  <c r="B153" i="16"/>
  <c r="B167" i="16" a="1"/>
  <c r="B165" i="16" a="1"/>
  <c r="B161" i="16" a="1"/>
  <c r="B157" i="16" a="1"/>
  <c r="B163" i="16" a="1"/>
  <c r="B159" i="16" a="1"/>
  <c r="G147" i="16"/>
  <c r="C147" i="16"/>
  <c r="F147" i="16"/>
  <c r="B147" i="16"/>
  <c r="D147" i="16"/>
  <c r="H147" i="16"/>
  <c r="E147" i="16"/>
  <c r="B167" i="15" a="1"/>
  <c r="B165" i="15" a="1"/>
  <c r="B163" i="15" a="1"/>
  <c r="B161" i="15" a="1"/>
  <c r="B157" i="15" a="1"/>
  <c r="B159" i="15" a="1"/>
  <c r="G147" i="15"/>
  <c r="C147" i="15"/>
  <c r="F147" i="15"/>
  <c r="B147" i="15"/>
  <c r="D147" i="15"/>
  <c r="H147" i="15"/>
  <c r="E147" i="15"/>
  <c r="G143" i="15"/>
  <c r="G142" i="15" s="1"/>
  <c r="C143" i="15"/>
  <c r="C142" i="15" s="1"/>
  <c r="F143" i="15"/>
  <c r="F142" i="15" s="1"/>
  <c r="B143" i="15"/>
  <c r="B142" i="15" s="1"/>
  <c r="D143" i="15"/>
  <c r="D142" i="15" s="1"/>
  <c r="H143" i="15"/>
  <c r="H142" i="15" s="1"/>
  <c r="E143" i="15"/>
  <c r="E142" i="15" s="1"/>
  <c r="G149" i="15"/>
  <c r="C149" i="15"/>
  <c r="F149" i="15"/>
  <c r="B149" i="15"/>
  <c r="D149" i="15"/>
  <c r="H149" i="15"/>
  <c r="E149" i="15"/>
  <c r="G151" i="15"/>
  <c r="C151" i="15"/>
  <c r="F151" i="15"/>
  <c r="B151" i="15"/>
  <c r="D151" i="15"/>
  <c r="H151" i="15"/>
  <c r="E151" i="15"/>
  <c r="G145" i="15"/>
  <c r="C145" i="15"/>
  <c r="F145" i="15"/>
  <c r="B145" i="15"/>
  <c r="D145" i="15"/>
  <c r="H145" i="15"/>
  <c r="E145" i="15"/>
  <c r="C153" i="15"/>
  <c r="B153" i="15"/>
  <c r="H145" i="14"/>
  <c r="B165" i="14" a="1"/>
  <c r="C165" i="14" s="1"/>
  <c r="C153" i="14"/>
  <c r="D145" i="14"/>
  <c r="E145" i="14"/>
  <c r="B145" i="14"/>
  <c r="G145" i="14"/>
  <c r="C145" i="14"/>
  <c r="D147" i="14"/>
  <c r="G147" i="14"/>
  <c r="H147" i="14"/>
  <c r="C147" i="14"/>
  <c r="E147" i="14"/>
  <c r="F147" i="14"/>
  <c r="B157" i="14" a="1"/>
  <c r="D157" i="14" s="1"/>
  <c r="D156" i="14" s="1"/>
  <c r="B161" i="14" a="1"/>
  <c r="B161" i="14" s="1"/>
  <c r="D143" i="14"/>
  <c r="D142" i="14" s="1"/>
  <c r="F149" i="14"/>
  <c r="B159" i="14" a="1"/>
  <c r="G159" i="14" s="1"/>
  <c r="G151" i="14"/>
  <c r="B163" i="14" a="1"/>
  <c r="F163" i="14" s="1"/>
  <c r="E143" i="14"/>
  <c r="E142" i="14" s="1"/>
  <c r="G149" i="14"/>
  <c r="D151" i="14"/>
  <c r="E149" i="14"/>
  <c r="H149" i="14"/>
  <c r="H151" i="14"/>
  <c r="B167" i="14" a="1"/>
  <c r="C167" i="14" s="1"/>
  <c r="H143" i="14"/>
  <c r="H142" i="14" s="1"/>
  <c r="F143" i="14"/>
  <c r="F142" i="14" s="1"/>
  <c r="C149" i="14"/>
  <c r="D149" i="14"/>
  <c r="C151" i="14"/>
  <c r="B151" i="14"/>
  <c r="C143" i="14"/>
  <c r="C142" i="14" s="1"/>
  <c r="G143" i="14"/>
  <c r="G142" i="14" s="1"/>
  <c r="E151" i="14"/>
  <c r="G165" i="58" l="1"/>
  <c r="E165" i="58"/>
  <c r="F165" i="58"/>
  <c r="D165" i="58"/>
  <c r="B165" i="58"/>
  <c r="A165" i="58"/>
  <c r="C165" i="58"/>
  <c r="G163" i="58"/>
  <c r="F163" i="58"/>
  <c r="E163" i="58"/>
  <c r="D163" i="58"/>
  <c r="B163" i="58"/>
  <c r="C163" i="58"/>
  <c r="A163" i="58"/>
  <c r="B167" i="58"/>
  <c r="A167" i="58"/>
  <c r="G159" i="58"/>
  <c r="E159" i="58"/>
  <c r="F159" i="58"/>
  <c r="D159" i="58"/>
  <c r="C159" i="58"/>
  <c r="B159" i="58"/>
  <c r="A159" i="58"/>
  <c r="G157" i="58"/>
  <c r="G156" i="58" s="1"/>
  <c r="E157" i="58"/>
  <c r="E156" i="58" s="1"/>
  <c r="F157" i="58"/>
  <c r="F156" i="58" s="1"/>
  <c r="D157" i="58"/>
  <c r="D156" i="58" s="1"/>
  <c r="B157" i="58"/>
  <c r="B156" i="58" s="1"/>
  <c r="A157" i="58"/>
  <c r="A156" i="58" s="1"/>
  <c r="C157" i="58"/>
  <c r="C156" i="58" s="1"/>
  <c r="G161" i="58"/>
  <c r="E161" i="58"/>
  <c r="F161" i="58"/>
  <c r="D161" i="58"/>
  <c r="B161" i="58"/>
  <c r="A161" i="58"/>
  <c r="C161" i="58"/>
  <c r="A159" i="57"/>
  <c r="G159" i="57"/>
  <c r="F159" i="57"/>
  <c r="E159" i="57"/>
  <c r="C159" i="57"/>
  <c r="B159" i="57"/>
  <c r="D159" i="57"/>
  <c r="A163" i="57"/>
  <c r="G163" i="57"/>
  <c r="F163" i="57"/>
  <c r="E163" i="57"/>
  <c r="C163" i="57"/>
  <c r="B163" i="57"/>
  <c r="D163" i="57"/>
  <c r="A157" i="57"/>
  <c r="A156" i="57" s="1"/>
  <c r="G157" i="57"/>
  <c r="G156" i="57" s="1"/>
  <c r="F157" i="57"/>
  <c r="F156" i="57" s="1"/>
  <c r="E157" i="57"/>
  <c r="E156" i="57" s="1"/>
  <c r="B157" i="57"/>
  <c r="B156" i="57" s="1"/>
  <c r="D157" i="57"/>
  <c r="D156" i="57" s="1"/>
  <c r="C157" i="57"/>
  <c r="C156" i="57" s="1"/>
  <c r="A161" i="57"/>
  <c r="G161" i="57"/>
  <c r="F161" i="57"/>
  <c r="E161" i="57"/>
  <c r="B161" i="57"/>
  <c r="D161" i="57"/>
  <c r="C161" i="57"/>
  <c r="A165" i="57"/>
  <c r="G165" i="57"/>
  <c r="F165" i="57"/>
  <c r="E165" i="57"/>
  <c r="D165" i="57"/>
  <c r="B165" i="57"/>
  <c r="C165" i="57"/>
  <c r="A167" i="57"/>
  <c r="B167" i="57"/>
  <c r="A163" i="56"/>
  <c r="G163" i="56"/>
  <c r="F163" i="56"/>
  <c r="D163" i="56"/>
  <c r="C163" i="56"/>
  <c r="B163" i="56"/>
  <c r="E163" i="56"/>
  <c r="A157" i="56"/>
  <c r="A156" i="56" s="1"/>
  <c r="G157" i="56"/>
  <c r="G156" i="56" s="1"/>
  <c r="F157" i="56"/>
  <c r="F156" i="56" s="1"/>
  <c r="C157" i="56"/>
  <c r="C156" i="56" s="1"/>
  <c r="B157" i="56"/>
  <c r="B156" i="56" s="1"/>
  <c r="E157" i="56"/>
  <c r="E156" i="56" s="1"/>
  <c r="D157" i="56"/>
  <c r="D156" i="56" s="1"/>
  <c r="A161" i="56"/>
  <c r="G161" i="56"/>
  <c r="F161" i="56"/>
  <c r="D161" i="56"/>
  <c r="E161" i="56"/>
  <c r="B161" i="56"/>
  <c r="C161" i="56"/>
  <c r="A159" i="56"/>
  <c r="G159" i="56"/>
  <c r="F159" i="56"/>
  <c r="E159" i="56"/>
  <c r="D159" i="56"/>
  <c r="B159" i="56"/>
  <c r="C159" i="56"/>
  <c r="B167" i="56"/>
  <c r="A167" i="56"/>
  <c r="A165" i="56"/>
  <c r="G165" i="56"/>
  <c r="F165" i="56"/>
  <c r="D165" i="56"/>
  <c r="C165" i="56"/>
  <c r="E165" i="56"/>
  <c r="B165" i="56"/>
  <c r="F157" i="55"/>
  <c r="F156" i="55" s="1"/>
  <c r="B157" i="55"/>
  <c r="B156" i="55" s="1"/>
  <c r="E157" i="55"/>
  <c r="E156" i="55" s="1"/>
  <c r="A157" i="55"/>
  <c r="A156" i="55" s="1"/>
  <c r="G157" i="55"/>
  <c r="G156" i="55" s="1"/>
  <c r="D157" i="55"/>
  <c r="D156" i="55" s="1"/>
  <c r="C157" i="55"/>
  <c r="C156" i="55" s="1"/>
  <c r="F165" i="55"/>
  <c r="B165" i="55"/>
  <c r="E165" i="55"/>
  <c r="A165" i="55"/>
  <c r="G165" i="55"/>
  <c r="D165" i="55"/>
  <c r="C165" i="55"/>
  <c r="F159" i="55"/>
  <c r="B159" i="55"/>
  <c r="E159" i="55"/>
  <c r="A159" i="55"/>
  <c r="G159" i="55"/>
  <c r="D159" i="55"/>
  <c r="C159" i="55"/>
  <c r="B167" i="55"/>
  <c r="A167" i="55"/>
  <c r="F161" i="55"/>
  <c r="B161" i="55"/>
  <c r="E161" i="55"/>
  <c r="A161" i="55"/>
  <c r="G161" i="55"/>
  <c r="D161" i="55"/>
  <c r="C161" i="55"/>
  <c r="F163" i="55"/>
  <c r="B163" i="55"/>
  <c r="E163" i="55"/>
  <c r="A163" i="55"/>
  <c r="G163" i="55"/>
  <c r="D163" i="55"/>
  <c r="C163" i="55"/>
  <c r="F157" i="54"/>
  <c r="F156" i="54" s="1"/>
  <c r="B157" i="54"/>
  <c r="B156" i="54" s="1"/>
  <c r="E157" i="54"/>
  <c r="E156" i="54" s="1"/>
  <c r="A157" i="54"/>
  <c r="A156" i="54" s="1"/>
  <c r="D157" i="54"/>
  <c r="D156" i="54" s="1"/>
  <c r="G157" i="54"/>
  <c r="G156" i="54" s="1"/>
  <c r="C157" i="54"/>
  <c r="C156" i="54" s="1"/>
  <c r="F165" i="54"/>
  <c r="B165" i="54"/>
  <c r="E165" i="54"/>
  <c r="A165" i="54"/>
  <c r="D165" i="54"/>
  <c r="G165" i="54"/>
  <c r="C165" i="54"/>
  <c r="F159" i="54"/>
  <c r="B159" i="54"/>
  <c r="E159" i="54"/>
  <c r="A159" i="54"/>
  <c r="D159" i="54"/>
  <c r="G159" i="54"/>
  <c r="C159" i="54"/>
  <c r="B167" i="54"/>
  <c r="A167" i="54"/>
  <c r="F161" i="54"/>
  <c r="B161" i="54"/>
  <c r="E161" i="54"/>
  <c r="A161" i="54"/>
  <c r="D161" i="54"/>
  <c r="C161" i="54"/>
  <c r="G161" i="54"/>
  <c r="F163" i="54"/>
  <c r="B163" i="54"/>
  <c r="E163" i="54"/>
  <c r="A163" i="54"/>
  <c r="D163" i="54"/>
  <c r="G163" i="54"/>
  <c r="C163" i="54"/>
  <c r="F157" i="53"/>
  <c r="F156" i="53" s="1"/>
  <c r="B157" i="53"/>
  <c r="B156" i="53" s="1"/>
  <c r="E157" i="53"/>
  <c r="E156" i="53" s="1"/>
  <c r="A157" i="53"/>
  <c r="A156" i="53" s="1"/>
  <c r="G157" i="53"/>
  <c r="G156" i="53" s="1"/>
  <c r="C157" i="53"/>
  <c r="C156" i="53" s="1"/>
  <c r="D157" i="53"/>
  <c r="D156" i="53" s="1"/>
  <c r="F161" i="53"/>
  <c r="B161" i="53"/>
  <c r="E161" i="53"/>
  <c r="A161" i="53"/>
  <c r="G161" i="53"/>
  <c r="C161" i="53"/>
  <c r="D161" i="53"/>
  <c r="F159" i="53"/>
  <c r="B159" i="53"/>
  <c r="E159" i="53"/>
  <c r="A159" i="53"/>
  <c r="G159" i="53"/>
  <c r="C159" i="53"/>
  <c r="D159" i="53"/>
  <c r="F165" i="53"/>
  <c r="B165" i="53"/>
  <c r="E165" i="53"/>
  <c r="A165" i="53"/>
  <c r="G165" i="53"/>
  <c r="C165" i="53"/>
  <c r="D165" i="53"/>
  <c r="F163" i="53"/>
  <c r="B163" i="53"/>
  <c r="E163" i="53"/>
  <c r="A163" i="53"/>
  <c r="G163" i="53"/>
  <c r="C163" i="53"/>
  <c r="D163" i="53"/>
  <c r="B167" i="53"/>
  <c r="A167" i="53"/>
  <c r="F159" i="52"/>
  <c r="B159" i="52"/>
  <c r="E159" i="52"/>
  <c r="A159" i="52"/>
  <c r="G159" i="52"/>
  <c r="D159" i="52"/>
  <c r="C159" i="52"/>
  <c r="F157" i="52"/>
  <c r="F156" i="52" s="1"/>
  <c r="B157" i="52"/>
  <c r="B156" i="52" s="1"/>
  <c r="E157" i="52"/>
  <c r="E156" i="52" s="1"/>
  <c r="A157" i="52"/>
  <c r="A156" i="52" s="1"/>
  <c r="G157" i="52"/>
  <c r="G156" i="52" s="1"/>
  <c r="D157" i="52"/>
  <c r="D156" i="52" s="1"/>
  <c r="C157" i="52"/>
  <c r="C156" i="52" s="1"/>
  <c r="F161" i="52"/>
  <c r="B161" i="52"/>
  <c r="E161" i="52"/>
  <c r="A161" i="52"/>
  <c r="G161" i="52"/>
  <c r="D161" i="52"/>
  <c r="C161" i="52"/>
  <c r="F165" i="52"/>
  <c r="B165" i="52"/>
  <c r="E165" i="52"/>
  <c r="A165" i="52"/>
  <c r="G165" i="52"/>
  <c r="D165" i="52"/>
  <c r="C165" i="52"/>
  <c r="F163" i="52"/>
  <c r="B163" i="52"/>
  <c r="E163" i="52"/>
  <c r="A163" i="52"/>
  <c r="G163" i="52"/>
  <c r="D163" i="52"/>
  <c r="C163" i="52"/>
  <c r="B167" i="52"/>
  <c r="A167" i="52"/>
  <c r="G157" i="51"/>
  <c r="G156" i="51" s="1"/>
  <c r="C157" i="51"/>
  <c r="C156" i="51" s="1"/>
  <c r="F157" i="51"/>
  <c r="F156" i="51" s="1"/>
  <c r="B157" i="51"/>
  <c r="B156" i="51" s="1"/>
  <c r="E157" i="51"/>
  <c r="E156" i="51" s="1"/>
  <c r="D157" i="51"/>
  <c r="D156" i="51" s="1"/>
  <c r="H157" i="51"/>
  <c r="H156" i="51" s="1"/>
  <c r="G165" i="51"/>
  <c r="C165" i="51"/>
  <c r="F165" i="51"/>
  <c r="B165" i="51"/>
  <c r="E165" i="51"/>
  <c r="D165" i="51"/>
  <c r="H165" i="51"/>
  <c r="G159" i="51"/>
  <c r="C159" i="51"/>
  <c r="F159" i="51"/>
  <c r="B159" i="51"/>
  <c r="E159" i="51"/>
  <c r="H159" i="51"/>
  <c r="D159" i="51"/>
  <c r="C167" i="51"/>
  <c r="B167" i="51"/>
  <c r="G161" i="51"/>
  <c r="C161" i="51"/>
  <c r="F161" i="51"/>
  <c r="B161" i="51"/>
  <c r="E161" i="51"/>
  <c r="D161" i="51"/>
  <c r="H161" i="51"/>
  <c r="G163" i="51"/>
  <c r="C163" i="51"/>
  <c r="F163" i="51"/>
  <c r="B163" i="51"/>
  <c r="E163" i="51"/>
  <c r="H163" i="51"/>
  <c r="D163" i="51"/>
  <c r="F163" i="50"/>
  <c r="B163" i="50"/>
  <c r="E163" i="50"/>
  <c r="A163" i="50"/>
  <c r="D163" i="50"/>
  <c r="G163" i="50"/>
  <c r="C163" i="50"/>
  <c r="F157" i="50"/>
  <c r="F156" i="50" s="1"/>
  <c r="B157" i="50"/>
  <c r="B156" i="50" s="1"/>
  <c r="E157" i="50"/>
  <c r="E156" i="50" s="1"/>
  <c r="A157" i="50"/>
  <c r="A156" i="50" s="1"/>
  <c r="D157" i="50"/>
  <c r="D156" i="50" s="1"/>
  <c r="C157" i="50"/>
  <c r="C156" i="50" s="1"/>
  <c r="G157" i="50"/>
  <c r="G156" i="50" s="1"/>
  <c r="F165" i="50"/>
  <c r="B165" i="50"/>
  <c r="E165" i="50"/>
  <c r="A165" i="50"/>
  <c r="D165" i="50"/>
  <c r="C165" i="50"/>
  <c r="G165" i="50"/>
  <c r="F159" i="50"/>
  <c r="B159" i="50"/>
  <c r="E159" i="50"/>
  <c r="A159" i="50"/>
  <c r="D159" i="50"/>
  <c r="G159" i="50"/>
  <c r="C159" i="50"/>
  <c r="B167" i="50"/>
  <c r="A167" i="50"/>
  <c r="F161" i="50"/>
  <c r="B161" i="50"/>
  <c r="E161" i="50"/>
  <c r="A161" i="50"/>
  <c r="D161" i="50"/>
  <c r="C161" i="50"/>
  <c r="G161" i="50"/>
  <c r="E161" i="49"/>
  <c r="A161" i="49"/>
  <c r="G161" i="49"/>
  <c r="B161" i="49"/>
  <c r="D161" i="49"/>
  <c r="F161" i="49"/>
  <c r="C161" i="49"/>
  <c r="B167" i="49"/>
  <c r="A167" i="49"/>
  <c r="E159" i="49"/>
  <c r="A159" i="49"/>
  <c r="D159" i="49"/>
  <c r="G159" i="49"/>
  <c r="B159" i="49"/>
  <c r="C159" i="49"/>
  <c r="F159" i="49"/>
  <c r="E157" i="49"/>
  <c r="E156" i="49" s="1"/>
  <c r="A157" i="49"/>
  <c r="A156" i="49" s="1"/>
  <c r="G157" i="49"/>
  <c r="G156" i="49" s="1"/>
  <c r="B157" i="49"/>
  <c r="B156" i="49" s="1"/>
  <c r="D157" i="49"/>
  <c r="D156" i="49" s="1"/>
  <c r="F157" i="49"/>
  <c r="F156" i="49" s="1"/>
  <c r="C157" i="49"/>
  <c r="C156" i="49" s="1"/>
  <c r="E163" i="49"/>
  <c r="A163" i="49"/>
  <c r="D163" i="49"/>
  <c r="G163" i="49"/>
  <c r="B163" i="49"/>
  <c r="F163" i="49"/>
  <c r="C163" i="49"/>
  <c r="E165" i="49"/>
  <c r="A165" i="49"/>
  <c r="G165" i="49"/>
  <c r="B165" i="49"/>
  <c r="F165" i="49"/>
  <c r="D165" i="49"/>
  <c r="C165" i="49"/>
  <c r="G161" i="48"/>
  <c r="C161" i="48"/>
  <c r="F161" i="48"/>
  <c r="B161" i="48"/>
  <c r="E161" i="48"/>
  <c r="H161" i="48"/>
  <c r="D161" i="48"/>
  <c r="G163" i="48"/>
  <c r="C163" i="48"/>
  <c r="F163" i="48"/>
  <c r="B163" i="48"/>
  <c r="E163" i="48"/>
  <c r="H163" i="48"/>
  <c r="D163" i="48"/>
  <c r="G157" i="48"/>
  <c r="G156" i="48" s="1"/>
  <c r="C157" i="48"/>
  <c r="C156" i="48" s="1"/>
  <c r="F157" i="48"/>
  <c r="F156" i="48" s="1"/>
  <c r="B157" i="48"/>
  <c r="B156" i="48" s="1"/>
  <c r="E157" i="48"/>
  <c r="E156" i="48" s="1"/>
  <c r="H157" i="48"/>
  <c r="H156" i="48" s="1"/>
  <c r="D157" i="48"/>
  <c r="D156" i="48" s="1"/>
  <c r="G165" i="48"/>
  <c r="C165" i="48"/>
  <c r="F165" i="48"/>
  <c r="B165" i="48"/>
  <c r="E165" i="48"/>
  <c r="H165" i="48"/>
  <c r="D165" i="48"/>
  <c r="G159" i="48"/>
  <c r="C159" i="48"/>
  <c r="F159" i="48"/>
  <c r="B159" i="48"/>
  <c r="E159" i="48"/>
  <c r="H159" i="48"/>
  <c r="D159" i="48"/>
  <c r="C167" i="48"/>
  <c r="B167" i="48"/>
  <c r="C159" i="47"/>
  <c r="B159" i="47"/>
  <c r="H159" i="47"/>
  <c r="E159" i="47"/>
  <c r="G159" i="47"/>
  <c r="F159" i="47"/>
  <c r="D159" i="47"/>
  <c r="C161" i="47"/>
  <c r="B161" i="47"/>
  <c r="H161" i="47"/>
  <c r="E161" i="47"/>
  <c r="D161" i="47"/>
  <c r="G161" i="47"/>
  <c r="F161" i="47"/>
  <c r="C163" i="47"/>
  <c r="B163" i="47"/>
  <c r="H163" i="47"/>
  <c r="E163" i="47"/>
  <c r="G163" i="47"/>
  <c r="F163" i="47"/>
  <c r="D163" i="47"/>
  <c r="C165" i="47"/>
  <c r="B165" i="47"/>
  <c r="H165" i="47"/>
  <c r="E165" i="47"/>
  <c r="G165" i="47"/>
  <c r="F165" i="47"/>
  <c r="D165" i="47"/>
  <c r="C167" i="47"/>
  <c r="B167" i="47"/>
  <c r="C157" i="47"/>
  <c r="C156" i="47" s="1"/>
  <c r="B157" i="47"/>
  <c r="B156" i="47" s="1"/>
  <c r="H157" i="47"/>
  <c r="H156" i="47" s="1"/>
  <c r="E157" i="47"/>
  <c r="E156" i="47" s="1"/>
  <c r="F157" i="47"/>
  <c r="F156" i="47" s="1"/>
  <c r="G157" i="47"/>
  <c r="G156" i="47" s="1"/>
  <c r="D157" i="47"/>
  <c r="D156" i="47" s="1"/>
  <c r="B165" i="46"/>
  <c r="H165" i="46"/>
  <c r="F165" i="46"/>
  <c r="G165" i="46"/>
  <c r="E165" i="46"/>
  <c r="D165" i="46"/>
  <c r="C165" i="46"/>
  <c r="B167" i="46"/>
  <c r="C167" i="46"/>
  <c r="B157" i="46"/>
  <c r="B156" i="46" s="1"/>
  <c r="H157" i="46"/>
  <c r="H156" i="46" s="1"/>
  <c r="G157" i="46"/>
  <c r="G156" i="46" s="1"/>
  <c r="F157" i="46"/>
  <c r="F156" i="46" s="1"/>
  <c r="E157" i="46"/>
  <c r="E156" i="46" s="1"/>
  <c r="D157" i="46"/>
  <c r="D156" i="46" s="1"/>
  <c r="C157" i="46"/>
  <c r="C156" i="46" s="1"/>
  <c r="B159" i="46"/>
  <c r="H159" i="46"/>
  <c r="F159" i="46"/>
  <c r="G159" i="46"/>
  <c r="E159" i="46"/>
  <c r="C159" i="46"/>
  <c r="D159" i="46"/>
  <c r="B161" i="46"/>
  <c r="H161" i="46"/>
  <c r="G161" i="46"/>
  <c r="F161" i="46"/>
  <c r="E161" i="46"/>
  <c r="C161" i="46"/>
  <c r="D161" i="46"/>
  <c r="B163" i="46"/>
  <c r="H163" i="46"/>
  <c r="G163" i="46"/>
  <c r="F163" i="46"/>
  <c r="E163" i="46"/>
  <c r="D163" i="46"/>
  <c r="C163" i="46"/>
  <c r="C157" i="45"/>
  <c r="C156" i="45" s="1"/>
  <c r="H157" i="45"/>
  <c r="H156" i="45" s="1"/>
  <c r="G157" i="45"/>
  <c r="G156" i="45" s="1"/>
  <c r="F157" i="45"/>
  <c r="F156" i="45" s="1"/>
  <c r="E157" i="45"/>
  <c r="E156" i="45" s="1"/>
  <c r="D157" i="45"/>
  <c r="D156" i="45" s="1"/>
  <c r="B157" i="45"/>
  <c r="B156" i="45" s="1"/>
  <c r="C159" i="45"/>
  <c r="H159" i="45"/>
  <c r="G159" i="45"/>
  <c r="F159" i="45"/>
  <c r="D159" i="45"/>
  <c r="B159" i="45"/>
  <c r="E159" i="45"/>
  <c r="C161" i="45"/>
  <c r="H161" i="45"/>
  <c r="G161" i="45"/>
  <c r="F161" i="45"/>
  <c r="D161" i="45"/>
  <c r="E161" i="45"/>
  <c r="B161" i="45"/>
  <c r="C163" i="45"/>
  <c r="B163" i="45"/>
  <c r="H163" i="45"/>
  <c r="G163" i="45"/>
  <c r="F163" i="45"/>
  <c r="E163" i="45"/>
  <c r="D163" i="45"/>
  <c r="C165" i="45"/>
  <c r="B165" i="45"/>
  <c r="H165" i="45"/>
  <c r="G165" i="45"/>
  <c r="F165" i="45"/>
  <c r="E165" i="45"/>
  <c r="D165" i="45"/>
  <c r="C167" i="45"/>
  <c r="B167" i="45"/>
  <c r="C167" i="43"/>
  <c r="B167" i="43"/>
  <c r="C165" i="43"/>
  <c r="B165" i="43"/>
  <c r="H165" i="43"/>
  <c r="G165" i="43"/>
  <c r="E165" i="43"/>
  <c r="D165" i="43"/>
  <c r="F165" i="43"/>
  <c r="C163" i="43"/>
  <c r="B163" i="43"/>
  <c r="H163" i="43"/>
  <c r="G163" i="43"/>
  <c r="F163" i="43"/>
  <c r="E163" i="43"/>
  <c r="D163" i="43"/>
  <c r="C157" i="43"/>
  <c r="C156" i="43" s="1"/>
  <c r="B157" i="43"/>
  <c r="B156" i="43" s="1"/>
  <c r="H157" i="43"/>
  <c r="H156" i="43" s="1"/>
  <c r="G157" i="43"/>
  <c r="G156" i="43" s="1"/>
  <c r="E157" i="43"/>
  <c r="E156" i="43" s="1"/>
  <c r="D157" i="43"/>
  <c r="D156" i="43" s="1"/>
  <c r="F157" i="43"/>
  <c r="F156" i="43" s="1"/>
  <c r="C161" i="43"/>
  <c r="B161" i="43"/>
  <c r="H161" i="43"/>
  <c r="G161" i="43"/>
  <c r="D161" i="43"/>
  <c r="F161" i="43"/>
  <c r="E161" i="43"/>
  <c r="C159" i="43"/>
  <c r="B159" i="43"/>
  <c r="H159" i="43"/>
  <c r="G159" i="43"/>
  <c r="F159" i="43"/>
  <c r="E159" i="43"/>
  <c r="D159" i="43"/>
  <c r="B167" i="42"/>
  <c r="C167" i="42"/>
  <c r="G165" i="42"/>
  <c r="F165" i="42"/>
  <c r="E165" i="42"/>
  <c r="D165" i="42"/>
  <c r="C165" i="42"/>
  <c r="H165" i="42"/>
  <c r="B165" i="42"/>
  <c r="G157" i="42"/>
  <c r="G156" i="42" s="1"/>
  <c r="F157" i="42"/>
  <c r="F156" i="42" s="1"/>
  <c r="E157" i="42"/>
  <c r="E156" i="42" s="1"/>
  <c r="D157" i="42"/>
  <c r="D156" i="42" s="1"/>
  <c r="C157" i="42"/>
  <c r="C156" i="42" s="1"/>
  <c r="H157" i="42"/>
  <c r="H156" i="42" s="1"/>
  <c r="B157" i="42"/>
  <c r="B156" i="42" s="1"/>
  <c r="G161" i="42"/>
  <c r="F161" i="42"/>
  <c r="E161" i="42"/>
  <c r="D161" i="42"/>
  <c r="C161" i="42"/>
  <c r="H161" i="42"/>
  <c r="B161" i="42"/>
  <c r="G163" i="42"/>
  <c r="F163" i="42"/>
  <c r="E163" i="42"/>
  <c r="D163" i="42"/>
  <c r="C163" i="42"/>
  <c r="H163" i="42"/>
  <c r="B163" i="42"/>
  <c r="G159" i="42"/>
  <c r="F159" i="42"/>
  <c r="E159" i="42"/>
  <c r="D159" i="42"/>
  <c r="C159" i="42"/>
  <c r="H159" i="42"/>
  <c r="B159" i="42"/>
  <c r="G161" i="41"/>
  <c r="C161" i="41"/>
  <c r="F161" i="41"/>
  <c r="B161" i="41"/>
  <c r="E161" i="41"/>
  <c r="H161" i="41"/>
  <c r="D161" i="41"/>
  <c r="G163" i="41"/>
  <c r="C163" i="41"/>
  <c r="F163" i="41"/>
  <c r="B163" i="41"/>
  <c r="E163" i="41"/>
  <c r="H163" i="41"/>
  <c r="D163" i="41"/>
  <c r="G157" i="41"/>
  <c r="G156" i="41" s="1"/>
  <c r="C157" i="41"/>
  <c r="C156" i="41" s="1"/>
  <c r="F157" i="41"/>
  <c r="F156" i="41" s="1"/>
  <c r="B157" i="41"/>
  <c r="B156" i="41" s="1"/>
  <c r="E157" i="41"/>
  <c r="E156" i="41" s="1"/>
  <c r="H157" i="41"/>
  <c r="H156" i="41" s="1"/>
  <c r="D157" i="41"/>
  <c r="D156" i="41" s="1"/>
  <c r="G165" i="41"/>
  <c r="C165" i="41"/>
  <c r="F165" i="41"/>
  <c r="B165" i="41"/>
  <c r="E165" i="41"/>
  <c r="H165" i="41"/>
  <c r="D165" i="41"/>
  <c r="G159" i="41"/>
  <c r="C159" i="41"/>
  <c r="F159" i="41"/>
  <c r="B159" i="41"/>
  <c r="E159" i="41"/>
  <c r="H159" i="41"/>
  <c r="D159" i="41"/>
  <c r="C167" i="41"/>
  <c r="B167" i="41"/>
  <c r="G157" i="40"/>
  <c r="G156" i="40" s="1"/>
  <c r="C157" i="40"/>
  <c r="C156" i="40" s="1"/>
  <c r="F157" i="40"/>
  <c r="F156" i="40" s="1"/>
  <c r="B157" i="40"/>
  <c r="B156" i="40" s="1"/>
  <c r="E157" i="40"/>
  <c r="E156" i="40" s="1"/>
  <c r="H157" i="40"/>
  <c r="H156" i="40" s="1"/>
  <c r="D157" i="40"/>
  <c r="D156" i="40" s="1"/>
  <c r="G165" i="40"/>
  <c r="C165" i="40"/>
  <c r="F165" i="40"/>
  <c r="B165" i="40"/>
  <c r="E165" i="40"/>
  <c r="H165" i="40"/>
  <c r="D165" i="40"/>
  <c r="G159" i="40"/>
  <c r="C159" i="40"/>
  <c r="F159" i="40"/>
  <c r="B159" i="40"/>
  <c r="E159" i="40"/>
  <c r="D159" i="40"/>
  <c r="H159" i="40"/>
  <c r="C167" i="40"/>
  <c r="B167" i="40"/>
  <c r="G161" i="40"/>
  <c r="C161" i="40"/>
  <c r="F161" i="40"/>
  <c r="B161" i="40"/>
  <c r="E161" i="40"/>
  <c r="H161" i="40"/>
  <c r="D161" i="40"/>
  <c r="G163" i="40"/>
  <c r="C163" i="40"/>
  <c r="F163" i="40"/>
  <c r="B163" i="40"/>
  <c r="E163" i="40"/>
  <c r="D163" i="40"/>
  <c r="H163" i="40"/>
  <c r="G161" i="39"/>
  <c r="C161" i="39"/>
  <c r="F161" i="39"/>
  <c r="B161" i="39"/>
  <c r="E161" i="39"/>
  <c r="H161" i="39"/>
  <c r="D161" i="39"/>
  <c r="G163" i="39"/>
  <c r="C163" i="39"/>
  <c r="F163" i="39"/>
  <c r="B163" i="39"/>
  <c r="E163" i="39"/>
  <c r="H163" i="39"/>
  <c r="D163" i="39"/>
  <c r="G157" i="39"/>
  <c r="G156" i="39" s="1"/>
  <c r="C157" i="39"/>
  <c r="C156" i="39" s="1"/>
  <c r="F157" i="39"/>
  <c r="F156" i="39" s="1"/>
  <c r="B157" i="39"/>
  <c r="B156" i="39" s="1"/>
  <c r="E157" i="39"/>
  <c r="E156" i="39" s="1"/>
  <c r="H157" i="39"/>
  <c r="H156" i="39" s="1"/>
  <c r="D157" i="39"/>
  <c r="D156" i="39" s="1"/>
  <c r="G165" i="39"/>
  <c r="C165" i="39"/>
  <c r="F165" i="39"/>
  <c r="B165" i="39"/>
  <c r="E165" i="39"/>
  <c r="H165" i="39"/>
  <c r="D165" i="39"/>
  <c r="G159" i="39"/>
  <c r="C159" i="39"/>
  <c r="F159" i="39"/>
  <c r="B159" i="39"/>
  <c r="E159" i="39"/>
  <c r="H159" i="39"/>
  <c r="D159" i="39"/>
  <c r="C167" i="39"/>
  <c r="B167" i="39"/>
  <c r="G157" i="38"/>
  <c r="G156" i="38" s="1"/>
  <c r="C157" i="38"/>
  <c r="C156" i="38" s="1"/>
  <c r="F157" i="38"/>
  <c r="F156" i="38" s="1"/>
  <c r="B157" i="38"/>
  <c r="B156" i="38" s="1"/>
  <c r="E157" i="38"/>
  <c r="E156" i="38" s="1"/>
  <c r="H157" i="38"/>
  <c r="H156" i="38" s="1"/>
  <c r="D157" i="38"/>
  <c r="D156" i="38" s="1"/>
  <c r="G165" i="38"/>
  <c r="C165" i="38"/>
  <c r="F165" i="38"/>
  <c r="B165" i="38"/>
  <c r="E165" i="38"/>
  <c r="H165" i="38"/>
  <c r="D165" i="38"/>
  <c r="G159" i="38"/>
  <c r="C159" i="38"/>
  <c r="F159" i="38"/>
  <c r="B159" i="38"/>
  <c r="E159" i="38"/>
  <c r="H159" i="38"/>
  <c r="D159" i="38"/>
  <c r="C167" i="38"/>
  <c r="B167" i="38"/>
  <c r="G161" i="38"/>
  <c r="C161" i="38"/>
  <c r="F161" i="38"/>
  <c r="B161" i="38"/>
  <c r="E161" i="38"/>
  <c r="H161" i="38"/>
  <c r="D161" i="38"/>
  <c r="G163" i="38"/>
  <c r="C163" i="38"/>
  <c r="F163" i="38"/>
  <c r="B163" i="38"/>
  <c r="E163" i="38"/>
  <c r="H163" i="38"/>
  <c r="D163" i="38"/>
  <c r="G163" i="37"/>
  <c r="C163" i="37"/>
  <c r="F163" i="37"/>
  <c r="B163" i="37"/>
  <c r="E163" i="37"/>
  <c r="H163" i="37"/>
  <c r="D163" i="37"/>
  <c r="G157" i="37"/>
  <c r="G156" i="37" s="1"/>
  <c r="C157" i="37"/>
  <c r="C156" i="37" s="1"/>
  <c r="F157" i="37"/>
  <c r="F156" i="37" s="1"/>
  <c r="B157" i="37"/>
  <c r="B156" i="37" s="1"/>
  <c r="E157" i="37"/>
  <c r="E156" i="37" s="1"/>
  <c r="H157" i="37"/>
  <c r="H156" i="37" s="1"/>
  <c r="D157" i="37"/>
  <c r="D156" i="37" s="1"/>
  <c r="G165" i="37"/>
  <c r="C165" i="37"/>
  <c r="F165" i="37"/>
  <c r="B165" i="37"/>
  <c r="E165" i="37"/>
  <c r="H165" i="37"/>
  <c r="D165" i="37"/>
  <c r="G159" i="37"/>
  <c r="C159" i="37"/>
  <c r="F159" i="37"/>
  <c r="B159" i="37"/>
  <c r="E159" i="37"/>
  <c r="H159" i="37"/>
  <c r="D159" i="37"/>
  <c r="C167" i="37"/>
  <c r="B167" i="37"/>
  <c r="G161" i="37"/>
  <c r="C161" i="37"/>
  <c r="F161" i="37"/>
  <c r="B161" i="37"/>
  <c r="E161" i="37"/>
  <c r="H161" i="37"/>
  <c r="D161" i="37"/>
  <c r="G157" i="36"/>
  <c r="G156" i="36" s="1"/>
  <c r="C157" i="36"/>
  <c r="C156" i="36" s="1"/>
  <c r="E157" i="36"/>
  <c r="E156" i="36" s="1"/>
  <c r="F157" i="36"/>
  <c r="F156" i="36" s="1"/>
  <c r="D157" i="36"/>
  <c r="D156" i="36" s="1"/>
  <c r="B157" i="36"/>
  <c r="B156" i="36" s="1"/>
  <c r="H157" i="36"/>
  <c r="H156" i="36" s="1"/>
  <c r="G165" i="36"/>
  <c r="C165" i="36"/>
  <c r="F165" i="36"/>
  <c r="B165" i="36"/>
  <c r="E165" i="36"/>
  <c r="H165" i="36"/>
  <c r="D165" i="36"/>
  <c r="G159" i="36"/>
  <c r="C159" i="36"/>
  <c r="E159" i="36"/>
  <c r="F159" i="36"/>
  <c r="D159" i="36"/>
  <c r="B159" i="36"/>
  <c r="H159" i="36"/>
  <c r="C167" i="36"/>
  <c r="B167" i="36"/>
  <c r="G161" i="36"/>
  <c r="C161" i="36"/>
  <c r="F161" i="36"/>
  <c r="E161" i="36"/>
  <c r="H161" i="36"/>
  <c r="D161" i="36"/>
  <c r="B161" i="36"/>
  <c r="G163" i="36"/>
  <c r="C163" i="36"/>
  <c r="F163" i="36"/>
  <c r="B163" i="36"/>
  <c r="E163" i="36"/>
  <c r="H163" i="36"/>
  <c r="D163" i="36"/>
  <c r="G161" i="35"/>
  <c r="C161" i="35"/>
  <c r="F161" i="35"/>
  <c r="B161" i="35"/>
  <c r="E161" i="35"/>
  <c r="H161" i="35"/>
  <c r="D161" i="35"/>
  <c r="G163" i="35"/>
  <c r="C163" i="35"/>
  <c r="F163" i="35"/>
  <c r="B163" i="35"/>
  <c r="E163" i="35"/>
  <c r="H163" i="35"/>
  <c r="D163" i="35"/>
  <c r="G157" i="35"/>
  <c r="G156" i="35" s="1"/>
  <c r="C157" i="35"/>
  <c r="C156" i="35" s="1"/>
  <c r="F157" i="35"/>
  <c r="F156" i="35" s="1"/>
  <c r="B157" i="35"/>
  <c r="B156" i="35" s="1"/>
  <c r="E157" i="35"/>
  <c r="E156" i="35" s="1"/>
  <c r="H157" i="35"/>
  <c r="H156" i="35" s="1"/>
  <c r="D157" i="35"/>
  <c r="D156" i="35" s="1"/>
  <c r="G165" i="35"/>
  <c r="C165" i="35"/>
  <c r="F165" i="35"/>
  <c r="B165" i="35"/>
  <c r="E165" i="35"/>
  <c r="H165" i="35"/>
  <c r="D165" i="35"/>
  <c r="G159" i="35"/>
  <c r="C159" i="35"/>
  <c r="F159" i="35"/>
  <c r="B159" i="35"/>
  <c r="E159" i="35"/>
  <c r="H159" i="35"/>
  <c r="D159" i="35"/>
  <c r="C167" i="35"/>
  <c r="B167" i="35"/>
  <c r="G157" i="34"/>
  <c r="G156" i="34" s="1"/>
  <c r="C157" i="34"/>
  <c r="C156" i="34" s="1"/>
  <c r="F157" i="34"/>
  <c r="F156" i="34" s="1"/>
  <c r="B157" i="34"/>
  <c r="B156" i="34" s="1"/>
  <c r="E157" i="34"/>
  <c r="E156" i="34" s="1"/>
  <c r="H157" i="34"/>
  <c r="H156" i="34" s="1"/>
  <c r="D157" i="34"/>
  <c r="D156" i="34" s="1"/>
  <c r="G165" i="34"/>
  <c r="C165" i="34"/>
  <c r="F165" i="34"/>
  <c r="B165" i="34"/>
  <c r="E165" i="34"/>
  <c r="H165" i="34"/>
  <c r="D165" i="34"/>
  <c r="G159" i="34"/>
  <c r="C159" i="34"/>
  <c r="F159" i="34"/>
  <c r="B159" i="34"/>
  <c r="E159" i="34"/>
  <c r="H159" i="34"/>
  <c r="D159" i="34"/>
  <c r="C167" i="34"/>
  <c r="B167" i="34"/>
  <c r="G161" i="34"/>
  <c r="C161" i="34"/>
  <c r="F161" i="34"/>
  <c r="B161" i="34"/>
  <c r="E161" i="34"/>
  <c r="H161" i="34"/>
  <c r="D161" i="34"/>
  <c r="G163" i="34"/>
  <c r="C163" i="34"/>
  <c r="F163" i="34"/>
  <c r="B163" i="34"/>
  <c r="E163" i="34"/>
  <c r="H163" i="34"/>
  <c r="D163" i="34"/>
  <c r="G161" i="33"/>
  <c r="C161" i="33"/>
  <c r="F161" i="33"/>
  <c r="B161" i="33"/>
  <c r="E161" i="33"/>
  <c r="H161" i="33"/>
  <c r="D161" i="33"/>
  <c r="G163" i="33"/>
  <c r="C163" i="33"/>
  <c r="F163" i="33"/>
  <c r="B163" i="33"/>
  <c r="E163" i="33"/>
  <c r="H163" i="33"/>
  <c r="D163" i="33"/>
  <c r="G157" i="33"/>
  <c r="G156" i="33" s="1"/>
  <c r="C157" i="33"/>
  <c r="C156" i="33" s="1"/>
  <c r="F157" i="33"/>
  <c r="F156" i="33" s="1"/>
  <c r="B157" i="33"/>
  <c r="B156" i="33" s="1"/>
  <c r="E157" i="33"/>
  <c r="E156" i="33" s="1"/>
  <c r="H157" i="33"/>
  <c r="H156" i="33" s="1"/>
  <c r="D157" i="33"/>
  <c r="D156" i="33" s="1"/>
  <c r="G165" i="33"/>
  <c r="C165" i="33"/>
  <c r="F165" i="33"/>
  <c r="B165" i="33"/>
  <c r="E165" i="33"/>
  <c r="H165" i="33"/>
  <c r="D165" i="33"/>
  <c r="G159" i="33"/>
  <c r="C159" i="33"/>
  <c r="F159" i="33"/>
  <c r="B159" i="33"/>
  <c r="E159" i="33"/>
  <c r="H159" i="33"/>
  <c r="D159" i="33"/>
  <c r="C167" i="33"/>
  <c r="B167" i="33"/>
  <c r="G161" i="32"/>
  <c r="C161" i="32"/>
  <c r="F161" i="32"/>
  <c r="B161" i="32"/>
  <c r="E161" i="32"/>
  <c r="H161" i="32"/>
  <c r="D161" i="32"/>
  <c r="C167" i="32"/>
  <c r="B167" i="32"/>
  <c r="G163" i="32"/>
  <c r="C163" i="32"/>
  <c r="F163" i="32"/>
  <c r="B163" i="32"/>
  <c r="E163" i="32"/>
  <c r="H163" i="32"/>
  <c r="D163" i="32"/>
  <c r="G159" i="32"/>
  <c r="C159" i="32"/>
  <c r="F159" i="32"/>
  <c r="B159" i="32"/>
  <c r="E159" i="32"/>
  <c r="H159" i="32"/>
  <c r="D159" i="32"/>
  <c r="G157" i="32"/>
  <c r="G156" i="32" s="1"/>
  <c r="C157" i="32"/>
  <c r="C156" i="32" s="1"/>
  <c r="F157" i="32"/>
  <c r="F156" i="32" s="1"/>
  <c r="B157" i="32"/>
  <c r="B156" i="32" s="1"/>
  <c r="E157" i="32"/>
  <c r="E156" i="32" s="1"/>
  <c r="H157" i="32"/>
  <c r="H156" i="32" s="1"/>
  <c r="D157" i="32"/>
  <c r="D156" i="32" s="1"/>
  <c r="G165" i="32"/>
  <c r="C165" i="32"/>
  <c r="F165" i="32"/>
  <c r="B165" i="32"/>
  <c r="E165" i="32"/>
  <c r="H165" i="32"/>
  <c r="D165" i="32"/>
  <c r="G161" i="31"/>
  <c r="C161" i="31"/>
  <c r="F161" i="31"/>
  <c r="B161" i="31"/>
  <c r="E161" i="31"/>
  <c r="H161" i="31"/>
  <c r="D161" i="31"/>
  <c r="C167" i="31"/>
  <c r="B167" i="31"/>
  <c r="G163" i="31"/>
  <c r="C163" i="31"/>
  <c r="F163" i="31"/>
  <c r="B163" i="31"/>
  <c r="E163" i="31"/>
  <c r="H163" i="31"/>
  <c r="D163" i="31"/>
  <c r="G159" i="31"/>
  <c r="C159" i="31"/>
  <c r="F159" i="31"/>
  <c r="B159" i="31"/>
  <c r="E159" i="31"/>
  <c r="H159" i="31"/>
  <c r="D159" i="31"/>
  <c r="G157" i="31"/>
  <c r="G156" i="31" s="1"/>
  <c r="C157" i="31"/>
  <c r="C156" i="31" s="1"/>
  <c r="F157" i="31"/>
  <c r="F156" i="31" s="1"/>
  <c r="B157" i="31"/>
  <c r="B156" i="31" s="1"/>
  <c r="E157" i="31"/>
  <c r="E156" i="31" s="1"/>
  <c r="H157" i="31"/>
  <c r="H156" i="31" s="1"/>
  <c r="D157" i="31"/>
  <c r="D156" i="31" s="1"/>
  <c r="G165" i="31"/>
  <c r="C165" i="31"/>
  <c r="F165" i="31"/>
  <c r="B165" i="31"/>
  <c r="E165" i="31"/>
  <c r="H165" i="31"/>
  <c r="D165" i="31"/>
  <c r="G159" i="30"/>
  <c r="C159" i="30"/>
  <c r="F159" i="30"/>
  <c r="B159" i="30"/>
  <c r="E159" i="30"/>
  <c r="H159" i="30"/>
  <c r="D159" i="30"/>
  <c r="C167" i="30"/>
  <c r="B167" i="30"/>
  <c r="G161" i="30"/>
  <c r="C161" i="30"/>
  <c r="F161" i="30"/>
  <c r="B161" i="30"/>
  <c r="E161" i="30"/>
  <c r="H161" i="30"/>
  <c r="D161" i="30"/>
  <c r="G163" i="30"/>
  <c r="C163" i="30"/>
  <c r="F163" i="30"/>
  <c r="B163" i="30"/>
  <c r="E163" i="30"/>
  <c r="H163" i="30"/>
  <c r="D163" i="30"/>
  <c r="G157" i="30"/>
  <c r="G156" i="30" s="1"/>
  <c r="C157" i="30"/>
  <c r="C156" i="30" s="1"/>
  <c r="F157" i="30"/>
  <c r="F156" i="30" s="1"/>
  <c r="B157" i="30"/>
  <c r="B156" i="30" s="1"/>
  <c r="E157" i="30"/>
  <c r="E156" i="30" s="1"/>
  <c r="H157" i="30"/>
  <c r="H156" i="30" s="1"/>
  <c r="D157" i="30"/>
  <c r="D156" i="30" s="1"/>
  <c r="G165" i="30"/>
  <c r="C165" i="30"/>
  <c r="F165" i="30"/>
  <c r="B165" i="30"/>
  <c r="E165" i="30"/>
  <c r="H165" i="30"/>
  <c r="D165" i="30"/>
  <c r="G161" i="29"/>
  <c r="C161" i="29"/>
  <c r="F161" i="29"/>
  <c r="B161" i="29"/>
  <c r="E161" i="29"/>
  <c r="H161" i="29"/>
  <c r="D161" i="29"/>
  <c r="G163" i="29"/>
  <c r="C163" i="29"/>
  <c r="F163" i="29"/>
  <c r="B163" i="29"/>
  <c r="E163" i="29"/>
  <c r="H163" i="29"/>
  <c r="D163" i="29"/>
  <c r="G157" i="29"/>
  <c r="G156" i="29" s="1"/>
  <c r="C157" i="29"/>
  <c r="C156" i="29" s="1"/>
  <c r="F157" i="29"/>
  <c r="F156" i="29" s="1"/>
  <c r="B157" i="29"/>
  <c r="B156" i="29" s="1"/>
  <c r="E157" i="29"/>
  <c r="E156" i="29" s="1"/>
  <c r="H157" i="29"/>
  <c r="H156" i="29" s="1"/>
  <c r="D157" i="29"/>
  <c r="D156" i="29" s="1"/>
  <c r="G165" i="29"/>
  <c r="C165" i="29"/>
  <c r="F165" i="29"/>
  <c r="B165" i="29"/>
  <c r="E165" i="29"/>
  <c r="H165" i="29"/>
  <c r="D165" i="29"/>
  <c r="G159" i="29"/>
  <c r="C159" i="29"/>
  <c r="F159" i="29"/>
  <c r="B159" i="29"/>
  <c r="E159" i="29"/>
  <c r="H159" i="29"/>
  <c r="D159" i="29"/>
  <c r="C167" i="29"/>
  <c r="B167" i="29"/>
  <c r="G165" i="28"/>
  <c r="C165" i="28"/>
  <c r="F165" i="28"/>
  <c r="B165" i="28"/>
  <c r="E165" i="28"/>
  <c r="H165" i="28"/>
  <c r="D165" i="28"/>
  <c r="G159" i="28"/>
  <c r="C159" i="28"/>
  <c r="F159" i="28"/>
  <c r="B159" i="28"/>
  <c r="E159" i="28"/>
  <c r="H159" i="28"/>
  <c r="D159" i="28"/>
  <c r="C167" i="28"/>
  <c r="B167" i="28"/>
  <c r="G157" i="28"/>
  <c r="G156" i="28" s="1"/>
  <c r="C157" i="28"/>
  <c r="C156" i="28" s="1"/>
  <c r="F157" i="28"/>
  <c r="F156" i="28" s="1"/>
  <c r="B157" i="28"/>
  <c r="B156" i="28" s="1"/>
  <c r="E157" i="28"/>
  <c r="E156" i="28" s="1"/>
  <c r="H157" i="28"/>
  <c r="H156" i="28" s="1"/>
  <c r="D157" i="28"/>
  <c r="D156" i="28" s="1"/>
  <c r="G161" i="28"/>
  <c r="C161" i="28"/>
  <c r="F161" i="28"/>
  <c r="B161" i="28"/>
  <c r="E161" i="28"/>
  <c r="H161" i="28"/>
  <c r="D161" i="28"/>
  <c r="G163" i="28"/>
  <c r="C163" i="28"/>
  <c r="F163" i="28"/>
  <c r="B163" i="28"/>
  <c r="E163" i="28"/>
  <c r="H163" i="28"/>
  <c r="D163" i="28"/>
  <c r="G161" i="27"/>
  <c r="C161" i="27"/>
  <c r="F161" i="27"/>
  <c r="B161" i="27"/>
  <c r="E161" i="27"/>
  <c r="H161" i="27"/>
  <c r="D161" i="27"/>
  <c r="G163" i="27"/>
  <c r="C163" i="27"/>
  <c r="F163" i="27"/>
  <c r="B163" i="27"/>
  <c r="E163" i="27"/>
  <c r="H163" i="27"/>
  <c r="D163" i="27"/>
  <c r="G157" i="27"/>
  <c r="G156" i="27" s="1"/>
  <c r="C157" i="27"/>
  <c r="C156" i="27" s="1"/>
  <c r="F157" i="27"/>
  <c r="F156" i="27" s="1"/>
  <c r="B157" i="27"/>
  <c r="B156" i="27" s="1"/>
  <c r="E157" i="27"/>
  <c r="E156" i="27" s="1"/>
  <c r="H157" i="27"/>
  <c r="H156" i="27" s="1"/>
  <c r="D157" i="27"/>
  <c r="D156" i="27" s="1"/>
  <c r="G165" i="27"/>
  <c r="C165" i="27"/>
  <c r="F165" i="27"/>
  <c r="B165" i="27"/>
  <c r="E165" i="27"/>
  <c r="H165" i="27"/>
  <c r="D165" i="27"/>
  <c r="G159" i="27"/>
  <c r="C159" i="27"/>
  <c r="F159" i="27"/>
  <c r="B159" i="27"/>
  <c r="E159" i="27"/>
  <c r="H159" i="27"/>
  <c r="D159" i="27"/>
  <c r="C167" i="27"/>
  <c r="B167" i="27"/>
  <c r="G163" i="26"/>
  <c r="C163" i="26"/>
  <c r="F163" i="26"/>
  <c r="B163" i="26"/>
  <c r="E163" i="26"/>
  <c r="H163" i="26"/>
  <c r="D163" i="26"/>
  <c r="G157" i="26"/>
  <c r="G156" i="26" s="1"/>
  <c r="C157" i="26"/>
  <c r="C156" i="26" s="1"/>
  <c r="F157" i="26"/>
  <c r="F156" i="26" s="1"/>
  <c r="B157" i="26"/>
  <c r="B156" i="26" s="1"/>
  <c r="E157" i="26"/>
  <c r="E156" i="26" s="1"/>
  <c r="H157" i="26"/>
  <c r="H156" i="26" s="1"/>
  <c r="D157" i="26"/>
  <c r="D156" i="26" s="1"/>
  <c r="G165" i="26"/>
  <c r="C165" i="26"/>
  <c r="F165" i="26"/>
  <c r="B165" i="26"/>
  <c r="E165" i="26"/>
  <c r="H165" i="26"/>
  <c r="D165" i="26"/>
  <c r="G159" i="26"/>
  <c r="C159" i="26"/>
  <c r="F159" i="26"/>
  <c r="B159" i="26"/>
  <c r="E159" i="26"/>
  <c r="H159" i="26"/>
  <c r="D159" i="26"/>
  <c r="C167" i="26"/>
  <c r="B167" i="26"/>
  <c r="G161" i="26"/>
  <c r="C161" i="26"/>
  <c r="F161" i="26"/>
  <c r="B161" i="26"/>
  <c r="E161" i="26"/>
  <c r="H161" i="26"/>
  <c r="D161" i="26"/>
  <c r="G157" i="25"/>
  <c r="G156" i="25" s="1"/>
  <c r="C157" i="25"/>
  <c r="C156" i="25" s="1"/>
  <c r="F157" i="25"/>
  <c r="F156" i="25" s="1"/>
  <c r="B157" i="25"/>
  <c r="B156" i="25" s="1"/>
  <c r="E157" i="25"/>
  <c r="E156" i="25" s="1"/>
  <c r="H157" i="25"/>
  <c r="H156" i="25" s="1"/>
  <c r="D157" i="25"/>
  <c r="D156" i="25" s="1"/>
  <c r="G165" i="25"/>
  <c r="C165" i="25"/>
  <c r="F165" i="25"/>
  <c r="B165" i="25"/>
  <c r="E165" i="25"/>
  <c r="H165" i="25"/>
  <c r="D165" i="25"/>
  <c r="G159" i="25"/>
  <c r="C159" i="25"/>
  <c r="F159" i="25"/>
  <c r="B159" i="25"/>
  <c r="E159" i="25"/>
  <c r="H159" i="25"/>
  <c r="D159" i="25"/>
  <c r="C167" i="25"/>
  <c r="B167" i="25"/>
  <c r="G161" i="25"/>
  <c r="C161" i="25"/>
  <c r="F161" i="25"/>
  <c r="B161" i="25"/>
  <c r="E161" i="25"/>
  <c r="H161" i="25"/>
  <c r="D161" i="25"/>
  <c r="G163" i="25"/>
  <c r="C163" i="25"/>
  <c r="F163" i="25"/>
  <c r="B163" i="25"/>
  <c r="E163" i="25"/>
  <c r="H163" i="25"/>
  <c r="D163" i="25"/>
  <c r="G159" i="24"/>
  <c r="C159" i="24"/>
  <c r="F159" i="24"/>
  <c r="B159" i="24"/>
  <c r="E159" i="24"/>
  <c r="H159" i="24"/>
  <c r="D159" i="24"/>
  <c r="C167" i="24"/>
  <c r="B167" i="24"/>
  <c r="G161" i="24"/>
  <c r="C161" i="24"/>
  <c r="F161" i="24"/>
  <c r="B161" i="24"/>
  <c r="E161" i="24"/>
  <c r="H161" i="24"/>
  <c r="D161" i="24"/>
  <c r="G163" i="24"/>
  <c r="C163" i="24"/>
  <c r="F163" i="24"/>
  <c r="B163" i="24"/>
  <c r="E163" i="24"/>
  <c r="H163" i="24"/>
  <c r="D163" i="24"/>
  <c r="G157" i="24"/>
  <c r="G156" i="24" s="1"/>
  <c r="C157" i="24"/>
  <c r="C156" i="24" s="1"/>
  <c r="F157" i="24"/>
  <c r="F156" i="24" s="1"/>
  <c r="B157" i="24"/>
  <c r="B156" i="24" s="1"/>
  <c r="E157" i="24"/>
  <c r="E156" i="24" s="1"/>
  <c r="H157" i="24"/>
  <c r="H156" i="24" s="1"/>
  <c r="D157" i="24"/>
  <c r="D156" i="24" s="1"/>
  <c r="G165" i="24"/>
  <c r="C165" i="24"/>
  <c r="F165" i="24"/>
  <c r="B165" i="24"/>
  <c r="E165" i="24"/>
  <c r="H165" i="24"/>
  <c r="D165" i="24"/>
  <c r="C167" i="23"/>
  <c r="B167" i="23"/>
  <c r="G157" i="23"/>
  <c r="G156" i="23" s="1"/>
  <c r="C157" i="23"/>
  <c r="C156" i="23" s="1"/>
  <c r="F157" i="23"/>
  <c r="F156" i="23" s="1"/>
  <c r="B157" i="23"/>
  <c r="B156" i="23" s="1"/>
  <c r="H157" i="23"/>
  <c r="H156" i="23" s="1"/>
  <c r="D157" i="23"/>
  <c r="D156" i="23" s="1"/>
  <c r="E157" i="23"/>
  <c r="E156" i="23" s="1"/>
  <c r="G163" i="23"/>
  <c r="C163" i="23"/>
  <c r="F163" i="23"/>
  <c r="B163" i="23"/>
  <c r="H163" i="23"/>
  <c r="D163" i="23"/>
  <c r="E163" i="23"/>
  <c r="G161" i="23"/>
  <c r="C161" i="23"/>
  <c r="F161" i="23"/>
  <c r="B161" i="23"/>
  <c r="H161" i="23"/>
  <c r="D161" i="23"/>
  <c r="E161" i="23"/>
  <c r="G159" i="23"/>
  <c r="C159" i="23"/>
  <c r="F159" i="23"/>
  <c r="B159" i="23"/>
  <c r="H159" i="23"/>
  <c r="D159" i="23"/>
  <c r="E159" i="23"/>
  <c r="G165" i="23"/>
  <c r="C165" i="23"/>
  <c r="F165" i="23"/>
  <c r="B165" i="23"/>
  <c r="H165" i="23"/>
  <c r="D165" i="23"/>
  <c r="E165" i="23"/>
  <c r="C167" i="22"/>
  <c r="B167" i="22"/>
  <c r="G161" i="22"/>
  <c r="C161" i="22"/>
  <c r="F161" i="22"/>
  <c r="B161" i="22"/>
  <c r="E161" i="22"/>
  <c r="H161" i="22"/>
  <c r="D161" i="22"/>
  <c r="G159" i="22"/>
  <c r="C159" i="22"/>
  <c r="F159" i="22"/>
  <c r="B159" i="22"/>
  <c r="E159" i="22"/>
  <c r="H159" i="22"/>
  <c r="D159" i="22"/>
  <c r="G163" i="22"/>
  <c r="C163" i="22"/>
  <c r="F163" i="22"/>
  <c r="B163" i="22"/>
  <c r="E163" i="22"/>
  <c r="H163" i="22"/>
  <c r="D163" i="22"/>
  <c r="G157" i="22"/>
  <c r="G156" i="22" s="1"/>
  <c r="C157" i="22"/>
  <c r="C156" i="22" s="1"/>
  <c r="F157" i="22"/>
  <c r="F156" i="22" s="1"/>
  <c r="B157" i="22"/>
  <c r="B156" i="22" s="1"/>
  <c r="E157" i="22"/>
  <c r="E156" i="22" s="1"/>
  <c r="H157" i="22"/>
  <c r="H156" i="22" s="1"/>
  <c r="D157" i="22"/>
  <c r="D156" i="22" s="1"/>
  <c r="G165" i="22"/>
  <c r="C165" i="22"/>
  <c r="F165" i="22"/>
  <c r="B165" i="22"/>
  <c r="E165" i="22"/>
  <c r="H165" i="22"/>
  <c r="D165" i="22"/>
  <c r="G157" i="21"/>
  <c r="G156" i="21" s="1"/>
  <c r="C157" i="21"/>
  <c r="C156" i="21" s="1"/>
  <c r="F157" i="21"/>
  <c r="F156" i="21" s="1"/>
  <c r="B157" i="21"/>
  <c r="B156" i="21" s="1"/>
  <c r="E157" i="21"/>
  <c r="E156" i="21" s="1"/>
  <c r="H157" i="21"/>
  <c r="H156" i="21" s="1"/>
  <c r="D157" i="21"/>
  <c r="D156" i="21" s="1"/>
  <c r="G165" i="21"/>
  <c r="C165" i="21"/>
  <c r="F165" i="21"/>
  <c r="B165" i="21"/>
  <c r="E165" i="21"/>
  <c r="H165" i="21"/>
  <c r="D165" i="21"/>
  <c r="G159" i="21"/>
  <c r="C159" i="21"/>
  <c r="F159" i="21"/>
  <c r="B159" i="21"/>
  <c r="E159" i="21"/>
  <c r="H159" i="21"/>
  <c r="D159" i="21"/>
  <c r="C167" i="21"/>
  <c r="B167" i="21"/>
  <c r="G163" i="21"/>
  <c r="C163" i="21"/>
  <c r="F163" i="21"/>
  <c r="B163" i="21"/>
  <c r="E163" i="21"/>
  <c r="H163" i="21"/>
  <c r="D163" i="21"/>
  <c r="G161" i="21"/>
  <c r="C161" i="21"/>
  <c r="F161" i="21"/>
  <c r="B161" i="21"/>
  <c r="E161" i="21"/>
  <c r="H161" i="21"/>
  <c r="D161" i="21"/>
  <c r="G163" i="20"/>
  <c r="C163" i="20"/>
  <c r="F163" i="20"/>
  <c r="B163" i="20"/>
  <c r="H163" i="20"/>
  <c r="E163" i="20"/>
  <c r="D163" i="20"/>
  <c r="G161" i="20"/>
  <c r="C161" i="20"/>
  <c r="F161" i="20"/>
  <c r="B161" i="20"/>
  <c r="H161" i="20"/>
  <c r="E161" i="20"/>
  <c r="D161" i="20"/>
  <c r="G157" i="20"/>
  <c r="G156" i="20" s="1"/>
  <c r="C157" i="20"/>
  <c r="C156" i="20" s="1"/>
  <c r="F157" i="20"/>
  <c r="F156" i="20" s="1"/>
  <c r="B157" i="20"/>
  <c r="B156" i="20" s="1"/>
  <c r="H157" i="20"/>
  <c r="H156" i="20" s="1"/>
  <c r="E157" i="20"/>
  <c r="E156" i="20" s="1"/>
  <c r="D157" i="20"/>
  <c r="D156" i="20" s="1"/>
  <c r="G165" i="20"/>
  <c r="C165" i="20"/>
  <c r="F165" i="20"/>
  <c r="B165" i="20"/>
  <c r="H165" i="20"/>
  <c r="E165" i="20"/>
  <c r="D165" i="20"/>
  <c r="G159" i="20"/>
  <c r="C159" i="20"/>
  <c r="F159" i="20"/>
  <c r="B159" i="20"/>
  <c r="H159" i="20"/>
  <c r="E159" i="20"/>
  <c r="D159" i="20"/>
  <c r="C167" i="20"/>
  <c r="B167" i="20"/>
  <c r="G161" i="19"/>
  <c r="C161" i="19"/>
  <c r="F161" i="19"/>
  <c r="B161" i="19"/>
  <c r="E161" i="19"/>
  <c r="H161" i="19"/>
  <c r="D161" i="19"/>
  <c r="G163" i="19"/>
  <c r="C163" i="19"/>
  <c r="F163" i="19"/>
  <c r="B163" i="19"/>
  <c r="E163" i="19"/>
  <c r="H163" i="19"/>
  <c r="D163" i="19"/>
  <c r="G157" i="19"/>
  <c r="G156" i="19" s="1"/>
  <c r="C157" i="19"/>
  <c r="C156" i="19" s="1"/>
  <c r="F157" i="19"/>
  <c r="F156" i="19" s="1"/>
  <c r="B157" i="19"/>
  <c r="B156" i="19" s="1"/>
  <c r="E157" i="19"/>
  <c r="E156" i="19" s="1"/>
  <c r="H157" i="19"/>
  <c r="H156" i="19" s="1"/>
  <c r="D157" i="19"/>
  <c r="D156" i="19" s="1"/>
  <c r="G165" i="19"/>
  <c r="C165" i="19"/>
  <c r="F165" i="19"/>
  <c r="B165" i="19"/>
  <c r="E165" i="19"/>
  <c r="H165" i="19"/>
  <c r="D165" i="19"/>
  <c r="G159" i="19"/>
  <c r="C159" i="19"/>
  <c r="F159" i="19"/>
  <c r="B159" i="19"/>
  <c r="E159" i="19"/>
  <c r="H159" i="19"/>
  <c r="D159" i="19"/>
  <c r="C167" i="19"/>
  <c r="B167" i="19"/>
  <c r="G161" i="18"/>
  <c r="C161" i="18"/>
  <c r="F161" i="18"/>
  <c r="B161" i="18"/>
  <c r="E161" i="18"/>
  <c r="H161" i="18"/>
  <c r="D161" i="18"/>
  <c r="G163" i="18"/>
  <c r="C163" i="18"/>
  <c r="F163" i="18"/>
  <c r="B163" i="18"/>
  <c r="E163" i="18"/>
  <c r="H163" i="18"/>
  <c r="D163" i="18"/>
  <c r="G157" i="18"/>
  <c r="G156" i="18" s="1"/>
  <c r="C157" i="18"/>
  <c r="C156" i="18" s="1"/>
  <c r="F157" i="18"/>
  <c r="F156" i="18" s="1"/>
  <c r="B157" i="18"/>
  <c r="B156" i="18" s="1"/>
  <c r="E157" i="18"/>
  <c r="E156" i="18" s="1"/>
  <c r="H157" i="18"/>
  <c r="H156" i="18" s="1"/>
  <c r="D157" i="18"/>
  <c r="D156" i="18" s="1"/>
  <c r="G165" i="18"/>
  <c r="C165" i="18"/>
  <c r="F165" i="18"/>
  <c r="B165" i="18"/>
  <c r="E165" i="18"/>
  <c r="H165" i="18"/>
  <c r="D165" i="18"/>
  <c r="G159" i="18"/>
  <c r="C159" i="18"/>
  <c r="F159" i="18"/>
  <c r="B159" i="18"/>
  <c r="E159" i="18"/>
  <c r="H159" i="18"/>
  <c r="D159" i="18"/>
  <c r="C167" i="18"/>
  <c r="B167" i="18"/>
  <c r="G161" i="17"/>
  <c r="C161" i="17"/>
  <c r="F161" i="17"/>
  <c r="B161" i="17"/>
  <c r="H161" i="17"/>
  <c r="E161" i="17"/>
  <c r="D161" i="17"/>
  <c r="G159" i="17"/>
  <c r="C159" i="17"/>
  <c r="F159" i="17"/>
  <c r="B159" i="17"/>
  <c r="H159" i="17"/>
  <c r="E159" i="17"/>
  <c r="D159" i="17"/>
  <c r="G163" i="17"/>
  <c r="C163" i="17"/>
  <c r="F163" i="17"/>
  <c r="B163" i="17"/>
  <c r="H163" i="17"/>
  <c r="E163" i="17"/>
  <c r="D163" i="17"/>
  <c r="C167" i="17"/>
  <c r="B167" i="17"/>
  <c r="G157" i="17"/>
  <c r="G156" i="17" s="1"/>
  <c r="C157" i="17"/>
  <c r="C156" i="17" s="1"/>
  <c r="F157" i="17"/>
  <c r="F156" i="17" s="1"/>
  <c r="B157" i="17"/>
  <c r="B156" i="17" s="1"/>
  <c r="H157" i="17"/>
  <c r="H156" i="17" s="1"/>
  <c r="E157" i="17"/>
  <c r="E156" i="17" s="1"/>
  <c r="D157" i="17"/>
  <c r="D156" i="17" s="1"/>
  <c r="G165" i="17"/>
  <c r="C165" i="17"/>
  <c r="F165" i="17"/>
  <c r="B165" i="17"/>
  <c r="H165" i="17"/>
  <c r="E165" i="17"/>
  <c r="D165" i="17"/>
  <c r="G165" i="16"/>
  <c r="C165" i="16"/>
  <c r="F165" i="16"/>
  <c r="B165" i="16"/>
  <c r="H165" i="16"/>
  <c r="E165" i="16"/>
  <c r="D165" i="16"/>
  <c r="G163" i="16"/>
  <c r="C163" i="16"/>
  <c r="F163" i="16"/>
  <c r="B163" i="16"/>
  <c r="H163" i="16"/>
  <c r="E163" i="16"/>
  <c r="D163" i="16"/>
  <c r="C167" i="16"/>
  <c r="B167" i="16"/>
  <c r="G157" i="16"/>
  <c r="G156" i="16" s="1"/>
  <c r="C157" i="16"/>
  <c r="C156" i="16" s="1"/>
  <c r="F157" i="16"/>
  <c r="F156" i="16" s="1"/>
  <c r="B157" i="16"/>
  <c r="B156" i="16" s="1"/>
  <c r="H157" i="16"/>
  <c r="H156" i="16" s="1"/>
  <c r="E157" i="16"/>
  <c r="E156" i="16" s="1"/>
  <c r="D157" i="16"/>
  <c r="D156" i="16" s="1"/>
  <c r="G159" i="16"/>
  <c r="C159" i="16"/>
  <c r="F159" i="16"/>
  <c r="B159" i="16"/>
  <c r="H159" i="16"/>
  <c r="E159" i="16"/>
  <c r="D159" i="16"/>
  <c r="G161" i="16"/>
  <c r="C161" i="16"/>
  <c r="F161" i="16"/>
  <c r="B161" i="16"/>
  <c r="H161" i="16"/>
  <c r="E161" i="16"/>
  <c r="D161" i="16"/>
  <c r="G161" i="15"/>
  <c r="C161" i="15"/>
  <c r="F161" i="15"/>
  <c r="B161" i="15"/>
  <c r="H161" i="15"/>
  <c r="E161" i="15"/>
  <c r="D161" i="15"/>
  <c r="G163" i="15"/>
  <c r="C163" i="15"/>
  <c r="F163" i="15"/>
  <c r="B163" i="15"/>
  <c r="E163" i="15"/>
  <c r="H163" i="15"/>
  <c r="D163" i="15"/>
  <c r="G159" i="15"/>
  <c r="C159" i="15"/>
  <c r="F159" i="15"/>
  <c r="B159" i="15"/>
  <c r="H159" i="15"/>
  <c r="E159" i="15"/>
  <c r="D159" i="15"/>
  <c r="G165" i="15"/>
  <c r="C165" i="15"/>
  <c r="F165" i="15"/>
  <c r="B165" i="15"/>
  <c r="E165" i="15"/>
  <c r="H165" i="15"/>
  <c r="D165" i="15"/>
  <c r="G157" i="15"/>
  <c r="G156" i="15" s="1"/>
  <c r="C157" i="15"/>
  <c r="C156" i="15" s="1"/>
  <c r="F157" i="15"/>
  <c r="F156" i="15" s="1"/>
  <c r="B157" i="15"/>
  <c r="B156" i="15" s="1"/>
  <c r="H157" i="15"/>
  <c r="H156" i="15" s="1"/>
  <c r="E157" i="15"/>
  <c r="E156" i="15" s="1"/>
  <c r="D157" i="15"/>
  <c r="D156" i="15" s="1"/>
  <c r="C167" i="15"/>
  <c r="B167" i="15"/>
  <c r="E165" i="14"/>
  <c r="G165" i="14"/>
  <c r="F165" i="14"/>
  <c r="B165" i="14"/>
  <c r="D165" i="14"/>
  <c r="H165" i="14"/>
  <c r="C163" i="14"/>
  <c r="C157" i="14"/>
  <c r="C156" i="14" s="1"/>
  <c r="G157" i="14"/>
  <c r="G156" i="14" s="1"/>
  <c r="H157" i="14"/>
  <c r="H156" i="14" s="1"/>
  <c r="B157" i="14"/>
  <c r="B156" i="14" s="1"/>
  <c r="H163" i="14"/>
  <c r="E157" i="14"/>
  <c r="E156" i="14" s="1"/>
  <c r="F157" i="14"/>
  <c r="F156" i="14" s="1"/>
  <c r="B163" i="14"/>
  <c r="D161" i="14"/>
  <c r="H161" i="14"/>
  <c r="E161" i="14"/>
  <c r="F161" i="14"/>
  <c r="C161" i="14"/>
  <c r="G161" i="14"/>
  <c r="C159" i="14"/>
  <c r="H159" i="14"/>
  <c r="E159" i="14"/>
  <c r="B159" i="14"/>
  <c r="F159" i="14"/>
  <c r="D159" i="14"/>
  <c r="B167" i="14"/>
  <c r="D163" i="14"/>
  <c r="G163" i="14"/>
  <c r="E163" i="14"/>
</calcChain>
</file>

<file path=xl/sharedStrings.xml><?xml version="1.0" encoding="utf-8"?>
<sst xmlns="http://schemas.openxmlformats.org/spreadsheetml/2006/main" count="1506" uniqueCount="200">
  <si>
    <t>LUNES</t>
  </si>
  <si>
    <t>Notas:</t>
  </si>
  <si>
    <t>enero</t>
  </si>
  <si>
    <t>PACIENTE: CARLOS ADRIÁN GÓMEZ AMBROSIO</t>
  </si>
  <si>
    <t>GUADALUPE AMBROSIO MARTÍNEZ</t>
  </si>
  <si>
    <t>MARTHA 10:00 A 16:00</t>
  </si>
  <si>
    <t>JOSÉ MARÍA MARTÍNEZ ÁLVAREZ</t>
  </si>
  <si>
    <t>JUDITH ÁLVAREZ JIMÉNEZ</t>
  </si>
  <si>
    <t>SALVADOR MARTÍNEZ ÁLVAREZ</t>
  </si>
  <si>
    <t>DIEGO MARTÍNEZ ÁLVAREZ</t>
  </si>
  <si>
    <t>MARIANA ALEJANDRA CISNEROS ÁVILA</t>
  </si>
  <si>
    <t>ESPERANZA</t>
  </si>
  <si>
    <t>JOSHUA NAIN ROMERO FONSECA</t>
  </si>
  <si>
    <t>ISABEL RAQUEL FONSECA ROMERO</t>
  </si>
  <si>
    <t>JOSÉ LUIS SANTAMARÍA</t>
  </si>
  <si>
    <t>ANGELES SANTAMARÍA</t>
  </si>
  <si>
    <t>PACIENTE: MARÍA TERESA MORA DE MUCHA</t>
  </si>
  <si>
    <t>RODOLFO / MARÍA JOSÉ</t>
  </si>
  <si>
    <t>MALE DE 08:00 A 08:00</t>
  </si>
  <si>
    <t>ANA PAO 24HRS</t>
  </si>
  <si>
    <t>MALE 24 HRS</t>
  </si>
  <si>
    <t>JEANNET 24HRS/MARIANA 24HRS</t>
  </si>
  <si>
    <t>PACIENTE: MANUEL QUIROZ TORRES</t>
  </si>
  <si>
    <t>MANUEL QUIRÓS</t>
  </si>
  <si>
    <t xml:space="preserve">ROSALBA DE 08:00 A 20:00 </t>
  </si>
  <si>
    <t>PACIENTE: LEONARDO AUTRIQUE CORREDOR</t>
  </si>
  <si>
    <t>ANA MARÍA CORREDOR AUTRIQUE</t>
  </si>
  <si>
    <t>ALFREDO DE 08:00 A 20:00HRS</t>
  </si>
  <si>
    <t>PACIENTE: MARGIT FRENK FREUN</t>
  </si>
  <si>
    <t>SILVIA ALATORRE FRENK</t>
  </si>
  <si>
    <t>GUILLE 24 HRS</t>
  </si>
  <si>
    <t>PACIENTE: ESTEBAN FLORES ARAUZ</t>
  </si>
  <si>
    <t>CECILIA FLORES GARCÍA</t>
  </si>
  <si>
    <t>LUIS 24 HORAS</t>
  </si>
  <si>
    <t>VÍCTOR 24 HORAS</t>
  </si>
  <si>
    <t>GILBERTO PÉREZ SAMPEDRO</t>
  </si>
  <si>
    <t>MARÍA TERESA PÉREZ SICARD</t>
  </si>
  <si>
    <t>EDUARDO DE 10:00 A 15:30</t>
  </si>
  <si>
    <t>MARÍA ELENA JUÁREZ ALLENDE</t>
  </si>
  <si>
    <t>MARI FER 10:00 A 18:00 HORAS</t>
  </si>
  <si>
    <t>MARÍA DEL ROSARIO VILLANUEVA VIZCARRA</t>
  </si>
  <si>
    <t>LORENA ESPIRITU VILLANUEVA</t>
  </si>
  <si>
    <t>KARI DE 10:00 A 18:00</t>
  </si>
  <si>
    <t>PATY DE 08:00 A 20:00</t>
  </si>
  <si>
    <t>ISABEL SÁNCHEZ TERÁN</t>
  </si>
  <si>
    <t>ELIZABETH</t>
  </si>
  <si>
    <t>LESS DE 09:00 A 16:30</t>
  </si>
  <si>
    <t>LESS 2 DE 09:00 A 16:30</t>
  </si>
  <si>
    <t>ARTURO DÍAZ SÁNCHEZ</t>
  </si>
  <si>
    <t>EDUARDO DÍAZ DENOPALA</t>
  </si>
  <si>
    <t>ROBERTO DE 08:30 A 20:30</t>
  </si>
  <si>
    <t>DIEGO H DE 08:30 A 20:30</t>
  </si>
  <si>
    <t>EDUARDO DE 08:30 A 20:30</t>
  </si>
  <si>
    <t>EDUARDO 24 HRS</t>
  </si>
  <si>
    <t>MIGUEL MAYORGA MOLINA</t>
  </si>
  <si>
    <t>REBECA MAYORGA GARAY</t>
  </si>
  <si>
    <t>MARCO DE 10:00 A 16:00</t>
  </si>
  <si>
    <t>VALDEMAR RAYAS TOVAR</t>
  </si>
  <si>
    <t>MARIANA VENEGAS RAYAS</t>
  </si>
  <si>
    <t>MOY DE 08:00 A 20:00</t>
  </si>
  <si>
    <t>HÉCTOR DE 08:00 A 20:00</t>
  </si>
  <si>
    <t>ANA LUISA CHÁVEZ VÁZQUEZ</t>
  </si>
  <si>
    <t>ANA ARAGÓN CHÁVEZ</t>
  </si>
  <si>
    <t>MOY DE 09:30 A 15:30</t>
  </si>
  <si>
    <t>SARAHÍ DE 09:30 A 15:30</t>
  </si>
  <si>
    <t>SILVIA SERVIN NOVEROLA</t>
  </si>
  <si>
    <t>OLIVIA RENTERIA SERVIN</t>
  </si>
  <si>
    <t>ALMA DE 10:00 A 18:00</t>
  </si>
  <si>
    <t>ÁNGELA DE 10:00 A 18:00</t>
  </si>
  <si>
    <t>ROBERTO LUNA RODRÍGUEZ</t>
  </si>
  <si>
    <t xml:space="preserve">MARÍA EUGENIA LUNA </t>
  </si>
  <si>
    <t>MARIANA 10:00 A 16:00</t>
  </si>
  <si>
    <t>IRAÍS 10:00 A 16:00</t>
  </si>
  <si>
    <t>CARLOS JOSÉ ARROYO SANTISTEBAN</t>
  </si>
  <si>
    <t>MA. DEL CARMEN ARROYO</t>
  </si>
  <si>
    <t>TOMÁS DE 21:00 A 09:00</t>
  </si>
  <si>
    <t>CARLOS DE 21:00 A 09:00</t>
  </si>
  <si>
    <t>ROSA MARÍA RODRÍGUEZ NUÑEZ</t>
  </si>
  <si>
    <t>ALEJANDRO PASTRANA</t>
  </si>
  <si>
    <t>ALMA DE 15:00 A 09:00</t>
  </si>
  <si>
    <t>ALMA DE 17:00 A 09:00</t>
  </si>
  <si>
    <t>YOEL RAMOS CÉLIS</t>
  </si>
  <si>
    <t>MARICELA CÉLIS ESINOSA</t>
  </si>
  <si>
    <t>AHLYN DE 10:0 A 16:00</t>
  </si>
  <si>
    <t>MANOS QUE SANAN</t>
  </si>
  <si>
    <t>CARMEN COLÍN BECERRIL</t>
  </si>
  <si>
    <t>GISELA COLÍN GARCÍA</t>
  </si>
  <si>
    <t>EDUARDO DE 09:00 A 21:00HRS</t>
  </si>
  <si>
    <t>KAREN DE 09:00 A 21:00HRS</t>
  </si>
  <si>
    <t>MARÍA CECILIA LÓPEZ CARDONA</t>
  </si>
  <si>
    <t>ADRIANA CASTILLO LÓPEZ</t>
  </si>
  <si>
    <t>ITZEL 24HRS</t>
  </si>
  <si>
    <t>SARAHÍ 24HRS</t>
  </si>
  <si>
    <t>GUILLE 6HRS(2) HOSPITAL</t>
  </si>
  <si>
    <t>YADI 10:00 A 16:00</t>
  </si>
  <si>
    <t>GUILLE DE 10:00 A 16:00</t>
  </si>
  <si>
    <t>JEANNET 24HRS/ITZEL 24HRS</t>
  </si>
  <si>
    <t>BLANCA 24HRS</t>
  </si>
  <si>
    <t>SARAHÍ  08:30 A 20:30</t>
  </si>
  <si>
    <t>MA.DEL MAR CORREA MONTERO</t>
  </si>
  <si>
    <t>MARIBEL CORREA MONTERO</t>
  </si>
  <si>
    <t>KAREN DE 09:00 A 17:00</t>
  </si>
  <si>
    <t>ANTONIO LORENZO JUÁREZ DE LA PEÑA</t>
  </si>
  <si>
    <t>SARA GUERRERO LÓPEZ</t>
  </si>
  <si>
    <t>TOMÁS DE 12:00 A 18:00</t>
  </si>
  <si>
    <t>YADY DE 10:0 A 16:00</t>
  </si>
  <si>
    <t>YADI 10:00 A 16:00 AXEL/GISELA/OSVALDO</t>
  </si>
  <si>
    <t>MARIANA 24HRS</t>
  </si>
  <si>
    <t>ITZEL 08:00 A 20:00</t>
  </si>
  <si>
    <t>ESTELA CRUZ JIMÉNEZ</t>
  </si>
  <si>
    <t>ELIZABETH JIMÉNEZ</t>
  </si>
  <si>
    <t>KARY 10:00 A 16:00</t>
  </si>
  <si>
    <t>MARTÍN JIMÉNEZ ÁVILA</t>
  </si>
  <si>
    <t>ÁNGELA MEJÍA ANAYA</t>
  </si>
  <si>
    <t>MARICELA SERNA</t>
  </si>
  <si>
    <t>SARAHÍ DE 08:00 A 20:00</t>
  </si>
  <si>
    <t>YADI 10:00 A 16:00 CITLALI/DAVID</t>
  </si>
  <si>
    <t>JOSÉ ALFREDO HERNÁNDEZ MAQUEDA</t>
  </si>
  <si>
    <t>LETICIA CORTÉS ROJAS</t>
  </si>
  <si>
    <t>ADAN ISAAC JIMÉNEZ BAUTISTA</t>
  </si>
  <si>
    <t>ALEJANDRO ISAAC JIMÉNEZ VALDÉZ</t>
  </si>
  <si>
    <t>NOEMÍ DE 08:00 A 18:00 HRS</t>
  </si>
  <si>
    <t>MARÍA DE JESÚS CRUZ MORENO</t>
  </si>
  <si>
    <t>DOLORES AGUILAR</t>
  </si>
  <si>
    <t xml:space="preserve">NOEMÍ DE 08:00 A 20:00 </t>
  </si>
  <si>
    <t>JEANNET 24HRS/KAREN 24HRS</t>
  </si>
  <si>
    <t>ROBERTO DE 08:00 A 16:00</t>
  </si>
  <si>
    <t>KAREN DE 09:00 A 15:00</t>
  </si>
  <si>
    <t>ANA PAOLA 24HRS</t>
  </si>
  <si>
    <t>LEONOR TENA DEL CASTILLO</t>
  </si>
  <si>
    <t>BERE DE 9:00 A 17:00</t>
  </si>
  <si>
    <t>YADI 24HRS</t>
  </si>
  <si>
    <t>GUILLE 6HRS(3) HOSPITAL</t>
  </si>
  <si>
    <t>ITZEL 10:00 A 16:00</t>
  </si>
  <si>
    <t>BERE DE 09:00 A 17:00</t>
  </si>
  <si>
    <t>YADI DE 08:00 A 20:00</t>
  </si>
  <si>
    <t>KAREN DE 10:00 A 16:00</t>
  </si>
  <si>
    <t>YADI DE 08:00 A 18:00 HRS</t>
  </si>
  <si>
    <t xml:space="preserve">ALEJANDRO DE 08:00 A 20:00 </t>
  </si>
  <si>
    <t>GUILLE 6HRS(3) CASA</t>
  </si>
  <si>
    <t>ITZEL 09:00 A 20:00</t>
  </si>
  <si>
    <t>saldo a favor</t>
  </si>
  <si>
    <t xml:space="preserve">ADRIANA TENA DEL CASTILLO </t>
  </si>
  <si>
    <t>GABY SORIANO DE 09:00 A 16:30</t>
  </si>
  <si>
    <t>LEONARDO AZA</t>
  </si>
  <si>
    <t>WENDY AZA PLASCENCIA</t>
  </si>
  <si>
    <t>ELISA 10:00 A 16:00</t>
  </si>
  <si>
    <t>IRAÍS DE 10:00 A 21:00</t>
  </si>
  <si>
    <t>CONCEPCIÓN CARMONA MORALES</t>
  </si>
  <si>
    <t>FERNANDO CASTAÑEDA</t>
  </si>
  <si>
    <t>ITZEL DE 09:00 A 17:00</t>
  </si>
  <si>
    <t>MALE DE 10:00 A 18:00</t>
  </si>
  <si>
    <t>ALMA/TOMÁS</t>
  </si>
  <si>
    <t>TOMÁS 24HRS DE 10 A 10HRS</t>
  </si>
  <si>
    <t>DIEGO C 24HRS DE 10 A 10HRS</t>
  </si>
  <si>
    <t>ALMA 24HRS DE 10 A 10HRS</t>
  </si>
  <si>
    <t>YADI 10:00 A 16:00 ALEJANDRA/JESÚS/ISAU</t>
  </si>
  <si>
    <t>YADI 10:00 A 16:00 WENDY/DIEGO</t>
  </si>
  <si>
    <t>AHLYN DE 08:00 A 20:00</t>
  </si>
  <si>
    <t>KAREN DE 08:00 A 08:00</t>
  </si>
  <si>
    <t>RICARDO KIRSCHNER CISNEROS</t>
  </si>
  <si>
    <t xml:space="preserve">TANIA KIRSCHNER </t>
  </si>
  <si>
    <t>BERE DE 10:00 A 15:00</t>
  </si>
  <si>
    <t>GABY DE 08:00 A 20:00</t>
  </si>
  <si>
    <t>KAREN DE 08:00 A 20:00</t>
  </si>
  <si>
    <t>IRAIS DE 08:00 A 20:00</t>
  </si>
  <si>
    <t>CONCLUIMOS</t>
  </si>
  <si>
    <t>ALMA 24HRS</t>
  </si>
  <si>
    <t>MALE 08:00 A 20:00 ITZEL 20:00 A 08:00</t>
  </si>
  <si>
    <t>concluimos servicio</t>
  </si>
  <si>
    <t>JESÚS ADMINISTRADOR</t>
  </si>
  <si>
    <t>YADI MATIZA, VALERIA, WENDY, APY, CÉSAR OSWALDO</t>
  </si>
  <si>
    <r>
      <t xml:space="preserve">VÍCTOR 08:00 A 19 HORAS </t>
    </r>
    <r>
      <rPr>
        <b/>
        <sz val="11"/>
        <color theme="1"/>
        <rFont val="Arial"/>
        <family val="2"/>
        <scheme val="major"/>
      </rPr>
      <t>CUBRE LUIS A PARTIR DE LAS 19 HRS</t>
    </r>
  </si>
  <si>
    <r>
      <t xml:space="preserve">LUIS 08:00 A 19 HORAS </t>
    </r>
    <r>
      <rPr>
        <b/>
        <sz val="11"/>
        <color theme="1"/>
        <rFont val="Arial"/>
        <family val="2"/>
        <scheme val="major"/>
      </rPr>
      <t>CUBRE VÍCTOR A PARTIR DE LAS 19 HRS</t>
    </r>
  </si>
  <si>
    <t>ALMA 08.00 A 20:00</t>
  </si>
  <si>
    <t>LESS  2 DE 09:00 A 16:30</t>
  </si>
  <si>
    <t>FALLECE PAX</t>
  </si>
  <si>
    <t>KAREN 24 HORAS</t>
  </si>
  <si>
    <t>GABY 24HRS DE 10 A 10HRS</t>
  </si>
  <si>
    <t>MARÍA EMMA SALDIVAR ROMERO</t>
  </si>
  <si>
    <t>ROSA MARÍA SALDIVAR</t>
  </si>
  <si>
    <t>KAREN 08:00 A 20:00</t>
  </si>
  <si>
    <t>NO HUBO ATENCIÓN</t>
  </si>
  <si>
    <t>MARTHA MATIZA, VALERIA, WENDY, APY, CÉSAR OSWALDO</t>
  </si>
  <si>
    <t>YADI JOSÉ FERNANDO, EMMA ISABEL Y ERICK EMILIANO</t>
  </si>
  <si>
    <t>MALE 24 HRS/ LUCERO 24 HORAS</t>
  </si>
  <si>
    <t>ALMA 24HRS/ ITZEL 18 A 08:00</t>
  </si>
  <si>
    <t>BERE DE 10:00 A 20:00</t>
  </si>
  <si>
    <t>KARY DE 09:00 A 17:00</t>
  </si>
  <si>
    <t>BERE 08:00 A 20:00</t>
  </si>
  <si>
    <t>TOÑO 08:30 A 20:30</t>
  </si>
  <si>
    <t>ITZEL 10:00 A 18:00</t>
  </si>
  <si>
    <t>AMPARO NERIA RAMÍREZ</t>
  </si>
  <si>
    <t>OSCAR VELAZQUEZ</t>
  </si>
  <si>
    <t>ROSA MARÍA GARCÍA PÉREZ</t>
  </si>
  <si>
    <t>CEFERINO ESTRADA</t>
  </si>
  <si>
    <t>SARA 10:00 A 11:00</t>
  </si>
  <si>
    <t>SARA DE 08:00 A 18:00</t>
  </si>
  <si>
    <t>IRAIDA 13:00 A 19:00</t>
  </si>
  <si>
    <t>SE SUSPENDE EL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</si>
</sst>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  <numFmt numFmtId="168" formatCode="dd"/>
  </numFmts>
  <fonts count="35" x14ac:knownFonts="1">
    <font>
      <sz val="1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8"/>
      <name val="Arial"/>
      <family val="2"/>
    </font>
    <font>
      <sz val="10"/>
      <name val="Century Gothic"/>
      <family val="2"/>
    </font>
    <font>
      <b/>
      <sz val="11"/>
      <color theme="0"/>
      <name val="Trebuchet MS"/>
      <family val="2"/>
      <scheme val="minor"/>
    </font>
    <font>
      <b/>
      <sz val="14"/>
      <color theme="0"/>
      <name val="Trebuchet MS"/>
      <family val="2"/>
      <scheme val="minor"/>
    </font>
    <font>
      <b/>
      <sz val="28"/>
      <color theme="0"/>
      <name val="Arial"/>
      <family val="2"/>
      <scheme val="major"/>
    </font>
    <font>
      <sz val="36"/>
      <color theme="4" tint="-0.24994659260841701"/>
      <name val="Trebuchet MS"/>
      <family val="2"/>
      <scheme val="minor"/>
    </font>
    <font>
      <b/>
      <sz val="11"/>
      <color theme="3"/>
      <name val="Arial"/>
      <family val="2"/>
      <scheme val="major"/>
    </font>
    <font>
      <sz val="16"/>
      <color theme="1"/>
      <name val="Trebuchet MS"/>
      <family val="2"/>
      <scheme val="minor"/>
    </font>
    <font>
      <b/>
      <sz val="11"/>
      <color theme="0"/>
      <name val="Arial"/>
      <family val="2"/>
      <scheme val="major"/>
    </font>
    <font>
      <sz val="11"/>
      <name val="Trebuchet MS"/>
      <family val="2"/>
      <scheme val="minor"/>
    </font>
    <font>
      <sz val="11"/>
      <color theme="1"/>
      <name val="Arial"/>
      <family val="2"/>
      <scheme val="major"/>
    </font>
    <font>
      <sz val="11"/>
      <color indexed="63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i/>
      <sz val="11"/>
      <color theme="3" tint="-0.24994659260841701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57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sz val="11"/>
      <color rgb="FFFF0000"/>
      <name val="Trebuchet MS"/>
      <family val="2"/>
      <scheme val="minor"/>
    </font>
    <font>
      <sz val="11"/>
      <color theme="0"/>
      <name val="Trebuchet MS"/>
      <family val="2"/>
      <scheme val="minor"/>
    </font>
    <font>
      <sz val="20"/>
      <color theme="5" tint="-0.249977111117893"/>
      <name val="Trebuchet MS"/>
      <family val="2"/>
      <scheme val="minor"/>
    </font>
    <font>
      <sz val="11"/>
      <name val="Arial"/>
      <family val="2"/>
      <scheme val="major"/>
    </font>
    <font>
      <sz val="20"/>
      <name val="Trebuchet MS"/>
      <family val="2"/>
      <scheme val="minor"/>
    </font>
    <font>
      <sz val="18"/>
      <color theme="5" tint="-0.249977111117893"/>
      <name val="Trebuchet MS"/>
      <family val="2"/>
      <scheme val="minor"/>
    </font>
    <font>
      <b/>
      <sz val="16"/>
      <name val="Trebuchet MS"/>
      <family val="2"/>
      <scheme val="minor"/>
    </font>
    <font>
      <b/>
      <sz val="18"/>
      <name val="Trebuchet MS"/>
      <family val="2"/>
      <scheme val="minor"/>
    </font>
    <font>
      <sz val="11"/>
      <color theme="0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name val="Trebuchet MS"/>
      <family val="2"/>
      <scheme val="minor"/>
    </font>
    <font>
      <b/>
      <sz val="11"/>
      <color theme="1"/>
      <name val="Arial"/>
      <family val="2"/>
      <scheme val="major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3F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gray0625"/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/>
      <right style="thick">
        <color theme="0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/>
      <right/>
      <top style="thin">
        <color theme="4" tint="-0.24994659260841701"/>
      </top>
      <bottom style="double">
        <color theme="4" tint="-0.2499465926084170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</borders>
  <cellStyleXfs count="50">
    <xf numFmtId="0" fontId="0" fillId="0" borderId="0" applyFill="0" applyBorder="0" applyProtection="0"/>
    <xf numFmtId="0" fontId="13" fillId="3" borderId="0" applyNumberFormat="0" applyBorder="0" applyAlignment="0" applyProtection="0"/>
    <xf numFmtId="0" fontId="7" fillId="0" borderId="0" applyNumberFormat="0" applyFill="0" applyProtection="0">
      <alignment horizontal="left" indent="3"/>
    </xf>
    <xf numFmtId="0" fontId="4" fillId="4" borderId="1" applyNumberFormat="0" applyAlignment="0" applyProtection="0"/>
    <xf numFmtId="0" fontId="5" fillId="5" borderId="2" applyNumberFormat="0" applyProtection="0">
      <alignment vertical="center"/>
    </xf>
    <xf numFmtId="168" fontId="9" fillId="0" borderId="9" applyFill="0" applyProtection="0">
      <alignment horizontal="left" vertical="center" wrapText="1" indent="1"/>
    </xf>
    <xf numFmtId="0" fontId="12" fillId="0" borderId="6" applyFill="0" applyProtection="0">
      <alignment horizontal="left" vertical="top" wrapText="1" indent="1"/>
    </xf>
    <xf numFmtId="0" fontId="11" fillId="0" borderId="8" applyFill="0" applyProtection="0">
      <alignment horizontal="left" vertical="center" wrapText="1" indent="1"/>
    </xf>
    <xf numFmtId="0" fontId="6" fillId="6" borderId="0" applyNumberFormat="0" applyBorder="0" applyProtection="0">
      <alignment horizontal="center"/>
    </xf>
    <xf numFmtId="0" fontId="10" fillId="7" borderId="3" applyNumberFormat="0" applyProtection="0">
      <alignment horizontal="left" vertical="center" indent="1"/>
    </xf>
    <xf numFmtId="0" fontId="10" fillId="6" borderId="3" applyNumberFormat="0" applyProtection="0">
      <alignment horizontal="left" indent="1"/>
    </xf>
    <xf numFmtId="0" fontId="8" fillId="0" borderId="0" applyNumberFormat="0" applyFill="0" applyBorder="0" applyAlignment="0" applyProtection="0"/>
    <xf numFmtId="0" fontId="11" fillId="8" borderId="10" applyNumberFormat="0" applyFont="0" applyAlignment="0" applyProtection="0"/>
    <xf numFmtId="0" fontId="15" fillId="0" borderId="0" applyNumberFormat="0" applyFill="0" applyBorder="0" applyAlignment="0" applyProtection="0"/>
    <xf numFmtId="0" fontId="14" fillId="0" borderId="11" applyNumberFormat="0" applyFill="0" applyAlignment="0" applyProtection="0"/>
    <xf numFmtId="167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6" fillId="9" borderId="0" applyNumberFormat="0" applyBorder="0" applyAlignment="0" applyProtection="0"/>
    <xf numFmtId="0" fontId="17" fillId="10" borderId="0" applyNumberFormat="0" applyBorder="0" applyAlignment="0" applyProtection="0"/>
    <xf numFmtId="0" fontId="18" fillId="11" borderId="0" applyNumberFormat="0" applyBorder="0" applyAlignment="0" applyProtection="0"/>
    <xf numFmtId="0" fontId="19" fillId="12" borderId="13" applyNumberFormat="0" applyAlignment="0" applyProtection="0"/>
    <xf numFmtId="0" fontId="20" fillId="13" borderId="14" applyNumberFormat="0" applyAlignment="0" applyProtection="0"/>
    <xf numFmtId="0" fontId="21" fillId="13" borderId="13" applyNumberFormat="0" applyAlignment="0" applyProtection="0"/>
    <xf numFmtId="0" fontId="22" fillId="0" borderId="15" applyNumberFormat="0" applyFill="0" applyAlignment="0" applyProtection="0"/>
    <xf numFmtId="0" fontId="4" fillId="14" borderId="16" applyNumberFormat="0" applyAlignment="0" applyProtection="0"/>
    <xf numFmtId="0" fontId="23" fillId="0" borderId="0" applyNumberFormat="0" applyFill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4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</cellStyleXfs>
  <cellXfs count="75">
    <xf numFmtId="0" fontId="0" fillId="0" borderId="0" xfId="0"/>
    <xf numFmtId="0" fontId="6" fillId="6" borderId="0" xfId="8">
      <alignment horizontal="center"/>
    </xf>
    <xf numFmtId="0" fontId="0" fillId="2" borderId="0" xfId="0" applyFill="1"/>
    <xf numFmtId="0" fontId="3" fillId="0" borderId="0" xfId="0" applyFont="1"/>
    <xf numFmtId="0" fontId="10" fillId="7" borderId="3" xfId="9">
      <alignment horizontal="left" vertical="center" indent="1"/>
    </xf>
    <xf numFmtId="0" fontId="10" fillId="6" borderId="3" xfId="10" applyAlignment="1">
      <alignment horizontal="left" vertical="center" indent="1"/>
    </xf>
    <xf numFmtId="0" fontId="12" fillId="0" borderId="6" xfId="6">
      <alignment horizontal="left" vertical="top" wrapText="1" indent="1"/>
    </xf>
    <xf numFmtId="0" fontId="12" fillId="0" borderId="5" xfId="6" applyBorder="1">
      <alignment horizontal="left" vertical="top" wrapText="1" indent="1"/>
    </xf>
    <xf numFmtId="0" fontId="12" fillId="0" borderId="7" xfId="6" applyBorder="1">
      <alignment horizontal="left" vertical="top" wrapText="1" indent="1"/>
    </xf>
    <xf numFmtId="0" fontId="12" fillId="0" borderId="12" xfId="6" applyBorder="1">
      <alignment horizontal="left" vertical="top" wrapText="1" indent="1"/>
    </xf>
    <xf numFmtId="168" fontId="9" fillId="0" borderId="9" xfId="5">
      <alignment horizontal="left" vertical="center" wrapText="1" indent="1"/>
    </xf>
    <xf numFmtId="168" fontId="9" fillId="0" borderId="4" xfId="5" applyBorder="1">
      <alignment horizontal="left" vertical="center" wrapText="1" indent="1"/>
    </xf>
    <xf numFmtId="168" fontId="6" fillId="6" borderId="0" xfId="8" applyNumberFormat="1">
      <alignment horizontal="center"/>
    </xf>
    <xf numFmtId="0" fontId="7" fillId="0" borderId="0" xfId="2">
      <alignment horizontal="left" indent="3"/>
    </xf>
    <xf numFmtId="0" fontId="7" fillId="0" borderId="0" xfId="2" applyAlignment="1">
      <alignment horizontal="center"/>
    </xf>
    <xf numFmtId="0" fontId="0" fillId="2" borderId="0" xfId="0" applyFill="1" applyAlignment="1">
      <alignment horizontal="center" vertical="center" wrapText="1"/>
    </xf>
    <xf numFmtId="0" fontId="26" fillId="36" borderId="6" xfId="6" applyFont="1" applyFill="1" applyAlignment="1">
      <alignment horizontal="center" vertical="center" wrapText="1"/>
    </xf>
    <xf numFmtId="0" fontId="7" fillId="0" borderId="0" xfId="2" applyAlignment="1">
      <alignment horizontal="left"/>
    </xf>
    <xf numFmtId="0" fontId="7" fillId="0" borderId="0" xfId="2" applyAlignment="1"/>
    <xf numFmtId="0" fontId="0" fillId="2" borderId="0" xfId="0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0" fillId="2" borderId="0" xfId="0" applyFill="1" applyAlignment="1">
      <alignment wrapText="1"/>
    </xf>
    <xf numFmtId="0" fontId="12" fillId="0" borderId="6" xfId="6" applyAlignment="1">
      <alignment horizontal="center" vertical="top" wrapText="1"/>
    </xf>
    <xf numFmtId="0" fontId="12" fillId="0" borderId="6" xfId="6" applyAlignment="1">
      <alignment horizontal="center" vertical="center" wrapText="1"/>
    </xf>
    <xf numFmtId="0" fontId="12" fillId="0" borderId="6" xfId="6" applyAlignment="1">
      <alignment horizontal="left" vertical="center" wrapText="1" indent="1"/>
    </xf>
    <xf numFmtId="0" fontId="12" fillId="36" borderId="6" xfId="6" applyFill="1" applyAlignment="1">
      <alignment horizontal="center" vertical="center" wrapText="1"/>
    </xf>
    <xf numFmtId="0" fontId="12" fillId="0" borderId="6" xfId="6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37" borderId="6" xfId="6" applyFill="1" applyAlignment="1">
      <alignment horizontal="center" vertical="top" wrapText="1"/>
    </xf>
    <xf numFmtId="0" fontId="12" fillId="37" borderId="6" xfId="6" applyFill="1" applyAlignment="1">
      <alignment horizontal="center" vertical="center" wrapText="1"/>
    </xf>
    <xf numFmtId="0" fontId="26" fillId="38" borderId="6" xfId="6" applyFont="1" applyFill="1" applyAlignment="1">
      <alignment horizontal="center" vertical="center" wrapText="1"/>
    </xf>
    <xf numFmtId="0" fontId="12" fillId="38" borderId="6" xfId="6" applyFill="1" applyAlignment="1">
      <alignment horizontal="center" vertical="center" wrapText="1"/>
    </xf>
    <xf numFmtId="0" fontId="12" fillId="38" borderId="6" xfId="6" applyFill="1" applyAlignment="1">
      <alignment horizontal="center" vertical="top" wrapText="1"/>
    </xf>
    <xf numFmtId="0" fontId="12" fillId="0" borderId="6" xfId="6" applyFill="1" applyAlignment="1">
      <alignment horizontal="center" vertical="top" wrapText="1"/>
    </xf>
    <xf numFmtId="0" fontId="31" fillId="39" borderId="6" xfId="6" applyFont="1" applyFill="1" applyAlignment="1">
      <alignment horizontal="center" vertical="top" wrapText="1"/>
    </xf>
    <xf numFmtId="0" fontId="12" fillId="37" borderId="6" xfId="6" applyFill="1">
      <alignment horizontal="left" vertical="top" wrapText="1" indent="1"/>
    </xf>
    <xf numFmtId="0" fontId="31" fillId="39" borderId="6" xfId="6" applyFont="1" applyFill="1" applyAlignment="1">
      <alignment horizontal="center" vertical="center" wrapText="1"/>
    </xf>
    <xf numFmtId="0" fontId="32" fillId="38" borderId="6" xfId="6" applyFont="1" applyFill="1" applyAlignment="1">
      <alignment horizontal="center" vertical="center" wrapText="1"/>
    </xf>
    <xf numFmtId="0" fontId="33" fillId="0" borderId="0" xfId="0" applyFont="1"/>
    <xf numFmtId="0" fontId="0" fillId="0" borderId="0" xfId="0" applyAlignment="1">
      <alignment horizontal="center" wrapText="1"/>
    </xf>
    <xf numFmtId="0" fontId="0" fillId="37" borderId="0" xfId="0" applyFill="1" applyAlignment="1">
      <alignment horizontal="center" wrapText="1"/>
    </xf>
    <xf numFmtId="0" fontId="12" fillId="40" borderId="6" xfId="6" applyFill="1" applyAlignment="1">
      <alignment horizontal="center" vertical="top" wrapText="1"/>
    </xf>
    <xf numFmtId="0" fontId="12" fillId="38" borderId="5" xfId="6" applyFill="1" applyBorder="1">
      <alignment horizontal="left" vertical="top" wrapText="1" indent="1"/>
    </xf>
    <xf numFmtId="0" fontId="12" fillId="37" borderId="17" xfId="6" applyFill="1" applyBorder="1" applyAlignment="1">
      <alignment horizontal="center" vertical="center" wrapText="1"/>
    </xf>
    <xf numFmtId="0" fontId="12" fillId="40" borderId="6" xfId="6" applyFill="1" applyAlignment="1">
      <alignment horizontal="center" vertical="center" wrapText="1"/>
    </xf>
    <xf numFmtId="0" fontId="31" fillId="39" borderId="5" xfId="6" applyFont="1" applyFill="1" applyBorder="1" applyAlignment="1">
      <alignment horizontal="center" vertical="top" wrapText="1"/>
    </xf>
    <xf numFmtId="0" fontId="0" fillId="40" borderId="0" xfId="0" applyFill="1" applyAlignment="1">
      <alignment horizontal="center" wrapText="1"/>
    </xf>
    <xf numFmtId="0" fontId="12" fillId="40" borderId="17" xfId="6" applyFill="1" applyBorder="1" applyAlignment="1">
      <alignment horizontal="center" vertical="center" wrapText="1"/>
    </xf>
    <xf numFmtId="0" fontId="12" fillId="41" borderId="6" xfId="6" applyFill="1">
      <alignment horizontal="left" vertical="top" wrapText="1" indent="1"/>
    </xf>
    <xf numFmtId="0" fontId="12" fillId="42" borderId="6" xfId="6" applyFill="1">
      <alignment horizontal="left" vertical="top" wrapText="1" indent="1"/>
    </xf>
    <xf numFmtId="0" fontId="12" fillId="42" borderId="5" xfId="6" applyFill="1" applyBorder="1">
      <alignment horizontal="left" vertical="top" wrapText="1" indent="1"/>
    </xf>
    <xf numFmtId="0" fontId="12" fillId="37" borderId="5" xfId="6" applyFill="1" applyBorder="1">
      <alignment horizontal="left" vertical="top" wrapText="1" indent="1"/>
    </xf>
    <xf numFmtId="0" fontId="12" fillId="0" borderId="6" xfId="6" applyFill="1">
      <alignment horizontal="left" vertical="top" wrapText="1" indent="1"/>
    </xf>
    <xf numFmtId="0" fontId="12" fillId="37" borderId="6" xfId="6" applyFill="1" applyAlignment="1">
      <alignment horizontal="left" vertical="center" wrapText="1" indent="1"/>
    </xf>
    <xf numFmtId="0" fontId="12" fillId="0" borderId="6" xfId="6" applyFill="1" applyAlignment="1">
      <alignment horizontal="left" vertical="center" wrapText="1" indent="1"/>
    </xf>
    <xf numFmtId="0" fontId="12" fillId="0" borderId="5" xfId="6" applyFill="1" applyBorder="1" applyAlignment="1">
      <alignment horizontal="center" vertical="center" wrapText="1"/>
    </xf>
    <xf numFmtId="0" fontId="12" fillId="42" borderId="7" xfId="6" applyFill="1" applyBorder="1">
      <alignment horizontal="left" vertical="top" wrapText="1" indent="1"/>
    </xf>
    <xf numFmtId="0" fontId="12" fillId="41" borderId="6" xfId="6" applyFill="1" applyAlignment="1">
      <alignment horizontal="center" vertical="center" wrapText="1"/>
    </xf>
    <xf numFmtId="0" fontId="34" fillId="41" borderId="6" xfId="6" applyFont="1" applyFill="1" applyAlignment="1">
      <alignment horizontal="center" vertical="center" wrapText="1"/>
    </xf>
    <xf numFmtId="0" fontId="0" fillId="0" borderId="8" xfId="7" applyFont="1">
      <alignment horizontal="left" vertical="center" wrapText="1" indent="1"/>
    </xf>
    <xf numFmtId="0" fontId="11" fillId="0" borderId="8" xfId="7">
      <alignment horizontal="left" vertical="center" wrapText="1" indent="1"/>
    </xf>
    <xf numFmtId="0" fontId="1" fillId="0" borderId="0" xfId="12" applyFont="1" applyFill="1" applyBorder="1" applyAlignment="1">
      <alignment horizontal="left" vertical="top" wrapText="1" indent="1"/>
    </xf>
    <xf numFmtId="0" fontId="7" fillId="0" borderId="0" xfId="2">
      <alignment horizontal="left" indent="3"/>
    </xf>
    <xf numFmtId="0" fontId="25" fillId="0" borderId="0" xfId="2" applyFont="1" applyAlignment="1">
      <alignment horizontal="left" vertical="center" wrapText="1"/>
    </xf>
    <xf numFmtId="0" fontId="12" fillId="41" borderId="18" xfId="6" applyFill="1" applyBorder="1" applyAlignment="1">
      <alignment horizontal="center" vertical="center" wrapText="1"/>
    </xf>
    <xf numFmtId="0" fontId="12" fillId="41" borderId="18" xfId="6" applyFill="1" applyBorder="1" applyAlignment="1">
      <alignment horizontal="center" vertical="top" wrapText="1"/>
    </xf>
    <xf numFmtId="0" fontId="1" fillId="42" borderId="0" xfId="12" applyFont="1" applyFill="1" applyBorder="1" applyAlignment="1">
      <alignment horizontal="left" vertical="top" wrapText="1" indent="1"/>
    </xf>
    <xf numFmtId="0" fontId="31" fillId="43" borderId="12" xfId="6" applyFont="1" applyFill="1" applyBorder="1" applyAlignment="1">
      <alignment horizontal="center" vertical="center" wrapText="1"/>
    </xf>
    <xf numFmtId="0" fontId="31" fillId="43" borderId="18" xfId="6" applyFont="1" applyFill="1" applyBorder="1" applyAlignment="1">
      <alignment horizontal="center" vertical="center" wrapText="1"/>
    </xf>
    <xf numFmtId="0" fontId="31" fillId="43" borderId="18" xfId="6" applyFont="1" applyFill="1" applyBorder="1" applyAlignment="1">
      <alignment horizontal="center" vertical="top" wrapText="1"/>
    </xf>
    <xf numFmtId="0" fontId="28" fillId="0" borderId="0" xfId="2" applyFont="1" applyAlignment="1">
      <alignment horizontal="left" vertical="center"/>
    </xf>
    <xf numFmtId="0" fontId="25" fillId="0" borderId="0" xfId="2" applyFont="1" applyAlignment="1">
      <alignment horizontal="left" vertical="center"/>
    </xf>
    <xf numFmtId="0" fontId="12" fillId="41" borderId="17" xfId="6" applyFill="1" applyBorder="1" applyAlignment="1">
      <alignment horizontal="center" vertical="top" wrapText="1"/>
    </xf>
  </cellXfs>
  <cellStyles count="50">
    <cellStyle name="20% - Énfasis1" xfId="29" builtinId="30" customBuiltin="1"/>
    <cellStyle name="20% - Énfasis2" xfId="32" builtinId="34" customBuiltin="1"/>
    <cellStyle name="20% - Énfasis3" xfId="36" builtinId="38" customBuiltin="1"/>
    <cellStyle name="20% - Énfasis4" xfId="40" builtinId="42" customBuiltin="1"/>
    <cellStyle name="20% - Énfasis5" xfId="43" builtinId="46" customBuiltin="1"/>
    <cellStyle name="20% - Énfasis6" xfId="47" builtinId="50" customBuiltin="1"/>
    <cellStyle name="40% - Énfasis1" xfId="1" builtinId="31" customBuiltin="1"/>
    <cellStyle name="40% - Énfasis2" xfId="33" builtinId="35" customBuiltin="1"/>
    <cellStyle name="40% - Énfasis3" xfId="37" builtinId="39" customBuiltin="1"/>
    <cellStyle name="40% - Énfasis4" xfId="41" builtinId="43" customBuiltin="1"/>
    <cellStyle name="40% - Énfasis5" xfId="44" builtinId="47" customBuiltin="1"/>
    <cellStyle name="40% - Énfasis6" xfId="48" builtinId="51" customBuiltin="1"/>
    <cellStyle name="60% - Énfasis1" xfId="30" builtinId="32" customBuiltin="1"/>
    <cellStyle name="60% - Énfasis2" xfId="34" builtinId="36" customBuiltin="1"/>
    <cellStyle name="60% - Énfasis3" xfId="38" builtinId="40" customBuiltin="1"/>
    <cellStyle name="60% - Énfasis4" xfId="42" builtinId="44" customBuiltin="1"/>
    <cellStyle name="60% - Énfasis5" xfId="45" builtinId="48" customBuiltin="1"/>
    <cellStyle name="60% - Énfasis6" xfId="49" builtinId="52" customBuiltin="1"/>
    <cellStyle name="Bueno" xfId="20" builtinId="26" customBuiltin="1"/>
    <cellStyle name="Cálculo" xfId="25" builtinId="22" customBuiltin="1"/>
    <cellStyle name="Celda de comprobación" xfId="27" builtinId="23" customBuiltin="1"/>
    <cellStyle name="Celda vinculada" xfId="26" builtinId="24" customBuiltin="1"/>
    <cellStyle name="Detalle de día" xfId="6" xr:uid="{00000000-0005-0000-0000-000016000000}"/>
    <cellStyle name="Día" xfId="5" xr:uid="{00000000-0005-0000-0000-000017000000}"/>
    <cellStyle name="Encabezado 1" xfId="2" builtinId="16" customBuiltin="1"/>
    <cellStyle name="Encabezado 4" xfId="11" builtinId="19" customBuiltin="1"/>
    <cellStyle name="Encabezado de notas" xfId="7" xr:uid="{00000000-0005-0000-0000-00001A000000}"/>
    <cellStyle name="Énfasis1" xfId="3" builtinId="29" customBuiltin="1"/>
    <cellStyle name="Énfasis2" xfId="31" builtinId="33" customBuiltin="1"/>
    <cellStyle name="Énfasis3" xfId="35" builtinId="37" customBuiltin="1"/>
    <cellStyle name="Énfasis4" xfId="39" builtinId="41" customBuiltin="1"/>
    <cellStyle name="Énfasis5" xfId="4" builtinId="45" customBuiltin="1"/>
    <cellStyle name="Énfasis6" xfId="46" builtinId="49" customBuiltin="1"/>
    <cellStyle name="Entrada" xfId="23" builtinId="20" customBuiltin="1"/>
    <cellStyle name="Incorrecto" xfId="21" builtinId="27" customBuiltin="1"/>
    <cellStyle name="Millares" xfId="15" builtinId="3" customBuiltin="1"/>
    <cellStyle name="Millares [0]" xfId="16" builtinId="6" customBuiltin="1"/>
    <cellStyle name="Moneda" xfId="17" builtinId="4" customBuiltin="1"/>
    <cellStyle name="Moneda [0]" xfId="18" builtinId="7" customBuiltin="1"/>
    <cellStyle name="Neutral" xfId="22" builtinId="28" customBuiltin="1"/>
    <cellStyle name="Normal" xfId="0" builtinId="0" customBuiltin="1"/>
    <cellStyle name="Notas" xfId="12" xr:uid="{00000000-0005-0000-0000-000029000000}"/>
    <cellStyle name="Porcentaje" xfId="19" builtinId="5" customBuiltin="1"/>
    <cellStyle name="Salida" xfId="24" builtinId="21" customBuiltin="1"/>
    <cellStyle name="Texto de advertencia" xfId="28" builtinId="11" customBuiltin="1"/>
    <cellStyle name="Texto explicativo" xfId="13" builtinId="53" customBuiltin="1"/>
    <cellStyle name="Título" xfId="8" builtinId="15" customBuiltin="1"/>
    <cellStyle name="Título 2" xfId="9" builtinId="17" customBuiltin="1"/>
    <cellStyle name="Título 3" xfId="10" builtinId="18" customBuiltin="1"/>
    <cellStyle name="Total" xfId="14" builtinId="25" customBuiltin="1"/>
  </cellStyles>
  <dxfs count="528"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1F2F5"/>
      <rgbColor rgb="00008080"/>
      <rgbColor rgb="00E4EAF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314265"/>
      <rgbColor rgb="00CCFFCC"/>
      <rgbColor rgb="00FFEECD"/>
      <rgbColor rgb="00D0D8E2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1778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Academic Calendar">
      <a:dk1>
        <a:srgbClr val="000000"/>
      </a:dk1>
      <a:lt1>
        <a:srgbClr val="FFFFFF"/>
      </a:lt1>
      <a:dk2>
        <a:srgbClr val="616668"/>
      </a:dk2>
      <a:lt2>
        <a:srgbClr val="F8F8F9"/>
      </a:lt2>
      <a:accent1>
        <a:srgbClr val="329E95"/>
      </a:accent1>
      <a:accent2>
        <a:srgbClr val="F4812B"/>
      </a:accent2>
      <a:accent3>
        <a:srgbClr val="EDB000"/>
      </a:accent3>
      <a:accent4>
        <a:srgbClr val="79B142"/>
      </a:accent4>
      <a:accent5>
        <a:srgbClr val="E34742"/>
      </a:accent5>
      <a:accent6>
        <a:srgbClr val="6D426F"/>
      </a:accent6>
      <a:hlink>
        <a:srgbClr val="2388CF"/>
      </a:hlink>
      <a:folHlink>
        <a:srgbClr val="6D426F"/>
      </a:folHlink>
    </a:clrScheme>
    <a:fontScheme name="Custom 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I168"/>
  <sheetViews>
    <sheetView topLeftCell="A4" workbookViewId="0">
      <selection activeCell="E8" sqref="E8:G8"/>
    </sheetView>
  </sheetViews>
  <sheetFormatPr baseColWidth="10" defaultRowHeight="16.5" x14ac:dyDescent="0.3"/>
  <cols>
    <col min="1" max="1" width="18.25" customWidth="1"/>
    <col min="2" max="7" width="17.625" customWidth="1"/>
    <col min="8" max="8" width="2.5" customWidth="1"/>
  </cols>
  <sheetData>
    <row r="1" spans="1:9" ht="46.5" x14ac:dyDescent="0.7">
      <c r="A1" s="1">
        <f ca="1">YEAR(TODAY())</f>
        <v>2024</v>
      </c>
      <c r="B1" s="18" t="s">
        <v>2</v>
      </c>
      <c r="C1" s="13"/>
      <c r="D1" s="65" t="s">
        <v>129</v>
      </c>
      <c r="E1" s="65"/>
      <c r="F1" s="65"/>
      <c r="G1" s="19" t="s">
        <v>142</v>
      </c>
      <c r="I1" s="20">
        <v>42</v>
      </c>
    </row>
    <row r="2" spans="1:9" x14ac:dyDescent="0.3">
      <c r="A2" s="4" t="s">
        <v>0</v>
      </c>
      <c r="B2" s="5" t="str">
        <f ca="1">UPPER(TEXT(B3,"dddd"))</f>
        <v>MARTES</v>
      </c>
      <c r="C2" s="4" t="str">
        <f t="shared" ref="C2:G2" ca="1" si="0">UPPER(TEXT(C3,"dddd"))</f>
        <v>MIÉRCOLES</v>
      </c>
      <c r="D2" s="5" t="str">
        <f t="shared" ca="1" si="0"/>
        <v>JUEVES</v>
      </c>
      <c r="E2" s="4" t="str">
        <f t="shared" ca="1" si="0"/>
        <v>VIERNES</v>
      </c>
      <c r="F2" s="5" t="str">
        <f t="shared" ca="1" si="0"/>
        <v>SÁBADO</v>
      </c>
      <c r="G2" s="4" t="str">
        <f t="shared" ca="1" si="0"/>
        <v>DOMINGO</v>
      </c>
    </row>
    <row r="3" spans="1:9" ht="21" x14ac:dyDescent="0.3">
      <c r="A3" s="10">
        <f t="array" aca="1" ref="A3:G3" ca="1">Días+1+DATE(Calendario1Año,Calendario1MesOpción,1)-WEEKDAY(DATE(Calendario1Año,Calendario1MesOpción,1),DíaDeLaSemanaOpción)</f>
        <v>45292</v>
      </c>
      <c r="B3" s="10">
        <f ca="1"/>
        <v>45293</v>
      </c>
      <c r="C3" s="10">
        <f ca="1"/>
        <v>45294</v>
      </c>
      <c r="D3" s="10">
        <f ca="1"/>
        <v>45295</v>
      </c>
      <c r="E3" s="10">
        <f ca="1"/>
        <v>45296</v>
      </c>
      <c r="F3" s="10">
        <f ca="1"/>
        <v>45297</v>
      </c>
      <c r="G3" s="11">
        <f ca="1"/>
        <v>45298</v>
      </c>
    </row>
    <row r="4" spans="1:9" x14ac:dyDescent="0.3">
      <c r="A4" s="6"/>
      <c r="B4" s="6"/>
      <c r="C4" s="6"/>
      <c r="D4" s="6"/>
      <c r="E4" s="7"/>
      <c r="F4" s="6"/>
      <c r="G4" s="7"/>
    </row>
    <row r="5" spans="1:9" ht="21" x14ac:dyDescent="0.3">
      <c r="A5" s="10">
        <f t="array" aca="1" ref="A5:G5" ca="1">Días+8+DATE(Calendario1Año,Calendario1MesOpción,1)-WEEKDAY(DATE(Calendario1Año,Calendario1MesOpción,1),DíaDeLaSemanaOpción)</f>
        <v>45299</v>
      </c>
      <c r="B5" s="10">
        <f ca="1"/>
        <v>45300</v>
      </c>
      <c r="C5" s="10">
        <f ca="1"/>
        <v>45301</v>
      </c>
      <c r="D5" s="10">
        <f ca="1"/>
        <v>45302</v>
      </c>
      <c r="E5" s="10">
        <f ca="1"/>
        <v>45303</v>
      </c>
      <c r="F5" s="10">
        <f ca="1"/>
        <v>45304</v>
      </c>
      <c r="G5" s="11">
        <f ca="1"/>
        <v>45305</v>
      </c>
    </row>
    <row r="6" spans="1:9" x14ac:dyDescent="0.3">
      <c r="A6" s="6"/>
      <c r="C6" s="6"/>
      <c r="D6" s="7"/>
      <c r="E6" s="6"/>
      <c r="F6" s="6"/>
      <c r="G6" s="7"/>
    </row>
    <row r="7" spans="1:9" ht="21" x14ac:dyDescent="0.3">
      <c r="A7" s="10">
        <f t="array" aca="1" ref="A7:G7" ca="1">Días+15+DATE(Calendario1Año,Calendario1MesOpción,1)-WEEKDAY(DATE(Calendario1Año,Calendario1MesOpción,1),DíaDeLaSemanaOpción)</f>
        <v>45306</v>
      </c>
      <c r="B7" s="10">
        <f ca="1"/>
        <v>45307</v>
      </c>
      <c r="C7" s="10">
        <f ca="1"/>
        <v>45308</v>
      </c>
      <c r="D7" s="10">
        <f ca="1"/>
        <v>45309</v>
      </c>
      <c r="E7" s="10">
        <f ca="1"/>
        <v>45310</v>
      </c>
      <c r="F7" s="10">
        <f ca="1"/>
        <v>45311</v>
      </c>
      <c r="G7" s="11">
        <f ca="1"/>
        <v>45312</v>
      </c>
    </row>
    <row r="8" spans="1:9" ht="28.5" x14ac:dyDescent="0.3">
      <c r="A8" s="43"/>
      <c r="B8" s="6"/>
      <c r="C8" s="6"/>
      <c r="D8" s="6"/>
      <c r="E8" s="30" t="s">
        <v>134</v>
      </c>
      <c r="F8" s="30" t="s">
        <v>134</v>
      </c>
      <c r="G8" s="30" t="s">
        <v>130</v>
      </c>
    </row>
    <row r="9" spans="1:9" ht="21" x14ac:dyDescent="0.3">
      <c r="A9" s="10">
        <f t="array" aca="1" ref="A9:G9" ca="1">Días+22+DATE(Calendario1Año,Calendario1MesOpción,1)-WEEKDAY(DATE(Calendario1Año,Calendario1MesOpción,1),DíaDeLaSemanaOpción)</f>
        <v>45313</v>
      </c>
      <c r="B9" s="10">
        <f ca="1"/>
        <v>45314</v>
      </c>
      <c r="C9" s="10">
        <f ca="1"/>
        <v>45315</v>
      </c>
      <c r="D9" s="10">
        <f ca="1"/>
        <v>45316</v>
      </c>
      <c r="E9" s="10">
        <f ca="1"/>
        <v>45317</v>
      </c>
      <c r="F9" s="10">
        <f ca="1"/>
        <v>45318</v>
      </c>
      <c r="G9" s="11">
        <f ca="1"/>
        <v>45319</v>
      </c>
    </row>
    <row r="10" spans="1:9" x14ac:dyDescent="0.3">
      <c r="A10" s="6"/>
      <c r="B10" s="6"/>
      <c r="C10" s="6"/>
      <c r="D10" s="6"/>
      <c r="E10" s="6"/>
      <c r="F10" s="6"/>
      <c r="G10" s="7"/>
    </row>
    <row r="11" spans="1:9" ht="21" x14ac:dyDescent="0.3">
      <c r="A11" s="10">
        <f t="array" aca="1" ref="A11:G11" ca="1">Días+29+DATE(Calendario1Año,Calendario1MesOpción,1)-WEEKDAY(DATE(Calendario1Año,Calendario1MesOpción,1),DíaDeLaSemanaOpción)</f>
        <v>45320</v>
      </c>
      <c r="B11" s="10">
        <f ca="1"/>
        <v>45321</v>
      </c>
      <c r="C11" s="10">
        <f ca="1"/>
        <v>45322</v>
      </c>
      <c r="D11" s="10">
        <f ca="1"/>
        <v>45323</v>
      </c>
      <c r="E11" s="10">
        <f ca="1"/>
        <v>45324</v>
      </c>
      <c r="F11" s="10">
        <f ca="1"/>
        <v>45325</v>
      </c>
      <c r="G11" s="11">
        <f ca="1"/>
        <v>45326</v>
      </c>
    </row>
    <row r="12" spans="1:9" x14ac:dyDescent="0.3">
      <c r="A12" s="6"/>
      <c r="B12" s="6"/>
      <c r="C12" s="6"/>
      <c r="D12" s="6"/>
      <c r="E12" s="6"/>
      <c r="F12" s="6"/>
      <c r="G12" s="7"/>
    </row>
    <row r="13" spans="1:9" ht="21" x14ac:dyDescent="0.3">
      <c r="A13" s="10">
        <f t="array" aca="1" ref="A13:B13" ca="1">Días+36+DATE(Calendario1Año,Calendario1MesOpción,1)-WEEKDAY(DATE(Calendario1Año,Calendario1MesOpción,1),DíaDeLaSemanaOpción)</f>
        <v>45327</v>
      </c>
      <c r="B13" s="10">
        <f ca="1"/>
        <v>45328</v>
      </c>
      <c r="C13" s="62" t="s">
        <v>1</v>
      </c>
      <c r="D13" s="62"/>
      <c r="E13" s="62"/>
      <c r="F13" s="62"/>
      <c r="G13" s="62"/>
    </row>
    <row r="14" spans="1:9" x14ac:dyDescent="0.3">
      <c r="A14" s="6"/>
      <c r="B14" s="6"/>
      <c r="C14" s="63"/>
      <c r="D14" s="63"/>
      <c r="E14" s="63"/>
      <c r="F14" s="63"/>
      <c r="G14" s="63"/>
    </row>
    <row r="15" spans="1:9" ht="46.5" x14ac:dyDescent="0.7">
      <c r="A15" s="1">
        <f ca="1">YEAR(DATE(Calendario1Año,Calendario1MesOpción+1,1))</f>
        <v>2024</v>
      </c>
      <c r="B15" s="17" t="str">
        <f ca="1">TEXT(DATE(Calendario1Año,Calendario1MesOpción+1,1),"mmmm")</f>
        <v>febrero</v>
      </c>
      <c r="C15" s="13"/>
      <c r="D15" s="13"/>
      <c r="E15" s="2"/>
      <c r="F15" s="2"/>
      <c r="G15" s="2"/>
    </row>
    <row r="16" spans="1:9" x14ac:dyDescent="0.3">
      <c r="A16" s="4" t="str">
        <f ca="1">UPPER(TEXT(A17,"dddd"))</f>
        <v>LUNES</v>
      </c>
      <c r="B16" s="5" t="str">
        <f t="shared" ref="B16:G16" ca="1" si="1">UPPER(TEXT(B17,"dddd"))</f>
        <v>MARTES</v>
      </c>
      <c r="C16" s="4" t="str">
        <f t="shared" ca="1" si="1"/>
        <v>MIÉRCOLES</v>
      </c>
      <c r="D16" s="5" t="str">
        <f t="shared" ca="1" si="1"/>
        <v>JUEVES</v>
      </c>
      <c r="E16" s="4" t="str">
        <f t="shared" ca="1" si="1"/>
        <v>VIERNES</v>
      </c>
      <c r="F16" s="5" t="str">
        <f t="shared" ca="1" si="1"/>
        <v>SÁBADO</v>
      </c>
      <c r="G16" s="4" t="str">
        <f t="shared" ca="1" si="1"/>
        <v>DOMINGO</v>
      </c>
    </row>
    <row r="17" spans="1:7" ht="21" x14ac:dyDescent="0.3">
      <c r="A17" s="10">
        <f t="array" aca="1" ref="A17:G17" ca="1">Días+1+DATE(Calendario2Año,Calendario2MesOpción,1)-WEEKDAY(DATE(Calendario2Año,Calendario2MesOpción,1),DíaDeLaSemanaOpción)</f>
        <v>45320</v>
      </c>
      <c r="B17" s="10">
        <f ca="1"/>
        <v>45321</v>
      </c>
      <c r="C17" s="10">
        <f ca="1"/>
        <v>45322</v>
      </c>
      <c r="D17" s="10">
        <f ca="1"/>
        <v>45323</v>
      </c>
      <c r="E17" s="10">
        <f ca="1"/>
        <v>45324</v>
      </c>
      <c r="F17" s="10">
        <f ca="1"/>
        <v>45325</v>
      </c>
      <c r="G17" s="11">
        <f ca="1"/>
        <v>45326</v>
      </c>
    </row>
    <row r="18" spans="1:7" x14ac:dyDescent="0.3">
      <c r="A18" s="6"/>
      <c r="B18" s="6"/>
      <c r="C18" s="6"/>
      <c r="D18" s="6"/>
      <c r="E18" s="6"/>
      <c r="F18" s="6"/>
      <c r="G18" s="7"/>
    </row>
    <row r="19" spans="1:7" ht="21" x14ac:dyDescent="0.3">
      <c r="A19" s="10">
        <f t="array" aca="1" ref="A19:G19" ca="1">Días+8+DATE(Calendario2Año,Calendario2MesOpción,1)-WEEKDAY(DATE(Calendario2Año,Calendario2MesOpción,1),DíaDeLaSemanaOpción)</f>
        <v>45327</v>
      </c>
      <c r="B19" s="10">
        <f ca="1"/>
        <v>45328</v>
      </c>
      <c r="C19" s="10">
        <f ca="1"/>
        <v>45329</v>
      </c>
      <c r="D19" s="10">
        <f ca="1"/>
        <v>45330</v>
      </c>
      <c r="E19" s="10">
        <f ca="1"/>
        <v>45331</v>
      </c>
      <c r="F19" s="10">
        <f ca="1"/>
        <v>45332</v>
      </c>
      <c r="G19" s="11">
        <f ca="1"/>
        <v>45333</v>
      </c>
    </row>
    <row r="20" spans="1:7" x14ac:dyDescent="0.3">
      <c r="A20" s="24"/>
      <c r="B20" s="6"/>
      <c r="C20" s="6"/>
      <c r="D20" s="6"/>
      <c r="E20" s="6"/>
      <c r="F20" s="6"/>
      <c r="G20" s="7"/>
    </row>
    <row r="21" spans="1:7" ht="21" x14ac:dyDescent="0.3">
      <c r="A21" s="10">
        <f t="array" aca="1" ref="A21:G21" ca="1">Días+15+DATE(Calendario2Año,Calendario2MesOpción,1)-WEEKDAY(DATE(Calendario2Año,Calendario2MesOpción,1),DíaDeLaSemanaOpción)</f>
        <v>45334</v>
      </c>
      <c r="B21" s="10">
        <f ca="1"/>
        <v>45335</v>
      </c>
      <c r="C21" s="10">
        <f ca="1"/>
        <v>45336</v>
      </c>
      <c r="D21" s="10">
        <f ca="1"/>
        <v>45337</v>
      </c>
      <c r="E21" s="10">
        <f ca="1"/>
        <v>45338</v>
      </c>
      <c r="F21" s="10">
        <f ca="1"/>
        <v>45339</v>
      </c>
      <c r="G21" s="11">
        <f ca="1"/>
        <v>45340</v>
      </c>
    </row>
    <row r="22" spans="1:7" x14ac:dyDescent="0.3">
      <c r="A22" s="6"/>
      <c r="B22" s="6"/>
      <c r="C22" s="6"/>
      <c r="D22" s="6"/>
      <c r="E22" s="6"/>
      <c r="F22" s="6"/>
      <c r="G22" s="7"/>
    </row>
    <row r="23" spans="1:7" ht="21" x14ac:dyDescent="0.3">
      <c r="A23" s="10">
        <f t="array" aca="1" ref="A23:G23" ca="1">Días+22+DATE(Calendario2Año,Calendario2MesOpción,1)-WEEKDAY(DATE(Calendario2Año,Calendario2MesOpción,1),DíaDeLaSemanaOpción)</f>
        <v>45341</v>
      </c>
      <c r="B23" s="10">
        <f ca="1"/>
        <v>45342</v>
      </c>
      <c r="C23" s="10">
        <f ca="1"/>
        <v>45343</v>
      </c>
      <c r="D23" s="10">
        <f ca="1"/>
        <v>45344</v>
      </c>
      <c r="E23" s="10">
        <f ca="1"/>
        <v>45345</v>
      </c>
      <c r="F23" s="10">
        <f ca="1"/>
        <v>45346</v>
      </c>
      <c r="G23" s="11">
        <f ca="1"/>
        <v>45347</v>
      </c>
    </row>
    <row r="24" spans="1:7" x14ac:dyDescent="0.3">
      <c r="A24" s="6"/>
      <c r="B24" s="6"/>
      <c r="C24" s="6"/>
      <c r="D24" s="6"/>
      <c r="E24" s="6"/>
      <c r="F24" s="6"/>
      <c r="G24" s="7"/>
    </row>
    <row r="25" spans="1:7" ht="21" x14ac:dyDescent="0.3">
      <c r="A25" s="10">
        <f t="array" aca="1" ref="A25:G25" ca="1">Días+29+DATE(Calendario2Año,Calendario2MesOpción,1)-WEEKDAY(DATE(Calendario2Año,Calendario2MesOpción,1),DíaDeLaSemanaOpción)</f>
        <v>45348</v>
      </c>
      <c r="B25" s="10">
        <f ca="1"/>
        <v>45349</v>
      </c>
      <c r="C25" s="10">
        <f ca="1"/>
        <v>45350</v>
      </c>
      <c r="D25" s="10">
        <f ca="1"/>
        <v>45351</v>
      </c>
      <c r="E25" s="10">
        <f ca="1"/>
        <v>45352</v>
      </c>
      <c r="F25" s="10">
        <f ca="1"/>
        <v>45353</v>
      </c>
      <c r="G25" s="11">
        <f ca="1"/>
        <v>45354</v>
      </c>
    </row>
    <row r="26" spans="1:7" x14ac:dyDescent="0.3">
      <c r="A26" s="6"/>
      <c r="B26" s="6"/>
      <c r="C26" s="6"/>
      <c r="D26" s="6"/>
      <c r="E26" s="6"/>
      <c r="F26" s="6"/>
      <c r="G26" s="8"/>
    </row>
    <row r="27" spans="1:7" ht="21" x14ac:dyDescent="0.3">
      <c r="A27" s="10">
        <f t="array" aca="1" ref="A27:B27" ca="1">Días+36+DATE(Calendario2Año,Calendario2MesOpción,1)-WEEKDAY(DATE(Calendario2Año,Calendario2MesOpción,1),DíaDeLaSemanaOpción)</f>
        <v>45355</v>
      </c>
      <c r="B27" s="10">
        <f ca="1"/>
        <v>45356</v>
      </c>
      <c r="C27" s="62" t="s">
        <v>1</v>
      </c>
      <c r="D27" s="62"/>
      <c r="E27" s="62"/>
      <c r="F27" s="62"/>
      <c r="G27" s="62"/>
    </row>
    <row r="28" spans="1:7" x14ac:dyDescent="0.3">
      <c r="A28" s="6"/>
      <c r="B28" s="6"/>
      <c r="C28" s="63"/>
      <c r="D28" s="63"/>
      <c r="E28" s="63"/>
      <c r="F28" s="63"/>
      <c r="G28" s="63"/>
    </row>
    <row r="29" spans="1:7" ht="46.5" x14ac:dyDescent="0.7">
      <c r="A29" s="1">
        <f ca="1">YEAR(DATE(Calendario2Año,Calendario2MesOpción+1,1))</f>
        <v>2024</v>
      </c>
      <c r="B29" s="64" t="str">
        <f ca="1">TEXT(DATE(Calendario2Año,Calendario2MesOpción+1,1),"mmmm")</f>
        <v>marzo</v>
      </c>
      <c r="C29" s="64"/>
      <c r="D29" s="64"/>
      <c r="E29" s="2"/>
      <c r="F29" s="2"/>
      <c r="G29" s="2"/>
    </row>
    <row r="30" spans="1:7" x14ac:dyDescent="0.3">
      <c r="A30" s="4" t="str">
        <f ca="1">UPPER(TEXT(A31,"dddd"))</f>
        <v>LUNES</v>
      </c>
      <c r="B30" s="5" t="str">
        <f t="shared" ref="B30:G30" ca="1" si="2">UPPER(TEXT(B31,"dddd"))</f>
        <v>MARTES</v>
      </c>
      <c r="C30" s="4" t="str">
        <f t="shared" ca="1" si="2"/>
        <v>MIÉRCOLES</v>
      </c>
      <c r="D30" s="5" t="str">
        <f t="shared" ca="1" si="2"/>
        <v>JUEVES</v>
      </c>
      <c r="E30" s="4" t="str">
        <f t="shared" ca="1" si="2"/>
        <v>VIERNES</v>
      </c>
      <c r="F30" s="5" t="str">
        <f t="shared" ca="1" si="2"/>
        <v>SÁBADO</v>
      </c>
      <c r="G30" s="4" t="str">
        <f t="shared" ca="1" si="2"/>
        <v>DOMINGO</v>
      </c>
    </row>
    <row r="31" spans="1:7" ht="21" x14ac:dyDescent="0.3">
      <c r="A31" s="10">
        <f t="array" aca="1" ref="A31:G31" ca="1">Días+1+DATE(Calendario3Año,Calendario3MesOpción,1)-WEEKDAY(DATE(Calendario3Año,Calendario3MesOpción,1),DíaDeLaSemanaOpción)</f>
        <v>45348</v>
      </c>
      <c r="B31" s="10">
        <f ca="1"/>
        <v>45349</v>
      </c>
      <c r="C31" s="10">
        <f ca="1"/>
        <v>45350</v>
      </c>
      <c r="D31" s="10">
        <f ca="1"/>
        <v>45351</v>
      </c>
      <c r="E31" s="10">
        <f ca="1"/>
        <v>45352</v>
      </c>
      <c r="F31" s="10">
        <f ca="1"/>
        <v>45353</v>
      </c>
      <c r="G31" s="11">
        <f ca="1"/>
        <v>45354</v>
      </c>
    </row>
    <row r="32" spans="1:7" x14ac:dyDescent="0.3">
      <c r="A32" s="6"/>
      <c r="B32" s="6"/>
      <c r="C32" s="6"/>
      <c r="D32" s="6"/>
      <c r="E32" s="6"/>
      <c r="F32" s="6"/>
      <c r="G32" s="7"/>
    </row>
    <row r="33" spans="1:7" ht="21" x14ac:dyDescent="0.3">
      <c r="A33" s="10">
        <f t="array" aca="1" ref="A33:G33" ca="1">Días+8+DATE(Calendario3Año,Calendario3MesOpción,1)-WEEKDAY(DATE(Calendario3Año,Calendario3MesOpción,1),DíaDeLaSemanaOpción)</f>
        <v>45355</v>
      </c>
      <c r="B33" s="10">
        <f ca="1"/>
        <v>45356</v>
      </c>
      <c r="C33" s="10">
        <f ca="1"/>
        <v>45357</v>
      </c>
      <c r="D33" s="10">
        <f ca="1"/>
        <v>45358</v>
      </c>
      <c r="E33" s="10">
        <f ca="1"/>
        <v>45359</v>
      </c>
      <c r="F33" s="10">
        <f ca="1"/>
        <v>45360</v>
      </c>
      <c r="G33" s="11">
        <f ca="1"/>
        <v>45361</v>
      </c>
    </row>
    <row r="34" spans="1:7" x14ac:dyDescent="0.3">
      <c r="A34" s="6"/>
      <c r="B34" s="6"/>
      <c r="C34" s="6"/>
      <c r="D34" s="6"/>
      <c r="E34" s="6"/>
      <c r="F34" s="6"/>
      <c r="G34" s="7"/>
    </row>
    <row r="35" spans="1:7" ht="21" x14ac:dyDescent="0.3">
      <c r="A35" s="10">
        <f t="array" aca="1" ref="A35:G35" ca="1">Días+15+DATE(Calendario3Año,Calendario3MesOpción,1)-WEEKDAY(DATE(Calendario3Año,Calendario3MesOpción,1),DíaDeLaSemanaOpción)</f>
        <v>45362</v>
      </c>
      <c r="B35" s="10">
        <f ca="1"/>
        <v>45363</v>
      </c>
      <c r="C35" s="10">
        <f ca="1"/>
        <v>45364</v>
      </c>
      <c r="D35" s="10">
        <f ca="1"/>
        <v>45365</v>
      </c>
      <c r="E35" s="10">
        <f ca="1"/>
        <v>45366</v>
      </c>
      <c r="F35" s="10">
        <f ca="1"/>
        <v>45367</v>
      </c>
      <c r="G35" s="11">
        <f ca="1"/>
        <v>45368</v>
      </c>
    </row>
    <row r="36" spans="1:7" x14ac:dyDescent="0.3">
      <c r="A36" s="6"/>
      <c r="B36" s="6"/>
      <c r="C36" s="6"/>
      <c r="D36" s="6"/>
      <c r="E36" s="6"/>
      <c r="F36" s="6"/>
      <c r="G36" s="7"/>
    </row>
    <row r="37" spans="1:7" ht="21" x14ac:dyDescent="0.3">
      <c r="A37" s="10">
        <f t="array" aca="1" ref="A37:G37" ca="1">Días+22+DATE(Calendario3Año,Calendario3MesOpción,1)-WEEKDAY(DATE(Calendario3Año,Calendario3MesOpción,1),DíaDeLaSemanaOpción)</f>
        <v>45369</v>
      </c>
      <c r="B37" s="10">
        <f ca="1"/>
        <v>45370</v>
      </c>
      <c r="C37" s="10">
        <f ca="1"/>
        <v>45371</v>
      </c>
      <c r="D37" s="10">
        <f ca="1"/>
        <v>45372</v>
      </c>
      <c r="E37" s="10">
        <f ca="1"/>
        <v>45373</v>
      </c>
      <c r="F37" s="10">
        <f ca="1"/>
        <v>45374</v>
      </c>
      <c r="G37" s="11">
        <f ca="1"/>
        <v>45375</v>
      </c>
    </row>
    <row r="38" spans="1:7" x14ac:dyDescent="0.3">
      <c r="A38" s="6"/>
      <c r="B38" s="6"/>
      <c r="C38" s="6"/>
      <c r="D38" s="6"/>
      <c r="E38" s="6"/>
      <c r="F38" s="6"/>
      <c r="G38" s="7"/>
    </row>
    <row r="39" spans="1:7" ht="21" x14ac:dyDescent="0.3">
      <c r="A39" s="10">
        <f t="array" aca="1" ref="A39:G39" ca="1">Días+29+DATE(Calendario3Año,Calendario3MesOpción,1)-WEEKDAY(DATE(Calendario3Año,Calendario3MesOpción,1),DíaDeLaSemanaOpción)</f>
        <v>45376</v>
      </c>
      <c r="B39" s="10">
        <f ca="1"/>
        <v>45377</v>
      </c>
      <c r="C39" s="10">
        <f ca="1"/>
        <v>45378</v>
      </c>
      <c r="D39" s="10">
        <f ca="1"/>
        <v>45379</v>
      </c>
      <c r="E39" s="10">
        <f ca="1"/>
        <v>45380</v>
      </c>
      <c r="F39" s="10">
        <f ca="1"/>
        <v>45381</v>
      </c>
      <c r="G39" s="11">
        <f ca="1"/>
        <v>45382</v>
      </c>
    </row>
    <row r="40" spans="1:7" x14ac:dyDescent="0.3">
      <c r="A40" s="6"/>
      <c r="B40" s="6"/>
      <c r="C40" s="6"/>
      <c r="D40" s="6"/>
      <c r="E40" s="6"/>
      <c r="F40" s="6"/>
      <c r="G40" s="8"/>
    </row>
    <row r="41" spans="1:7" ht="21" x14ac:dyDescent="0.3">
      <c r="A41" s="10">
        <f t="array" aca="1" ref="A41:B41" ca="1">Días+36+DATE(Calendario3Año,Calendario3MesOpción,1)-WEEKDAY(DATE(Calendario3Año,Calendario3MesOpción,1),DíaDeLaSemanaOpción)</f>
        <v>45383</v>
      </c>
      <c r="B41" s="10">
        <f ca="1"/>
        <v>45384</v>
      </c>
      <c r="C41" s="62" t="s">
        <v>1</v>
      </c>
      <c r="D41" s="62"/>
      <c r="E41" s="62"/>
      <c r="F41" s="62"/>
      <c r="G41" s="62"/>
    </row>
    <row r="42" spans="1:7" x14ac:dyDescent="0.3">
      <c r="A42" s="6"/>
      <c r="B42" s="6"/>
      <c r="C42" s="63"/>
      <c r="D42" s="63"/>
      <c r="E42" s="63"/>
      <c r="F42" s="63"/>
      <c r="G42" s="63"/>
    </row>
    <row r="43" spans="1:7" ht="46.5" x14ac:dyDescent="0.7">
      <c r="A43" s="1">
        <f ca="1">YEAR(DATE(Calendario3Año,Calendario3MesOpción+1,1))</f>
        <v>2024</v>
      </c>
      <c r="B43" s="64" t="str">
        <f ca="1">TEXT(DATE(Calendario3Año,Calendario3MesOpción+1,1),"mmmm")</f>
        <v>abril</v>
      </c>
      <c r="C43" s="64"/>
      <c r="D43" s="64"/>
      <c r="E43" s="2"/>
      <c r="F43" s="2"/>
      <c r="G43" s="2"/>
    </row>
    <row r="44" spans="1:7" x14ac:dyDescent="0.3">
      <c r="A44" s="4" t="str">
        <f ca="1">UPPER(TEXT(A45,"dddd"))</f>
        <v>LUNES</v>
      </c>
      <c r="B44" s="5" t="str">
        <f t="shared" ref="B44:G44" ca="1" si="3">UPPER(TEXT(B45,"dddd"))</f>
        <v>MARTES</v>
      </c>
      <c r="C44" s="4" t="str">
        <f t="shared" ca="1" si="3"/>
        <v>MIÉRCOLES</v>
      </c>
      <c r="D44" s="5" t="str">
        <f t="shared" ca="1" si="3"/>
        <v>JUEVES</v>
      </c>
      <c r="E44" s="4" t="str">
        <f t="shared" ca="1" si="3"/>
        <v>VIERNES</v>
      </c>
      <c r="F44" s="5" t="str">
        <f t="shared" ca="1" si="3"/>
        <v>SÁBADO</v>
      </c>
      <c r="G44" s="4" t="str">
        <f t="shared" ca="1" si="3"/>
        <v>DOMINGO</v>
      </c>
    </row>
    <row r="45" spans="1:7" ht="21" x14ac:dyDescent="0.3">
      <c r="A45" s="10">
        <f t="array" aca="1" ref="A45:G45" ca="1">Días+1+DATE(Calendario4Año,Calendario4MesOpción,1)-WEEKDAY(DATE(Calendario4Año,Calendario4MesOpción,1),DíaDeLaSemanaOpción)</f>
        <v>45383</v>
      </c>
      <c r="B45" s="10">
        <f ca="1"/>
        <v>45384</v>
      </c>
      <c r="C45" s="10">
        <f ca="1"/>
        <v>45385</v>
      </c>
      <c r="D45" s="10">
        <f ca="1"/>
        <v>45386</v>
      </c>
      <c r="E45" s="10">
        <f ca="1"/>
        <v>45387</v>
      </c>
      <c r="F45" s="10">
        <f ca="1"/>
        <v>45388</v>
      </c>
      <c r="G45" s="11">
        <f ca="1"/>
        <v>45389</v>
      </c>
    </row>
    <row r="46" spans="1:7" x14ac:dyDescent="0.3">
      <c r="A46" s="6"/>
      <c r="B46" s="6"/>
      <c r="C46" s="6"/>
      <c r="D46" s="6"/>
      <c r="E46" s="6"/>
      <c r="F46" s="6"/>
      <c r="G46" s="7"/>
    </row>
    <row r="47" spans="1:7" ht="21" x14ac:dyDescent="0.3">
      <c r="A47" s="10">
        <f t="array" aca="1" ref="A47:G47" ca="1">Días+8+DATE(Calendario4Año,Calendario4MesOpción,1)-WEEKDAY(DATE(Calendario4Año,Calendario4MesOpción,1),DíaDeLaSemanaOpción)</f>
        <v>45390</v>
      </c>
      <c r="B47" s="10">
        <f ca="1"/>
        <v>45391</v>
      </c>
      <c r="C47" s="10">
        <f ca="1"/>
        <v>45392</v>
      </c>
      <c r="D47" s="10">
        <f ca="1"/>
        <v>45393</v>
      </c>
      <c r="E47" s="10">
        <f ca="1"/>
        <v>45394</v>
      </c>
      <c r="F47" s="10">
        <f ca="1"/>
        <v>45395</v>
      </c>
      <c r="G47" s="11">
        <f ca="1"/>
        <v>45396</v>
      </c>
    </row>
    <row r="48" spans="1:7" x14ac:dyDescent="0.3">
      <c r="A48" s="6"/>
      <c r="B48" s="6"/>
      <c r="C48" s="6"/>
      <c r="D48" s="6"/>
      <c r="E48" s="6"/>
      <c r="F48" s="6"/>
      <c r="G48" s="7"/>
    </row>
    <row r="49" spans="1:7" ht="21" x14ac:dyDescent="0.3">
      <c r="A49" s="10">
        <f t="array" aca="1" ref="A49:G49" ca="1">Días+15+DATE(Calendario4Año,Calendario4MesOpción,1)-WEEKDAY(DATE(Calendario4Año,Calendario4MesOpción,1),DíaDeLaSemanaOpción)</f>
        <v>45397</v>
      </c>
      <c r="B49" s="10">
        <f ca="1"/>
        <v>45398</v>
      </c>
      <c r="C49" s="10">
        <f ca="1"/>
        <v>45399</v>
      </c>
      <c r="D49" s="10">
        <f ca="1"/>
        <v>45400</v>
      </c>
      <c r="E49" s="10">
        <f ca="1"/>
        <v>45401</v>
      </c>
      <c r="F49" s="10">
        <f ca="1"/>
        <v>45402</v>
      </c>
      <c r="G49" s="11">
        <f ca="1"/>
        <v>45403</v>
      </c>
    </row>
    <row r="50" spans="1:7" x14ac:dyDescent="0.3">
      <c r="A50" s="6"/>
      <c r="B50" s="6"/>
      <c r="C50" s="6"/>
      <c r="D50" s="6"/>
      <c r="E50" s="6"/>
      <c r="F50" s="6"/>
      <c r="G50" s="7"/>
    </row>
    <row r="51" spans="1:7" ht="21" x14ac:dyDescent="0.3">
      <c r="A51" s="10">
        <f t="array" aca="1" ref="A51:G51" ca="1">Días+22+DATE(Calendario4Año,Calendario4MesOpción,1)-WEEKDAY(DATE(Calendario4Año,Calendario4MesOpción,1),DíaDeLaSemanaOpción)</f>
        <v>45404</v>
      </c>
      <c r="B51" s="10">
        <f ca="1"/>
        <v>45405</v>
      </c>
      <c r="C51" s="10">
        <f ca="1"/>
        <v>45406</v>
      </c>
      <c r="D51" s="10">
        <f ca="1"/>
        <v>45407</v>
      </c>
      <c r="E51" s="10">
        <f ca="1"/>
        <v>45408</v>
      </c>
      <c r="F51" s="10">
        <f ca="1"/>
        <v>45409</v>
      </c>
      <c r="G51" s="11">
        <f ca="1"/>
        <v>45410</v>
      </c>
    </row>
    <row r="52" spans="1:7" x14ac:dyDescent="0.3">
      <c r="A52" s="6"/>
      <c r="B52" s="6"/>
      <c r="C52" s="6"/>
      <c r="D52" s="6"/>
      <c r="E52" s="6"/>
      <c r="F52" s="6"/>
      <c r="G52" s="7"/>
    </row>
    <row r="53" spans="1:7" ht="21" x14ac:dyDescent="0.3">
      <c r="A53" s="10">
        <f t="array" aca="1" ref="A53:G53" ca="1">Días+29+DATE(Calendario4Año,Calendario4MesOpción,1)-WEEKDAY(DATE(Calendario4Año,Calendario4MesOpción,1),DíaDeLaSemanaOpción)</f>
        <v>45411</v>
      </c>
      <c r="B53" s="10">
        <f ca="1"/>
        <v>45412</v>
      </c>
      <c r="C53" s="10">
        <f ca="1"/>
        <v>45413</v>
      </c>
      <c r="D53" s="10">
        <f ca="1"/>
        <v>45414</v>
      </c>
      <c r="E53" s="10">
        <f ca="1"/>
        <v>45415</v>
      </c>
      <c r="F53" s="10">
        <f ca="1"/>
        <v>45416</v>
      </c>
      <c r="G53" s="11">
        <f ca="1"/>
        <v>45417</v>
      </c>
    </row>
    <row r="54" spans="1:7" x14ac:dyDescent="0.3">
      <c r="A54" s="6"/>
      <c r="B54" s="6"/>
      <c r="C54" s="6"/>
      <c r="D54" s="6"/>
      <c r="E54" s="6"/>
      <c r="F54" s="6"/>
      <c r="G54" s="8"/>
    </row>
    <row r="55" spans="1:7" ht="21" x14ac:dyDescent="0.3">
      <c r="A55" s="10">
        <f t="array" aca="1" ref="A55:B55" ca="1">Días+36+DATE(Calendario4Año,Calendario4MesOpción,1)-WEEKDAY(DATE(Calendario4Año,Calendario4MesOpción,1),DíaDeLaSemanaOpción)</f>
        <v>45418</v>
      </c>
      <c r="B55" s="10">
        <f ca="1"/>
        <v>45419</v>
      </c>
      <c r="C55" s="61" t="s">
        <v>1</v>
      </c>
      <c r="D55" s="62"/>
      <c r="E55" s="62"/>
      <c r="F55" s="62"/>
      <c r="G55" s="62"/>
    </row>
    <row r="56" spans="1:7" x14ac:dyDescent="0.3">
      <c r="A56" s="6"/>
      <c r="B56" s="6"/>
      <c r="C56" s="63"/>
      <c r="D56" s="63"/>
      <c r="E56" s="63"/>
      <c r="F56" s="63"/>
      <c r="G56" s="63"/>
    </row>
    <row r="57" spans="1:7" ht="46.5" x14ac:dyDescent="0.7">
      <c r="A57" s="1">
        <f ca="1">YEAR(DATE(Calendario4Año,Calendario4MesOpción+1,1))</f>
        <v>2024</v>
      </c>
      <c r="B57" s="64" t="str">
        <f ca="1">TEXT(DATE(Calendario4Año,Calendario4MesOpción+1,1),"mmmm")</f>
        <v>mayo</v>
      </c>
      <c r="C57" s="64"/>
      <c r="D57" s="64"/>
      <c r="E57" s="2"/>
      <c r="F57" s="2"/>
      <c r="G57" s="2"/>
    </row>
    <row r="58" spans="1:7" x14ac:dyDescent="0.3">
      <c r="A58" s="4" t="str">
        <f ca="1">UPPER(TEXT(A59,"dddd"))</f>
        <v>LUNES</v>
      </c>
      <c r="B58" s="5" t="str">
        <f t="shared" ref="B58:G58" ca="1" si="4">UPPER(TEXT(B59,"dddd"))</f>
        <v>MARTES</v>
      </c>
      <c r="C58" s="4" t="str">
        <f t="shared" ca="1" si="4"/>
        <v>MIÉRCOLES</v>
      </c>
      <c r="D58" s="5" t="str">
        <f t="shared" ca="1" si="4"/>
        <v>JUEVES</v>
      </c>
      <c r="E58" s="4" t="str">
        <f t="shared" ca="1" si="4"/>
        <v>VIERNES</v>
      </c>
      <c r="F58" s="5" t="str">
        <f t="shared" ca="1" si="4"/>
        <v>SÁBADO</v>
      </c>
      <c r="G58" s="4" t="str">
        <f t="shared" ca="1" si="4"/>
        <v>DOMINGO</v>
      </c>
    </row>
    <row r="59" spans="1:7" ht="21" x14ac:dyDescent="0.3">
      <c r="A59" s="10">
        <f t="array" aca="1" ref="A59:G59" ca="1">Días+1+DATE(Calendario5Año,Calendario5MesOpción,1)-WEEKDAY(DATE(Calendario5Año,Calendario5MesOpción,1),DíaDeLaSemanaOpción)</f>
        <v>45411</v>
      </c>
      <c r="B59" s="10">
        <f ca="1"/>
        <v>45412</v>
      </c>
      <c r="C59" s="10">
        <f ca="1"/>
        <v>45413</v>
      </c>
      <c r="D59" s="10">
        <f ca="1"/>
        <v>45414</v>
      </c>
      <c r="E59" s="10">
        <f ca="1"/>
        <v>45415</v>
      </c>
      <c r="F59" s="10">
        <f ca="1"/>
        <v>45416</v>
      </c>
      <c r="G59" s="11">
        <f ca="1"/>
        <v>45417</v>
      </c>
    </row>
    <row r="60" spans="1:7" x14ac:dyDescent="0.3">
      <c r="A60" s="6"/>
      <c r="B60" s="6"/>
      <c r="C60" s="6"/>
      <c r="D60" s="6"/>
      <c r="E60" s="6"/>
      <c r="F60" s="6"/>
      <c r="G60" s="7"/>
    </row>
    <row r="61" spans="1:7" ht="21" x14ac:dyDescent="0.3">
      <c r="A61" s="10">
        <f t="array" aca="1" ref="A61:G61" ca="1">Días+8+DATE(Calendario5Año,Calendario5MesOpción,1)-WEEKDAY(DATE(Calendario5Año,Calendario5MesOpción,1),DíaDeLaSemanaOpción)</f>
        <v>45418</v>
      </c>
      <c r="B61" s="10">
        <f ca="1"/>
        <v>45419</v>
      </c>
      <c r="C61" s="10">
        <f ca="1"/>
        <v>45420</v>
      </c>
      <c r="D61" s="10">
        <f ca="1"/>
        <v>45421</v>
      </c>
      <c r="E61" s="10">
        <f ca="1"/>
        <v>45422</v>
      </c>
      <c r="F61" s="10">
        <f ca="1"/>
        <v>45423</v>
      </c>
      <c r="G61" s="11">
        <f ca="1"/>
        <v>45424</v>
      </c>
    </row>
    <row r="62" spans="1:7" x14ac:dyDescent="0.3">
      <c r="A62" s="6"/>
      <c r="B62" s="6"/>
      <c r="C62" s="6"/>
      <c r="D62" s="6"/>
      <c r="E62" s="6"/>
      <c r="F62" s="6"/>
      <c r="G62" s="7"/>
    </row>
    <row r="63" spans="1:7" ht="21" x14ac:dyDescent="0.3">
      <c r="A63" s="10">
        <f t="array" aca="1" ref="A63:G63" ca="1">Días+15+DATE(Calendario5Año,Calendario5MesOpción,1)-WEEKDAY(DATE(Calendario5Año,Calendario5MesOpción,1),DíaDeLaSemanaOpción)</f>
        <v>45425</v>
      </c>
      <c r="B63" s="10">
        <f ca="1"/>
        <v>45426</v>
      </c>
      <c r="C63" s="10">
        <f ca="1"/>
        <v>45427</v>
      </c>
      <c r="D63" s="10">
        <f ca="1"/>
        <v>45428</v>
      </c>
      <c r="E63" s="10">
        <f ca="1"/>
        <v>45429</v>
      </c>
      <c r="F63" s="10">
        <f ca="1"/>
        <v>45430</v>
      </c>
      <c r="G63" s="11">
        <f ca="1"/>
        <v>45431</v>
      </c>
    </row>
    <row r="64" spans="1:7" x14ac:dyDescent="0.3">
      <c r="A64" s="6"/>
      <c r="B64" s="6"/>
      <c r="C64" s="6"/>
      <c r="D64" s="6"/>
      <c r="E64" s="6"/>
      <c r="F64" s="6"/>
      <c r="G64" s="7"/>
    </row>
    <row r="65" spans="1:7" ht="21" x14ac:dyDescent="0.3">
      <c r="A65" s="10">
        <f t="array" aca="1" ref="A65:G65" ca="1">Días+22+DATE(Calendario5Año,Calendario5MesOpción,1)-WEEKDAY(DATE(Calendario5Año,Calendario5MesOpción,1),DíaDeLaSemanaOpción)</f>
        <v>45432</v>
      </c>
      <c r="B65" s="10">
        <f ca="1"/>
        <v>45433</v>
      </c>
      <c r="C65" s="10">
        <f ca="1"/>
        <v>45434</v>
      </c>
      <c r="D65" s="10">
        <f ca="1"/>
        <v>45435</v>
      </c>
      <c r="E65" s="10">
        <f ca="1"/>
        <v>45436</v>
      </c>
      <c r="F65" s="10">
        <f ca="1"/>
        <v>45437</v>
      </c>
      <c r="G65" s="11">
        <f ca="1"/>
        <v>45438</v>
      </c>
    </row>
    <row r="66" spans="1:7" x14ac:dyDescent="0.3">
      <c r="A66" s="6"/>
      <c r="B66" s="6"/>
      <c r="C66" s="6"/>
      <c r="D66" s="6"/>
      <c r="E66" s="6"/>
      <c r="F66" s="6"/>
      <c r="G66" s="7"/>
    </row>
    <row r="67" spans="1:7" ht="21" x14ac:dyDescent="0.3">
      <c r="A67" s="10">
        <f t="array" aca="1" ref="A67:G67" ca="1">Días+29+DATE(Calendario5Año,Calendario5MesOpción,1)-WEEKDAY(DATE(Calendario5Año,Calendario5MesOpción,1),DíaDeLaSemanaOpción)</f>
        <v>45439</v>
      </c>
      <c r="B67" s="10">
        <f ca="1"/>
        <v>45440</v>
      </c>
      <c r="C67" s="10">
        <f ca="1"/>
        <v>45441</v>
      </c>
      <c r="D67" s="10">
        <f ca="1"/>
        <v>45442</v>
      </c>
      <c r="E67" s="10">
        <f ca="1"/>
        <v>45443</v>
      </c>
      <c r="F67" s="10">
        <f ca="1"/>
        <v>45444</v>
      </c>
      <c r="G67" s="11">
        <f ca="1"/>
        <v>45445</v>
      </c>
    </row>
    <row r="68" spans="1:7" x14ac:dyDescent="0.3">
      <c r="A68" s="6"/>
      <c r="B68" s="6"/>
      <c r="C68" s="6"/>
      <c r="D68" s="6"/>
      <c r="E68" s="6"/>
      <c r="F68" s="6"/>
      <c r="G68" s="8"/>
    </row>
    <row r="69" spans="1:7" ht="21" x14ac:dyDescent="0.3">
      <c r="A69" s="10">
        <f t="array" aca="1" ref="A69:B69" ca="1">Días+36+DATE(Calendario5Año,Calendario5MesOpción,1)-WEEKDAY(DATE(Calendario5Año,Calendario5MesOpción,1),DíaDeLaSemanaOpción)</f>
        <v>45446</v>
      </c>
      <c r="B69" s="10">
        <f ca="1"/>
        <v>45447</v>
      </c>
      <c r="C69" s="61" t="s">
        <v>1</v>
      </c>
      <c r="D69" s="62"/>
      <c r="E69" s="62"/>
      <c r="F69" s="62"/>
      <c r="G69" s="62"/>
    </row>
    <row r="70" spans="1:7" x14ac:dyDescent="0.3">
      <c r="A70" s="6"/>
      <c r="B70" s="6"/>
      <c r="C70" s="63"/>
      <c r="D70" s="63"/>
      <c r="E70" s="63"/>
      <c r="F70" s="63"/>
      <c r="G70" s="63"/>
    </row>
    <row r="71" spans="1:7" ht="46.5" x14ac:dyDescent="0.7">
      <c r="A71" s="1">
        <f ca="1">YEAR(DATE(Calendario5Año,Calendario5MesOpción+1,1))</f>
        <v>2024</v>
      </c>
      <c r="B71" s="64" t="str">
        <f ca="1">TEXT(DATE(Calendario5Año,Calendario5MesOpción+1,1),"mmmm")</f>
        <v>junio</v>
      </c>
      <c r="C71" s="64"/>
      <c r="D71" s="64"/>
      <c r="E71" s="2"/>
      <c r="F71" s="2"/>
      <c r="G71" s="2"/>
    </row>
    <row r="72" spans="1:7" x14ac:dyDescent="0.3">
      <c r="A72" s="4" t="str">
        <f ca="1">UPPER(TEXT(A73,"dddd"))</f>
        <v>LUNES</v>
      </c>
      <c r="B72" s="5" t="str">
        <f t="shared" ref="B72:G72" ca="1" si="5">UPPER(TEXT(B73,"dddd"))</f>
        <v>MARTES</v>
      </c>
      <c r="C72" s="4" t="str">
        <f t="shared" ca="1" si="5"/>
        <v>MIÉRCOLES</v>
      </c>
      <c r="D72" s="5" t="str">
        <f t="shared" ca="1" si="5"/>
        <v>JUEVES</v>
      </c>
      <c r="E72" s="4" t="str">
        <f t="shared" ca="1" si="5"/>
        <v>VIERNES</v>
      </c>
      <c r="F72" s="5" t="str">
        <f t="shared" ca="1" si="5"/>
        <v>SÁBADO</v>
      </c>
      <c r="G72" s="4" t="str">
        <f t="shared" ca="1" si="5"/>
        <v>DOMINGO</v>
      </c>
    </row>
    <row r="73" spans="1:7" ht="21" x14ac:dyDescent="0.3">
      <c r="A73" s="10">
        <f t="array" aca="1" ref="A73:G73" ca="1">Días+1+DATE(Calendario6Año,Calendario6MesOpción,1)-WEEKDAY(DATE(Calendario6Año,Calendario6MesOpción,1),DíaDeLaSemanaOpción)</f>
        <v>45439</v>
      </c>
      <c r="B73" s="10">
        <f ca="1"/>
        <v>45440</v>
      </c>
      <c r="C73" s="10">
        <f ca="1"/>
        <v>45441</v>
      </c>
      <c r="D73" s="10">
        <f ca="1"/>
        <v>45442</v>
      </c>
      <c r="E73" s="10">
        <f ca="1"/>
        <v>45443</v>
      </c>
      <c r="F73" s="10">
        <f ca="1"/>
        <v>45444</v>
      </c>
      <c r="G73" s="11">
        <f ca="1"/>
        <v>45445</v>
      </c>
    </row>
    <row r="74" spans="1:7" x14ac:dyDescent="0.3">
      <c r="A74" s="6"/>
      <c r="B74" s="6"/>
      <c r="C74" s="6"/>
      <c r="D74" s="6"/>
      <c r="E74" s="6"/>
      <c r="F74" s="6"/>
      <c r="G74" s="7"/>
    </row>
    <row r="75" spans="1:7" ht="21" x14ac:dyDescent="0.3">
      <c r="A75" s="10">
        <f t="array" aca="1" ref="A75:G75" ca="1">Días+8+DATE(Calendario6Año,Calendario6MesOpción,1)-WEEKDAY(DATE(Calendario6Año,Calendario6MesOpción,1),DíaDeLaSemanaOpción)</f>
        <v>45446</v>
      </c>
      <c r="B75" s="10">
        <f ca="1"/>
        <v>45447</v>
      </c>
      <c r="C75" s="10">
        <f ca="1"/>
        <v>45448</v>
      </c>
      <c r="D75" s="10">
        <f ca="1"/>
        <v>45449</v>
      </c>
      <c r="E75" s="10">
        <f ca="1"/>
        <v>45450</v>
      </c>
      <c r="F75" s="10">
        <f ca="1"/>
        <v>45451</v>
      </c>
      <c r="G75" s="11">
        <f ca="1"/>
        <v>45452</v>
      </c>
    </row>
    <row r="76" spans="1:7" x14ac:dyDescent="0.3">
      <c r="A76" s="6"/>
      <c r="B76" s="6"/>
      <c r="C76" s="6"/>
      <c r="D76" s="6"/>
      <c r="E76" s="6"/>
      <c r="F76" s="6"/>
      <c r="G76" s="7"/>
    </row>
    <row r="77" spans="1:7" ht="21" x14ac:dyDescent="0.3">
      <c r="A77" s="10">
        <f t="array" aca="1" ref="A77:G77" ca="1">Días+15+DATE(Calendario6Año,Calendario6MesOpción,1)-WEEKDAY(DATE(Calendario6Año,Calendario6MesOpción,1),DíaDeLaSemanaOpción)</f>
        <v>45453</v>
      </c>
      <c r="B77" s="10">
        <f ca="1"/>
        <v>45454</v>
      </c>
      <c r="C77" s="10">
        <f ca="1"/>
        <v>45455</v>
      </c>
      <c r="D77" s="10">
        <f ca="1"/>
        <v>45456</v>
      </c>
      <c r="E77" s="10">
        <f ca="1"/>
        <v>45457</v>
      </c>
      <c r="F77" s="10">
        <f ca="1"/>
        <v>45458</v>
      </c>
      <c r="G77" s="11">
        <f ca="1"/>
        <v>45459</v>
      </c>
    </row>
    <row r="78" spans="1:7" x14ac:dyDescent="0.3">
      <c r="A78" s="6"/>
      <c r="B78" s="6"/>
      <c r="C78" s="6"/>
      <c r="D78" s="6"/>
      <c r="E78" s="6"/>
      <c r="F78" s="6"/>
      <c r="G78" s="7"/>
    </row>
    <row r="79" spans="1:7" ht="21" x14ac:dyDescent="0.3">
      <c r="A79" s="10">
        <f t="array" aca="1" ref="A79:G79" ca="1">Días+22+DATE(Calendario6Año,Calendario6MesOpción,1)-WEEKDAY(DATE(Calendario6Año,Calendario6MesOpción,1),DíaDeLaSemanaOpción)</f>
        <v>45460</v>
      </c>
      <c r="B79" s="10">
        <f ca="1"/>
        <v>45461</v>
      </c>
      <c r="C79" s="10">
        <f ca="1"/>
        <v>45462</v>
      </c>
      <c r="D79" s="10">
        <f ca="1"/>
        <v>45463</v>
      </c>
      <c r="E79" s="10">
        <f ca="1"/>
        <v>45464</v>
      </c>
      <c r="F79" s="10">
        <f ca="1"/>
        <v>45465</v>
      </c>
      <c r="G79" s="11">
        <f ca="1"/>
        <v>45466</v>
      </c>
    </row>
    <row r="80" spans="1:7" x14ac:dyDescent="0.3">
      <c r="A80" s="6"/>
      <c r="B80" s="6"/>
      <c r="C80" s="6"/>
      <c r="D80" s="6"/>
      <c r="E80" s="6"/>
      <c r="F80" s="6"/>
      <c r="G80" s="7"/>
    </row>
    <row r="81" spans="1:7" ht="21" x14ac:dyDescent="0.3">
      <c r="A81" s="10">
        <f t="array" aca="1" ref="A81:G81" ca="1">Días+29+DATE(Calendario6Año,Calendario6MesOpción,1)-WEEKDAY(DATE(Calendario6Año,Calendario6MesOpción,1),DíaDeLaSemanaOpción)</f>
        <v>45467</v>
      </c>
      <c r="B81" s="10">
        <f ca="1"/>
        <v>45468</v>
      </c>
      <c r="C81" s="10">
        <f ca="1"/>
        <v>45469</v>
      </c>
      <c r="D81" s="10">
        <f ca="1"/>
        <v>45470</v>
      </c>
      <c r="E81" s="10">
        <f ca="1"/>
        <v>45471</v>
      </c>
      <c r="F81" s="10">
        <f ca="1"/>
        <v>45472</v>
      </c>
      <c r="G81" s="11">
        <f ca="1"/>
        <v>45473</v>
      </c>
    </row>
    <row r="82" spans="1:7" x14ac:dyDescent="0.3">
      <c r="A82" s="6"/>
      <c r="B82" s="6"/>
      <c r="C82" s="6"/>
      <c r="D82" s="6"/>
      <c r="E82" s="6"/>
      <c r="F82" s="6"/>
      <c r="G82" s="8"/>
    </row>
    <row r="83" spans="1:7" ht="21" x14ac:dyDescent="0.3">
      <c r="A83" s="10">
        <f t="array" aca="1" ref="A83:B83" ca="1">Días+36+DATE(Calendario6Año,Calendario6MesOpción,1)-WEEKDAY(DATE(Calendario6Año,Calendario6MesOpción,1),DíaDeLaSemanaOpción)</f>
        <v>45474</v>
      </c>
      <c r="B83" s="10">
        <f ca="1"/>
        <v>45475</v>
      </c>
      <c r="C83" s="61" t="s">
        <v>1</v>
      </c>
      <c r="D83" s="62"/>
      <c r="E83" s="62"/>
      <c r="F83" s="62"/>
      <c r="G83" s="62"/>
    </row>
    <row r="84" spans="1:7" x14ac:dyDescent="0.3">
      <c r="A84" s="6"/>
      <c r="B84" s="6"/>
      <c r="C84" s="63"/>
      <c r="D84" s="63"/>
      <c r="E84" s="63"/>
      <c r="F84" s="63"/>
      <c r="G84" s="63"/>
    </row>
    <row r="85" spans="1:7" ht="46.5" x14ac:dyDescent="0.7">
      <c r="A85" s="1">
        <f ca="1">YEAR(DATE(Calendario6Año,Calendario6MesOpción+1,1))</f>
        <v>2024</v>
      </c>
      <c r="B85" s="64" t="str">
        <f ca="1">TEXT(DATE(Calendario6Año,Calendario6MesOpción+1,1),"mmmm")</f>
        <v>julio</v>
      </c>
      <c r="C85" s="64"/>
      <c r="D85" s="64"/>
      <c r="E85" s="2"/>
      <c r="F85" s="2"/>
      <c r="G85" s="2"/>
    </row>
    <row r="86" spans="1:7" x14ac:dyDescent="0.3">
      <c r="A86" s="4" t="str">
        <f ca="1">UPPER(TEXT(A87,"dddd"))</f>
        <v>LUNES</v>
      </c>
      <c r="B86" s="5" t="str">
        <f t="shared" ref="B86:G86" ca="1" si="6">UPPER(TEXT(B87,"dddd"))</f>
        <v>MARTES</v>
      </c>
      <c r="C86" s="4" t="str">
        <f t="shared" ca="1" si="6"/>
        <v>MIÉRCOLES</v>
      </c>
      <c r="D86" s="5" t="str">
        <f t="shared" ca="1" si="6"/>
        <v>JUEVES</v>
      </c>
      <c r="E86" s="4" t="str">
        <f t="shared" ca="1" si="6"/>
        <v>VIERNES</v>
      </c>
      <c r="F86" s="5" t="str">
        <f t="shared" ca="1" si="6"/>
        <v>SÁBADO</v>
      </c>
      <c r="G86" s="4" t="str">
        <f t="shared" ca="1" si="6"/>
        <v>DOMINGO</v>
      </c>
    </row>
    <row r="87" spans="1:7" ht="21" x14ac:dyDescent="0.3">
      <c r="A87" s="10">
        <f t="array" aca="1" ref="A87:G87" ca="1">Días+1+DATE(Calendario7Año,Calendario7MesOpción,1)-WEEKDAY(DATE(Calendario7Año,Calendario7MesOpción,1),DíaDeLaSemanaOpción)</f>
        <v>45474</v>
      </c>
      <c r="B87" s="10">
        <f ca="1"/>
        <v>45475</v>
      </c>
      <c r="C87" s="10">
        <f ca="1"/>
        <v>45476</v>
      </c>
      <c r="D87" s="10">
        <f ca="1"/>
        <v>45477</v>
      </c>
      <c r="E87" s="10">
        <f ca="1"/>
        <v>45478</v>
      </c>
      <c r="F87" s="10">
        <f ca="1"/>
        <v>45479</v>
      </c>
      <c r="G87" s="11">
        <f ca="1"/>
        <v>45480</v>
      </c>
    </row>
    <row r="88" spans="1:7" x14ac:dyDescent="0.3">
      <c r="A88" s="6"/>
      <c r="B88" s="6"/>
      <c r="C88" s="6"/>
      <c r="D88" s="6"/>
      <c r="E88" s="6"/>
      <c r="F88" s="6"/>
      <c r="G88" s="7"/>
    </row>
    <row r="89" spans="1:7" ht="21" x14ac:dyDescent="0.3">
      <c r="A89" s="10">
        <f t="array" aca="1" ref="A89:G89" ca="1">Días+8+DATE(Calendario7Año,Calendario7MesOpción,1)-WEEKDAY(DATE(Calendario7Año,Calendario7MesOpción,1),DíaDeLaSemanaOpción)</f>
        <v>45481</v>
      </c>
      <c r="B89" s="10">
        <f ca="1"/>
        <v>45482</v>
      </c>
      <c r="C89" s="10">
        <f ca="1"/>
        <v>45483</v>
      </c>
      <c r="D89" s="10">
        <f ca="1"/>
        <v>45484</v>
      </c>
      <c r="E89" s="10">
        <f ca="1"/>
        <v>45485</v>
      </c>
      <c r="F89" s="10">
        <f ca="1"/>
        <v>45486</v>
      </c>
      <c r="G89" s="11">
        <f ca="1"/>
        <v>45487</v>
      </c>
    </row>
    <row r="90" spans="1:7" x14ac:dyDescent="0.3">
      <c r="A90" s="6"/>
      <c r="B90" s="6"/>
      <c r="C90" s="6"/>
      <c r="D90" s="6"/>
      <c r="E90" s="6"/>
      <c r="F90" s="6"/>
      <c r="G90" s="7"/>
    </row>
    <row r="91" spans="1:7" ht="21" x14ac:dyDescent="0.3">
      <c r="A91" s="10">
        <f t="array" aca="1" ref="A91:G91" ca="1">Días+15+DATE(Calendario7Año,Calendario7MesOpción,1)-WEEKDAY(DATE(Calendario7Año,Calendario7MesOpción,1),DíaDeLaSemanaOpción)</f>
        <v>45488</v>
      </c>
      <c r="B91" s="10">
        <f ca="1"/>
        <v>45489</v>
      </c>
      <c r="C91" s="10">
        <f ca="1"/>
        <v>45490</v>
      </c>
      <c r="D91" s="10">
        <f ca="1"/>
        <v>45491</v>
      </c>
      <c r="E91" s="10">
        <f ca="1"/>
        <v>45492</v>
      </c>
      <c r="F91" s="10">
        <f ca="1"/>
        <v>45493</v>
      </c>
      <c r="G91" s="11">
        <f ca="1"/>
        <v>45494</v>
      </c>
    </row>
    <row r="92" spans="1:7" x14ac:dyDescent="0.3">
      <c r="A92" s="6"/>
      <c r="B92" s="6"/>
      <c r="C92" s="6"/>
      <c r="D92" s="6"/>
      <c r="E92" s="6"/>
      <c r="F92" s="6"/>
      <c r="G92" s="7"/>
    </row>
    <row r="93" spans="1:7" ht="21" x14ac:dyDescent="0.3">
      <c r="A93" s="10">
        <f t="array" aca="1" ref="A93:G93" ca="1">Días+22+DATE(Calendario7Año,Calendario7MesOpción,1)-WEEKDAY(DATE(Calendario7Año,Calendario7MesOpción,1),DíaDeLaSemanaOpción)</f>
        <v>45495</v>
      </c>
      <c r="B93" s="10">
        <f ca="1"/>
        <v>45496</v>
      </c>
      <c r="C93" s="10">
        <f ca="1"/>
        <v>45497</v>
      </c>
      <c r="D93" s="10">
        <f ca="1"/>
        <v>45498</v>
      </c>
      <c r="E93" s="10">
        <f ca="1"/>
        <v>45499</v>
      </c>
      <c r="F93" s="10">
        <f ca="1"/>
        <v>45500</v>
      </c>
      <c r="G93" s="11">
        <f ca="1"/>
        <v>45501</v>
      </c>
    </row>
    <row r="94" spans="1:7" x14ac:dyDescent="0.3">
      <c r="A94" s="6"/>
      <c r="B94" s="6"/>
      <c r="C94" s="6"/>
      <c r="D94" s="6"/>
      <c r="E94" s="6"/>
      <c r="F94" s="6"/>
      <c r="G94" s="7"/>
    </row>
    <row r="95" spans="1:7" ht="21" x14ac:dyDescent="0.3">
      <c r="A95" s="10">
        <f t="array" aca="1" ref="A95:G95" ca="1">Días+29+DATE(Calendario7Año,Calendario7MesOpción,1)-WEEKDAY(DATE(Calendario7Año,Calendario7MesOpción,1),DíaDeLaSemanaOpción)</f>
        <v>45502</v>
      </c>
      <c r="B95" s="10">
        <f ca="1"/>
        <v>45503</v>
      </c>
      <c r="C95" s="10">
        <f ca="1"/>
        <v>45504</v>
      </c>
      <c r="D95" s="10">
        <f ca="1"/>
        <v>45505</v>
      </c>
      <c r="E95" s="10">
        <f ca="1"/>
        <v>45506</v>
      </c>
      <c r="F95" s="10">
        <f ca="1"/>
        <v>45507</v>
      </c>
      <c r="G95" s="11">
        <f ca="1"/>
        <v>45508</v>
      </c>
    </row>
    <row r="96" spans="1:7" x14ac:dyDescent="0.3">
      <c r="A96" s="6"/>
      <c r="B96" s="6"/>
      <c r="C96" s="6"/>
      <c r="D96" s="6"/>
      <c r="E96" s="6"/>
      <c r="F96" s="6"/>
      <c r="G96" s="8"/>
    </row>
    <row r="97" spans="1:7" ht="21" x14ac:dyDescent="0.3">
      <c r="A97" s="10">
        <f t="array" aca="1" ref="A97:B97" ca="1">Días+36+DATE(Calendario7Año,Calendario7MesOpción,1)-WEEKDAY(DATE(Calendario7Año,Calendario7MesOpción,1),DíaDeLaSemanaOpción)</f>
        <v>45509</v>
      </c>
      <c r="B97" s="10">
        <f ca="1"/>
        <v>45510</v>
      </c>
      <c r="C97" s="61" t="s">
        <v>1</v>
      </c>
      <c r="D97" s="62"/>
      <c r="E97" s="62"/>
      <c r="F97" s="62"/>
      <c r="G97" s="62"/>
    </row>
    <row r="98" spans="1:7" x14ac:dyDescent="0.3">
      <c r="A98" s="6"/>
      <c r="B98" s="6"/>
      <c r="C98" s="63"/>
      <c r="D98" s="63"/>
      <c r="E98" s="63"/>
      <c r="F98" s="63"/>
      <c r="G98" s="63"/>
    </row>
    <row r="99" spans="1:7" ht="46.5" x14ac:dyDescent="0.7">
      <c r="A99" s="1">
        <f ca="1">YEAR(DATE(Calendario7Año,Calendario7MesOpción+1,1))</f>
        <v>2024</v>
      </c>
      <c r="B99" s="64" t="str">
        <f ca="1">TEXT(DATE(Calendario7Año,Calendario7MesOpción+1,1),"mmmm")</f>
        <v>agosto</v>
      </c>
      <c r="C99" s="64"/>
      <c r="D99" s="64"/>
      <c r="E99" s="2"/>
      <c r="F99" s="2"/>
      <c r="G99" s="2"/>
    </row>
    <row r="100" spans="1:7" x14ac:dyDescent="0.3">
      <c r="A100" s="4" t="str">
        <f ca="1">UPPER(TEXT(A101,"dddd"))</f>
        <v>LUNES</v>
      </c>
      <c r="B100" s="5" t="str">
        <f t="shared" ref="B100:G100" ca="1" si="7">UPPER(TEXT(B101,"dddd"))</f>
        <v>MARTES</v>
      </c>
      <c r="C100" s="4" t="str">
        <f t="shared" ca="1" si="7"/>
        <v>MIÉRCOLES</v>
      </c>
      <c r="D100" s="5" t="str">
        <f t="shared" ca="1" si="7"/>
        <v>JUEVES</v>
      </c>
      <c r="E100" s="4" t="str">
        <f t="shared" ca="1" si="7"/>
        <v>VIERNES</v>
      </c>
      <c r="F100" s="5" t="str">
        <f t="shared" ca="1" si="7"/>
        <v>SÁBADO</v>
      </c>
      <c r="G100" s="4" t="str">
        <f t="shared" ca="1" si="7"/>
        <v>DOMINGO</v>
      </c>
    </row>
    <row r="101" spans="1:7" ht="21" x14ac:dyDescent="0.3">
      <c r="A101" s="10">
        <f t="array" aca="1" ref="A101:G101" ca="1">Días+1+DATE(Calendario8Año,Calendario8MesOpción,1)-WEEKDAY(DATE(Calendario8Año,Calendario8MesOpción,1),DíaDeLaSemanaOpción)</f>
        <v>45502</v>
      </c>
      <c r="B101" s="10">
        <f ca="1"/>
        <v>45503</v>
      </c>
      <c r="C101" s="10">
        <f ca="1"/>
        <v>45504</v>
      </c>
      <c r="D101" s="10">
        <f ca="1"/>
        <v>45505</v>
      </c>
      <c r="E101" s="10">
        <f ca="1"/>
        <v>45506</v>
      </c>
      <c r="F101" s="10">
        <f ca="1"/>
        <v>45507</v>
      </c>
      <c r="G101" s="11">
        <f ca="1"/>
        <v>45508</v>
      </c>
    </row>
    <row r="102" spans="1:7" x14ac:dyDescent="0.3">
      <c r="A102" s="6"/>
      <c r="B102" s="6"/>
      <c r="C102" s="6"/>
      <c r="D102" s="6"/>
      <c r="E102" s="6"/>
      <c r="F102" s="6"/>
      <c r="G102" s="7"/>
    </row>
    <row r="103" spans="1:7" ht="21" x14ac:dyDescent="0.3">
      <c r="A103" s="10">
        <f t="array" aca="1" ref="A103:G103" ca="1">Días+8+DATE(Calendario8Año,Calendario8MesOpción,1)-WEEKDAY(DATE(Calendario8Año,Calendario8MesOpción,1),DíaDeLaSemanaOpción)</f>
        <v>45509</v>
      </c>
      <c r="B103" s="10">
        <f ca="1"/>
        <v>45510</v>
      </c>
      <c r="C103" s="10">
        <f ca="1"/>
        <v>45511</v>
      </c>
      <c r="D103" s="10">
        <f ca="1"/>
        <v>45512</v>
      </c>
      <c r="E103" s="10">
        <f ca="1"/>
        <v>45513</v>
      </c>
      <c r="F103" s="10">
        <f ca="1"/>
        <v>45514</v>
      </c>
      <c r="G103" s="11">
        <f ca="1"/>
        <v>45515</v>
      </c>
    </row>
    <row r="104" spans="1:7" x14ac:dyDescent="0.3">
      <c r="A104" s="6"/>
      <c r="B104" s="6"/>
      <c r="C104" s="6"/>
      <c r="D104" s="6"/>
      <c r="E104" s="6"/>
      <c r="F104" s="6"/>
      <c r="G104" s="7"/>
    </row>
    <row r="105" spans="1:7" ht="21" x14ac:dyDescent="0.3">
      <c r="A105" s="10">
        <f t="array" aca="1" ref="A105:G105" ca="1">Días+15+DATE(Calendario8Año,Calendario8MesOpción,1)-WEEKDAY(DATE(Calendario8Año,Calendario8MesOpción,1),DíaDeLaSemanaOpción)</f>
        <v>45516</v>
      </c>
      <c r="B105" s="10">
        <f ca="1"/>
        <v>45517</v>
      </c>
      <c r="C105" s="10">
        <f ca="1"/>
        <v>45518</v>
      </c>
      <c r="D105" s="10">
        <f ca="1"/>
        <v>45519</v>
      </c>
      <c r="E105" s="10">
        <f ca="1"/>
        <v>45520</v>
      </c>
      <c r="F105" s="10">
        <f ca="1"/>
        <v>45521</v>
      </c>
      <c r="G105" s="11">
        <f ca="1"/>
        <v>45522</v>
      </c>
    </row>
    <row r="106" spans="1:7" x14ac:dyDescent="0.3">
      <c r="A106" s="6"/>
      <c r="B106" s="6"/>
      <c r="C106" s="6"/>
      <c r="D106" s="6"/>
      <c r="E106" s="6"/>
      <c r="F106" s="6"/>
      <c r="G106" s="7"/>
    </row>
    <row r="107" spans="1:7" ht="21" x14ac:dyDescent="0.3">
      <c r="A107" s="10">
        <f t="array" aca="1" ref="A107:G107" ca="1">Días+22+DATE(Calendario8Año,Calendario8MesOpción,1)-WEEKDAY(DATE(Calendario8Año,Calendario8MesOpción,1),DíaDeLaSemanaOpción)</f>
        <v>45523</v>
      </c>
      <c r="B107" s="10">
        <f ca="1"/>
        <v>45524</v>
      </c>
      <c r="C107" s="10">
        <f ca="1"/>
        <v>45525</v>
      </c>
      <c r="D107" s="10">
        <f ca="1"/>
        <v>45526</v>
      </c>
      <c r="E107" s="10">
        <f ca="1"/>
        <v>45527</v>
      </c>
      <c r="F107" s="10">
        <f ca="1"/>
        <v>45528</v>
      </c>
      <c r="G107" s="11">
        <f ca="1"/>
        <v>45529</v>
      </c>
    </row>
    <row r="108" spans="1:7" x14ac:dyDescent="0.3">
      <c r="A108" s="6"/>
      <c r="B108" s="6"/>
      <c r="C108" s="6"/>
      <c r="D108" s="6"/>
      <c r="E108" s="6"/>
      <c r="F108" s="6"/>
      <c r="G108" s="7"/>
    </row>
    <row r="109" spans="1:7" ht="21" x14ac:dyDescent="0.3">
      <c r="A109" s="10">
        <f t="array" aca="1" ref="A109:G109" ca="1">Días+29+DATE(Calendario8Año,Calendario8MesOpción,1)-WEEKDAY(DATE(Calendario8Año,Calendario8MesOpción,1),DíaDeLaSemanaOpción)</f>
        <v>45530</v>
      </c>
      <c r="B109" s="10">
        <f ca="1"/>
        <v>45531</v>
      </c>
      <c r="C109" s="10">
        <f ca="1"/>
        <v>45532</v>
      </c>
      <c r="D109" s="10">
        <f ca="1"/>
        <v>45533</v>
      </c>
      <c r="E109" s="10">
        <f ca="1"/>
        <v>45534</v>
      </c>
      <c r="F109" s="10">
        <f ca="1"/>
        <v>45535</v>
      </c>
      <c r="G109" s="11">
        <f ca="1"/>
        <v>45536</v>
      </c>
    </row>
    <row r="110" spans="1:7" x14ac:dyDescent="0.3">
      <c r="A110" s="6"/>
      <c r="B110" s="6"/>
      <c r="C110" s="6"/>
      <c r="D110" s="6"/>
      <c r="E110" s="6"/>
      <c r="F110" s="6"/>
      <c r="G110" s="8"/>
    </row>
    <row r="111" spans="1:7" ht="21" x14ac:dyDescent="0.3">
      <c r="A111" s="10">
        <f t="array" aca="1" ref="A111:B111" ca="1">Días+36+DATE(Calendario8Año,Calendario8MesOpción,1)-WEEKDAY(DATE(Calendario8Año,Calendario8MesOpción,1),DíaDeLaSemanaOpción)</f>
        <v>45537</v>
      </c>
      <c r="B111" s="10">
        <f ca="1"/>
        <v>45538</v>
      </c>
      <c r="C111" s="61" t="s">
        <v>1</v>
      </c>
      <c r="D111" s="62"/>
      <c r="E111" s="62"/>
      <c r="F111" s="62"/>
      <c r="G111" s="62"/>
    </row>
    <row r="112" spans="1:7" x14ac:dyDescent="0.3">
      <c r="A112" s="6"/>
      <c r="B112" s="6"/>
      <c r="C112" s="63"/>
      <c r="D112" s="63"/>
      <c r="E112" s="63"/>
      <c r="F112" s="63"/>
      <c r="G112" s="63"/>
    </row>
    <row r="113" spans="1:7" ht="46.5" x14ac:dyDescent="0.7">
      <c r="A113" s="1">
        <f ca="1">YEAR(DATE(Calendario8Año,Calendario8MesOpción+1,1))</f>
        <v>2024</v>
      </c>
      <c r="B113" s="64" t="str">
        <f ca="1">TEXT(DATE(Calendario8Año,Calendario8MesOpción+1,1),"mmmm")</f>
        <v>septiembre</v>
      </c>
      <c r="C113" s="64"/>
      <c r="D113" s="64"/>
      <c r="E113" s="2"/>
      <c r="F113" s="2"/>
      <c r="G113" s="2"/>
    </row>
    <row r="114" spans="1:7" x14ac:dyDescent="0.3">
      <c r="A114" s="4" t="str">
        <f ca="1">UPPER(TEXT(A115,"dddd"))</f>
        <v>LUNES</v>
      </c>
      <c r="B114" s="5" t="str">
        <f t="shared" ref="B114:G114" ca="1" si="8">UPPER(TEXT(B115,"dddd"))</f>
        <v>MARTES</v>
      </c>
      <c r="C114" s="4" t="str">
        <f t="shared" ca="1" si="8"/>
        <v>MIÉRCOLES</v>
      </c>
      <c r="D114" s="5" t="str">
        <f t="shared" ca="1" si="8"/>
        <v>JUEVES</v>
      </c>
      <c r="E114" s="4" t="str">
        <f t="shared" ca="1" si="8"/>
        <v>VIERNES</v>
      </c>
      <c r="F114" s="5" t="str">
        <f t="shared" ca="1" si="8"/>
        <v>SÁBADO</v>
      </c>
      <c r="G114" s="4" t="str">
        <f t="shared" ca="1" si="8"/>
        <v>DOMINGO</v>
      </c>
    </row>
    <row r="115" spans="1:7" ht="21" x14ac:dyDescent="0.3">
      <c r="A115" s="10">
        <f t="array" aca="1" ref="A115:G115" ca="1">Días+1+DATE(Calendario9Año,Calendario9MesOpción,1)-WEEKDAY(DATE(Calendario9Año,Calendario9MesOpción,1),DíaDeLaSemanaOpción)</f>
        <v>45530</v>
      </c>
      <c r="B115" s="10">
        <f ca="1"/>
        <v>45531</v>
      </c>
      <c r="C115" s="10">
        <f ca="1"/>
        <v>45532</v>
      </c>
      <c r="D115" s="10">
        <f ca="1"/>
        <v>45533</v>
      </c>
      <c r="E115" s="10">
        <f ca="1"/>
        <v>45534</v>
      </c>
      <c r="F115" s="10">
        <f ca="1"/>
        <v>45535</v>
      </c>
      <c r="G115" s="11">
        <f ca="1"/>
        <v>45536</v>
      </c>
    </row>
    <row r="116" spans="1:7" x14ac:dyDescent="0.3">
      <c r="A116" s="6"/>
      <c r="B116" s="6"/>
      <c r="C116" s="6"/>
      <c r="D116" s="6"/>
      <c r="E116" s="6"/>
      <c r="F116" s="6"/>
      <c r="G116" s="7"/>
    </row>
    <row r="117" spans="1:7" ht="21" x14ac:dyDescent="0.3">
      <c r="A117" s="10">
        <f t="array" aca="1" ref="A117:G117" ca="1">Días+8+DATE(Calendario9Año,Calendario9MesOpción,1)-WEEKDAY(DATE(Calendario9Año,Calendario9MesOpción,1),DíaDeLaSemanaOpción)</f>
        <v>45537</v>
      </c>
      <c r="B117" s="10">
        <f ca="1"/>
        <v>45538</v>
      </c>
      <c r="C117" s="10">
        <f ca="1"/>
        <v>45539</v>
      </c>
      <c r="D117" s="10">
        <f ca="1"/>
        <v>45540</v>
      </c>
      <c r="E117" s="10">
        <f ca="1"/>
        <v>45541</v>
      </c>
      <c r="F117" s="10">
        <f ca="1"/>
        <v>45542</v>
      </c>
      <c r="G117" s="11">
        <f ca="1"/>
        <v>45543</v>
      </c>
    </row>
    <row r="118" spans="1:7" x14ac:dyDescent="0.3">
      <c r="A118" s="6"/>
      <c r="B118" s="6"/>
      <c r="C118" s="6"/>
      <c r="D118" s="6"/>
      <c r="E118" s="6"/>
      <c r="F118" s="6"/>
      <c r="G118" s="7"/>
    </row>
    <row r="119" spans="1:7" ht="21" x14ac:dyDescent="0.3">
      <c r="A119" s="10">
        <f t="array" aca="1" ref="A119:G119" ca="1">Días+15+DATE(Calendario9Año,Calendario9MesOpción,1)-WEEKDAY(DATE(Calendario9Año,Calendario9MesOpción,1),DíaDeLaSemanaOpción)</f>
        <v>45544</v>
      </c>
      <c r="B119" s="10">
        <f ca="1"/>
        <v>45545</v>
      </c>
      <c r="C119" s="10">
        <f ca="1"/>
        <v>45546</v>
      </c>
      <c r="D119" s="10">
        <f ca="1"/>
        <v>45547</v>
      </c>
      <c r="E119" s="10">
        <f ca="1"/>
        <v>45548</v>
      </c>
      <c r="F119" s="10">
        <f ca="1"/>
        <v>45549</v>
      </c>
      <c r="G119" s="11">
        <f ca="1"/>
        <v>45550</v>
      </c>
    </row>
    <row r="120" spans="1:7" x14ac:dyDescent="0.3">
      <c r="A120" s="6"/>
      <c r="B120" s="6"/>
      <c r="C120" s="6"/>
      <c r="D120" s="6"/>
      <c r="E120" s="6"/>
      <c r="F120" s="6"/>
      <c r="G120" s="7"/>
    </row>
    <row r="121" spans="1:7" ht="21" x14ac:dyDescent="0.3">
      <c r="A121" s="10">
        <f t="array" aca="1" ref="A121:G121" ca="1">Días+22+DATE(Calendario9Año,Calendario9MesOpción,1)-WEEKDAY(DATE(Calendario9Año,Calendario9MesOpción,1),DíaDeLaSemanaOpción)</f>
        <v>45551</v>
      </c>
      <c r="B121" s="10">
        <f ca="1"/>
        <v>45552</v>
      </c>
      <c r="C121" s="10">
        <f ca="1"/>
        <v>45553</v>
      </c>
      <c r="D121" s="10">
        <f ca="1"/>
        <v>45554</v>
      </c>
      <c r="E121" s="10">
        <f ca="1"/>
        <v>45555</v>
      </c>
      <c r="F121" s="10">
        <f ca="1"/>
        <v>45556</v>
      </c>
      <c r="G121" s="11">
        <f ca="1"/>
        <v>45557</v>
      </c>
    </row>
    <row r="122" spans="1:7" x14ac:dyDescent="0.3">
      <c r="A122" s="6"/>
      <c r="B122" s="6"/>
      <c r="C122" s="6"/>
      <c r="D122" s="6"/>
      <c r="E122" s="6"/>
      <c r="F122" s="6"/>
      <c r="G122" s="7"/>
    </row>
    <row r="123" spans="1:7" ht="21" x14ac:dyDescent="0.3">
      <c r="A123" s="10">
        <f t="array" aca="1" ref="A123:G123" ca="1">Días+29+DATE(Calendario9Año,Calendario9MesOpción,1)-WEEKDAY(DATE(Calendario9Año,Calendario9MesOpción,1),DíaDeLaSemanaOpción)</f>
        <v>45558</v>
      </c>
      <c r="B123" s="10">
        <f ca="1"/>
        <v>45559</v>
      </c>
      <c r="C123" s="10">
        <f ca="1"/>
        <v>45560</v>
      </c>
      <c r="D123" s="10">
        <f ca="1"/>
        <v>45561</v>
      </c>
      <c r="E123" s="10">
        <f ca="1"/>
        <v>45562</v>
      </c>
      <c r="F123" s="10">
        <f ca="1"/>
        <v>45563</v>
      </c>
      <c r="G123" s="11">
        <f ca="1"/>
        <v>45564</v>
      </c>
    </row>
    <row r="124" spans="1:7" x14ac:dyDescent="0.3">
      <c r="A124" s="6"/>
      <c r="B124" s="6"/>
      <c r="C124" s="6"/>
      <c r="D124" s="6"/>
      <c r="E124" s="6"/>
      <c r="F124" s="6"/>
      <c r="G124" s="8"/>
    </row>
    <row r="125" spans="1:7" ht="21" x14ac:dyDescent="0.3">
      <c r="A125" s="10">
        <f t="array" aca="1" ref="A125:B125" ca="1">Días+36+DATE(Calendario9Año,Calendario9MesOpción,1)-WEEKDAY(DATE(Calendario9Año,Calendario9MesOpción,1),DíaDeLaSemanaOpción)</f>
        <v>45565</v>
      </c>
      <c r="B125" s="10">
        <f ca="1"/>
        <v>45566</v>
      </c>
      <c r="C125" s="61" t="s">
        <v>1</v>
      </c>
      <c r="D125" s="62"/>
      <c r="E125" s="62"/>
      <c r="F125" s="62"/>
      <c r="G125" s="62"/>
    </row>
    <row r="126" spans="1:7" x14ac:dyDescent="0.3">
      <c r="A126" s="6"/>
      <c r="B126" s="6"/>
      <c r="C126" s="63"/>
      <c r="D126" s="63"/>
      <c r="E126" s="63"/>
      <c r="F126" s="63"/>
      <c r="G126" s="63"/>
    </row>
    <row r="127" spans="1:7" ht="46.5" x14ac:dyDescent="0.7">
      <c r="A127" s="12">
        <f ca="1">YEAR(DATE(Calendario9Año,Calendario9MesOpción+1,1))</f>
        <v>2024</v>
      </c>
      <c r="B127" s="64" t="str">
        <f ca="1">TEXT(DATE(Calendario9Año,Calendario9MesOpción+1,1),"mmmm")</f>
        <v>octubre</v>
      </c>
      <c r="C127" s="64"/>
      <c r="D127" s="64"/>
      <c r="E127" s="2"/>
      <c r="F127" s="2"/>
      <c r="G127" s="2"/>
    </row>
    <row r="128" spans="1:7" x14ac:dyDescent="0.3">
      <c r="A128" s="4" t="str">
        <f ca="1">UPPER(TEXT(A129,"dddd"))</f>
        <v>LUNES</v>
      </c>
      <c r="B128" s="5" t="str">
        <f t="shared" ref="B128:G128" ca="1" si="9">UPPER(TEXT(B129,"dddd"))</f>
        <v>MARTES</v>
      </c>
      <c r="C128" s="4" t="str">
        <f t="shared" ca="1" si="9"/>
        <v>MIÉRCOLES</v>
      </c>
      <c r="D128" s="5" t="str">
        <f t="shared" ca="1" si="9"/>
        <v>JUEVES</v>
      </c>
      <c r="E128" s="4" t="str">
        <f t="shared" ca="1" si="9"/>
        <v>VIERNES</v>
      </c>
      <c r="F128" s="5" t="str">
        <f t="shared" ca="1" si="9"/>
        <v>SÁBADO</v>
      </c>
      <c r="G128" s="4" t="str">
        <f t="shared" ca="1" si="9"/>
        <v>DOMINGO</v>
      </c>
    </row>
    <row r="129" spans="1:7" ht="21" x14ac:dyDescent="0.3">
      <c r="A129" s="10">
        <f t="array" aca="1" ref="A129:G129" ca="1">Días+1+DATE(Calendario10Año,Calendario10MesOpción,1)-WEEKDAY(DATE(Calendario10Año,Calendario10MesOpción,1),DíaDeLaSemanaOpción)</f>
        <v>45565</v>
      </c>
      <c r="B129" s="10">
        <f ca="1"/>
        <v>45566</v>
      </c>
      <c r="C129" s="10">
        <f ca="1"/>
        <v>45567</v>
      </c>
      <c r="D129" s="10">
        <f ca="1"/>
        <v>45568</v>
      </c>
      <c r="E129" s="10">
        <f ca="1"/>
        <v>45569</v>
      </c>
      <c r="F129" s="10">
        <f ca="1"/>
        <v>45570</v>
      </c>
      <c r="G129" s="11">
        <f ca="1"/>
        <v>45571</v>
      </c>
    </row>
    <row r="130" spans="1:7" x14ac:dyDescent="0.3">
      <c r="A130" s="6"/>
      <c r="B130" s="6"/>
      <c r="C130" s="6"/>
      <c r="D130" s="6"/>
      <c r="E130" s="6"/>
      <c r="F130" s="6"/>
      <c r="G130" s="7"/>
    </row>
    <row r="131" spans="1:7" ht="21" x14ac:dyDescent="0.3">
      <c r="A131" s="10">
        <f t="array" aca="1" ref="A131:G131" ca="1">Días+8+DATE(Calendario10Año,Calendario10MesOpción,1)-WEEKDAY(DATE(Calendario10Año,Calendario10MesOpción,1),DíaDeLaSemanaOpción)</f>
        <v>45572</v>
      </c>
      <c r="B131" s="10">
        <f ca="1"/>
        <v>45573</v>
      </c>
      <c r="C131" s="10">
        <f ca="1"/>
        <v>45574</v>
      </c>
      <c r="D131" s="10">
        <f ca="1"/>
        <v>45575</v>
      </c>
      <c r="E131" s="10">
        <f ca="1"/>
        <v>45576</v>
      </c>
      <c r="F131" s="10">
        <f ca="1"/>
        <v>45577</v>
      </c>
      <c r="G131" s="11">
        <f ca="1"/>
        <v>45578</v>
      </c>
    </row>
    <row r="132" spans="1:7" x14ac:dyDescent="0.3">
      <c r="A132" s="6"/>
      <c r="B132" s="6"/>
      <c r="C132" s="6"/>
      <c r="D132" s="6"/>
      <c r="E132" s="6"/>
      <c r="F132" s="6"/>
      <c r="G132" s="7"/>
    </row>
    <row r="133" spans="1:7" ht="21" x14ac:dyDescent="0.3">
      <c r="A133" s="10">
        <f t="array" aca="1" ref="A133:G133" ca="1">Días+15+DATE(Calendario10Año,Calendario10MesOpción,1)-WEEKDAY(DATE(Calendario10Año,Calendario10MesOpción,1),DíaDeLaSemanaOpción)</f>
        <v>45579</v>
      </c>
      <c r="B133" s="10">
        <f ca="1"/>
        <v>45580</v>
      </c>
      <c r="C133" s="10">
        <f ca="1"/>
        <v>45581</v>
      </c>
      <c r="D133" s="10">
        <f ca="1"/>
        <v>45582</v>
      </c>
      <c r="E133" s="10">
        <f ca="1"/>
        <v>45583</v>
      </c>
      <c r="F133" s="10">
        <f ca="1"/>
        <v>45584</v>
      </c>
      <c r="G133" s="11">
        <f ca="1"/>
        <v>45585</v>
      </c>
    </row>
    <row r="134" spans="1:7" x14ac:dyDescent="0.3">
      <c r="A134" s="6"/>
      <c r="B134" s="6"/>
      <c r="C134" s="6"/>
      <c r="D134" s="6"/>
      <c r="E134" s="6"/>
      <c r="F134" s="6"/>
      <c r="G134" s="7"/>
    </row>
    <row r="135" spans="1:7" ht="21" x14ac:dyDescent="0.3">
      <c r="A135" s="10">
        <f t="array" aca="1" ref="A135:G135" ca="1">Días+22+DATE(Calendario10Año,Calendario10MesOpción,1)-WEEKDAY(DATE(Calendario10Año,Calendario10MesOpción,1),DíaDeLaSemanaOpción)</f>
        <v>45586</v>
      </c>
      <c r="B135" s="10">
        <f ca="1"/>
        <v>45587</v>
      </c>
      <c r="C135" s="10">
        <f ca="1"/>
        <v>45588</v>
      </c>
      <c r="D135" s="10">
        <f ca="1"/>
        <v>45589</v>
      </c>
      <c r="E135" s="10">
        <f ca="1"/>
        <v>45590</v>
      </c>
      <c r="F135" s="10">
        <f ca="1"/>
        <v>45591</v>
      </c>
      <c r="G135" s="11">
        <f ca="1"/>
        <v>45592</v>
      </c>
    </row>
    <row r="136" spans="1:7" x14ac:dyDescent="0.3">
      <c r="A136" s="6"/>
      <c r="B136" s="6"/>
      <c r="C136" s="6"/>
      <c r="D136" s="6"/>
      <c r="E136" s="6"/>
      <c r="F136" s="6"/>
      <c r="G136" s="7"/>
    </row>
    <row r="137" spans="1:7" ht="21" x14ac:dyDescent="0.3">
      <c r="A137" s="10">
        <f t="array" aca="1" ref="A137:G137" ca="1">Días+29+DATE(Calendario10Año,Calendario10MesOpción,1)-WEEKDAY(DATE(Calendario10Año,Calendario10MesOpción,1),DíaDeLaSemanaOpción)</f>
        <v>45593</v>
      </c>
      <c r="B137" s="10">
        <f ca="1"/>
        <v>45594</v>
      </c>
      <c r="C137" s="10">
        <f ca="1"/>
        <v>45595</v>
      </c>
      <c r="D137" s="10">
        <f ca="1"/>
        <v>45596</v>
      </c>
      <c r="E137" s="10">
        <f ca="1"/>
        <v>45597</v>
      </c>
      <c r="F137" s="10">
        <f ca="1"/>
        <v>45598</v>
      </c>
      <c r="G137" s="11">
        <f ca="1"/>
        <v>45599</v>
      </c>
    </row>
    <row r="138" spans="1:7" x14ac:dyDescent="0.3">
      <c r="A138" s="6"/>
      <c r="B138" s="6"/>
      <c r="C138" s="6"/>
      <c r="D138" s="6"/>
      <c r="E138" s="6"/>
      <c r="F138" s="6"/>
      <c r="G138" s="8"/>
    </row>
    <row r="139" spans="1:7" ht="21" x14ac:dyDescent="0.3">
      <c r="A139" s="10">
        <f t="array" aca="1" ref="A139:B139" ca="1">Días+36+DATE(Calendario10Año,Calendario10MesOpción,1)-WEEKDAY(DATE(Calendario10Año,Calendario10MesOpción,1),DíaDeLaSemanaOpción)</f>
        <v>45600</v>
      </c>
      <c r="B139" s="10">
        <f ca="1"/>
        <v>45601</v>
      </c>
      <c r="C139" s="61" t="s">
        <v>1</v>
      </c>
      <c r="D139" s="62"/>
      <c r="E139" s="62"/>
      <c r="F139" s="62"/>
      <c r="G139" s="62"/>
    </row>
    <row r="140" spans="1:7" x14ac:dyDescent="0.3">
      <c r="A140" s="6"/>
      <c r="B140" s="6"/>
      <c r="C140" s="63"/>
      <c r="D140" s="63"/>
      <c r="E140" s="63"/>
      <c r="F140" s="63"/>
      <c r="G140" s="63"/>
    </row>
    <row r="141" spans="1:7" ht="46.5" x14ac:dyDescent="0.7">
      <c r="A141" s="1">
        <f ca="1">YEAR(DATE(Calendario10Año,Calendario10MesOpción+1,1))</f>
        <v>2024</v>
      </c>
      <c r="B141" s="64" t="str">
        <f ca="1">TEXT(DATE(Calendario10Año,Calendario10MesOpción+1,1),"mmmm")</f>
        <v>noviembre</v>
      </c>
      <c r="C141" s="64"/>
      <c r="D141" s="64"/>
      <c r="E141" s="2"/>
      <c r="F141" s="2"/>
      <c r="G141" s="2"/>
    </row>
    <row r="142" spans="1:7" x14ac:dyDescent="0.3">
      <c r="A142" s="4" t="str">
        <f ca="1">UPPER(TEXT(A143,"dddd"))</f>
        <v>LUNES</v>
      </c>
      <c r="B142" s="5" t="str">
        <f t="shared" ref="B142:G142" ca="1" si="10">UPPER(TEXT(B143,"dddd"))</f>
        <v>MARTES</v>
      </c>
      <c r="C142" s="4" t="str">
        <f t="shared" ca="1" si="10"/>
        <v>MIÉRCOLES</v>
      </c>
      <c r="D142" s="5" t="str">
        <f t="shared" ca="1" si="10"/>
        <v>JUEVES</v>
      </c>
      <c r="E142" s="4" t="str">
        <f t="shared" ca="1" si="10"/>
        <v>VIERNES</v>
      </c>
      <c r="F142" s="5" t="str">
        <f t="shared" ca="1" si="10"/>
        <v>SÁBADO</v>
      </c>
      <c r="G142" s="4" t="str">
        <f t="shared" ca="1" si="10"/>
        <v>DOMINGO</v>
      </c>
    </row>
    <row r="143" spans="1:7" ht="21" x14ac:dyDescent="0.3">
      <c r="A143" s="10">
        <f t="array" aca="1" ref="A143:G143" ca="1">Días+1+DATE(Calendario11Año,Calendario11MesOpción,1)-WEEKDAY(DATE(Calendario11Año,Calendario11MesOpción,1),DíaDeLaSemanaOpción)</f>
        <v>45593</v>
      </c>
      <c r="B143" s="10">
        <f ca="1"/>
        <v>45594</v>
      </c>
      <c r="C143" s="10">
        <f ca="1"/>
        <v>45595</v>
      </c>
      <c r="D143" s="10">
        <f ca="1"/>
        <v>45596</v>
      </c>
      <c r="E143" s="10">
        <f ca="1"/>
        <v>45597</v>
      </c>
      <c r="F143" s="10">
        <f ca="1"/>
        <v>45598</v>
      </c>
      <c r="G143" s="11">
        <f ca="1"/>
        <v>45599</v>
      </c>
    </row>
    <row r="144" spans="1:7" x14ac:dyDescent="0.3">
      <c r="A144" s="6"/>
      <c r="B144" s="6"/>
      <c r="C144" s="6"/>
      <c r="D144" s="6"/>
      <c r="E144" s="6"/>
      <c r="F144" s="6"/>
      <c r="G144" s="7"/>
    </row>
    <row r="145" spans="1:7" ht="21" x14ac:dyDescent="0.3">
      <c r="A145" s="10">
        <f t="array" aca="1" ref="A145:G145" ca="1">Días+8+DATE(Calendario11Año,Calendario11MesOpción,1)-WEEKDAY(DATE(Calendario11Año,Calendario11MesOpción,1),DíaDeLaSemanaOpción)</f>
        <v>45600</v>
      </c>
      <c r="B145" s="10">
        <f ca="1"/>
        <v>45601</v>
      </c>
      <c r="C145" s="10">
        <f ca="1"/>
        <v>45602</v>
      </c>
      <c r="D145" s="10">
        <f ca="1"/>
        <v>45603</v>
      </c>
      <c r="E145" s="10">
        <f ca="1"/>
        <v>45604</v>
      </c>
      <c r="F145" s="10">
        <f ca="1"/>
        <v>45605</v>
      </c>
      <c r="G145" s="11">
        <f ca="1"/>
        <v>45606</v>
      </c>
    </row>
    <row r="146" spans="1:7" x14ac:dyDescent="0.3">
      <c r="A146" s="6"/>
      <c r="B146" s="6"/>
      <c r="C146" s="6"/>
      <c r="D146" s="6"/>
      <c r="E146" s="6"/>
      <c r="F146" s="6"/>
      <c r="G146" s="7"/>
    </row>
    <row r="147" spans="1:7" ht="21" x14ac:dyDescent="0.3">
      <c r="A147" s="10">
        <f t="array" aca="1" ref="A147:G147" ca="1">Días+15+DATE(Calendario11Año,Calendario11MesOpción,1)-WEEKDAY(DATE(Calendario11Año,Calendario11MesOpción,1),DíaDeLaSemanaOpción)</f>
        <v>45607</v>
      </c>
      <c r="B147" s="10">
        <f ca="1"/>
        <v>45608</v>
      </c>
      <c r="C147" s="10">
        <f ca="1"/>
        <v>45609</v>
      </c>
      <c r="D147" s="10">
        <f ca="1"/>
        <v>45610</v>
      </c>
      <c r="E147" s="10">
        <f ca="1"/>
        <v>45611</v>
      </c>
      <c r="F147" s="10">
        <f ca="1"/>
        <v>45612</v>
      </c>
      <c r="G147" s="11">
        <f ca="1"/>
        <v>45613</v>
      </c>
    </row>
    <row r="148" spans="1:7" x14ac:dyDescent="0.3">
      <c r="A148" s="6"/>
      <c r="B148" s="6"/>
      <c r="C148" s="6"/>
      <c r="D148" s="6"/>
      <c r="E148" s="6"/>
      <c r="F148" s="6"/>
      <c r="G148" s="7"/>
    </row>
    <row r="149" spans="1:7" ht="21" x14ac:dyDescent="0.3">
      <c r="A149" s="10">
        <f t="array" aca="1" ref="A149:G149" ca="1">Días+22+DATE(Calendario11Año,Calendario11MesOpción,1)-WEEKDAY(DATE(Calendario11Año,Calendario11MesOpción,1),DíaDeLaSemanaOpción)</f>
        <v>45614</v>
      </c>
      <c r="B149" s="10">
        <f ca="1"/>
        <v>45615</v>
      </c>
      <c r="C149" s="10">
        <f ca="1"/>
        <v>45616</v>
      </c>
      <c r="D149" s="10">
        <f ca="1"/>
        <v>45617</v>
      </c>
      <c r="E149" s="10">
        <f ca="1"/>
        <v>45618</v>
      </c>
      <c r="F149" s="10">
        <f ca="1"/>
        <v>45619</v>
      </c>
      <c r="G149" s="11">
        <f ca="1"/>
        <v>45620</v>
      </c>
    </row>
    <row r="150" spans="1:7" x14ac:dyDescent="0.3">
      <c r="A150" s="6"/>
      <c r="B150" s="6"/>
      <c r="C150" s="6"/>
      <c r="D150" s="6"/>
      <c r="E150" s="6"/>
      <c r="F150" s="6"/>
      <c r="G150" s="7"/>
    </row>
    <row r="151" spans="1:7" ht="21" x14ac:dyDescent="0.3">
      <c r="A151" s="10">
        <f t="array" aca="1" ref="A151:G151" ca="1">Días+29+DATE(Calendario11Año,Calendario11MesOpción,1)-WEEKDAY(DATE(Calendario11Año,Calendario11MesOpción,1),DíaDeLaSemanaOpción)</f>
        <v>45621</v>
      </c>
      <c r="B151" s="10">
        <f ca="1"/>
        <v>45622</v>
      </c>
      <c r="C151" s="10">
        <f ca="1"/>
        <v>45623</v>
      </c>
      <c r="D151" s="10">
        <f ca="1"/>
        <v>45624</v>
      </c>
      <c r="E151" s="10">
        <f ca="1"/>
        <v>45625</v>
      </c>
      <c r="F151" s="10">
        <f ca="1"/>
        <v>45626</v>
      </c>
      <c r="G151" s="11">
        <f ca="1"/>
        <v>45627</v>
      </c>
    </row>
    <row r="152" spans="1:7" x14ac:dyDescent="0.3">
      <c r="A152" s="6"/>
      <c r="B152" s="6"/>
      <c r="C152" s="6"/>
      <c r="D152" s="6"/>
      <c r="E152" s="6"/>
      <c r="F152" s="6"/>
      <c r="G152" s="8"/>
    </row>
    <row r="153" spans="1:7" ht="21" x14ac:dyDescent="0.3">
      <c r="A153" s="10">
        <f t="array" aca="1" ref="A153:B153" ca="1">Días+36+DATE(Calendario11Año,Calendario11MesOpción,1)-WEEKDAY(DATE(Calendario11Año,Calendario11MesOpción,1),DíaDeLaSemanaOpción)</f>
        <v>45628</v>
      </c>
      <c r="B153" s="10">
        <f ca="1"/>
        <v>45629</v>
      </c>
      <c r="C153" s="61" t="s">
        <v>1</v>
      </c>
      <c r="D153" s="62"/>
      <c r="E153" s="62"/>
      <c r="F153" s="62"/>
      <c r="G153" s="62"/>
    </row>
    <row r="154" spans="1:7" x14ac:dyDescent="0.3">
      <c r="A154" s="6"/>
      <c r="B154" s="6"/>
      <c r="C154" s="63"/>
      <c r="D154" s="63"/>
      <c r="E154" s="63"/>
      <c r="F154" s="63"/>
      <c r="G154" s="63"/>
    </row>
    <row r="155" spans="1:7" ht="46.5" x14ac:dyDescent="0.7">
      <c r="A155" s="1">
        <f ca="1">YEAR(DATE(Calendario11Año,Calendario11MesOpción+1,1))</f>
        <v>2024</v>
      </c>
      <c r="B155" s="64" t="str">
        <f ca="1">TEXT(DATE(Calendario11Año,Calendario11MesOpción+1,1),"mmmm")</f>
        <v>diciembre</v>
      </c>
      <c r="C155" s="64"/>
      <c r="D155" s="64"/>
      <c r="E155" s="2"/>
      <c r="F155" s="2"/>
      <c r="G155" s="2"/>
    </row>
    <row r="156" spans="1:7" x14ac:dyDescent="0.3">
      <c r="A156" s="4" t="str">
        <f ca="1">UPPER(TEXT(A157,"dddd"))</f>
        <v>LUNES</v>
      </c>
      <c r="B156" s="5" t="str">
        <f t="shared" ref="B156:G156" ca="1" si="11">UPPER(TEXT(B157,"dddd"))</f>
        <v>MARTES</v>
      </c>
      <c r="C156" s="4" t="str">
        <f t="shared" ca="1" si="11"/>
        <v>MIÉRCOLES</v>
      </c>
      <c r="D156" s="5" t="str">
        <f t="shared" ca="1" si="11"/>
        <v>JUEVES</v>
      </c>
      <c r="E156" s="4" t="str">
        <f t="shared" ca="1" si="11"/>
        <v>VIERNES</v>
      </c>
      <c r="F156" s="5" t="str">
        <f t="shared" ca="1" si="11"/>
        <v>SÁBADO</v>
      </c>
      <c r="G156" s="4" t="str">
        <f t="shared" ca="1" si="11"/>
        <v>DOMINGO</v>
      </c>
    </row>
    <row r="157" spans="1:7" ht="21" x14ac:dyDescent="0.3">
      <c r="A157" s="10">
        <f t="array" aca="1" ref="A157:G157" ca="1">Días+1+DATE(Calendario12Año,Calendario12MesOpción,1)-WEEKDAY(DATE(Calendario12Año,Calendario12MesOpción,1),DíaDeLaSemanaOpción)</f>
        <v>45621</v>
      </c>
      <c r="B157" s="10">
        <f ca="1"/>
        <v>45622</v>
      </c>
      <c r="C157" s="10">
        <f ca="1"/>
        <v>45623</v>
      </c>
      <c r="D157" s="10">
        <f ca="1"/>
        <v>45624</v>
      </c>
      <c r="E157" s="10">
        <f ca="1"/>
        <v>45625</v>
      </c>
      <c r="F157" s="10">
        <f ca="1"/>
        <v>45626</v>
      </c>
      <c r="G157" s="11">
        <f ca="1"/>
        <v>45627</v>
      </c>
    </row>
    <row r="158" spans="1:7" x14ac:dyDescent="0.3">
      <c r="A158" s="6"/>
      <c r="B158" s="6"/>
      <c r="C158" s="6"/>
      <c r="D158" s="6"/>
      <c r="E158" s="6"/>
      <c r="F158" s="6"/>
      <c r="G158" s="7"/>
    </row>
    <row r="159" spans="1:7" ht="21" x14ac:dyDescent="0.3">
      <c r="A159" s="10">
        <f t="array" aca="1" ref="A159:G159" ca="1">Días+8+DATE(Calendario12Año,Calendario12MesOpción,1)-WEEKDAY(DATE(Calendario12Año,Calendario12MesOpción,1),DíaDeLaSemanaOpción)</f>
        <v>45628</v>
      </c>
      <c r="B159" s="10">
        <f ca="1"/>
        <v>45629</v>
      </c>
      <c r="C159" s="10">
        <f ca="1"/>
        <v>45630</v>
      </c>
      <c r="D159" s="10">
        <f ca="1"/>
        <v>45631</v>
      </c>
      <c r="E159" s="10">
        <f ca="1"/>
        <v>45632</v>
      </c>
      <c r="F159" s="10">
        <f ca="1"/>
        <v>45633</v>
      </c>
      <c r="G159" s="11">
        <f ca="1"/>
        <v>45634</v>
      </c>
    </row>
    <row r="160" spans="1:7" x14ac:dyDescent="0.3">
      <c r="A160" s="6"/>
      <c r="B160" s="6"/>
      <c r="C160" s="6"/>
      <c r="D160" s="6"/>
      <c r="E160" s="6"/>
      <c r="F160" s="6"/>
      <c r="G160" s="7"/>
    </row>
    <row r="161" spans="1:7" ht="21" x14ac:dyDescent="0.3">
      <c r="A161" s="10">
        <f t="array" aca="1" ref="A161:G161" ca="1">Días+15+DATE(Calendario12Año,Calendario12MesOpción,1)-WEEKDAY(DATE(Calendario12Año,Calendario12MesOpción,1),DíaDeLaSemanaOpción)</f>
        <v>45635</v>
      </c>
      <c r="B161" s="10">
        <f ca="1"/>
        <v>45636</v>
      </c>
      <c r="C161" s="10">
        <f ca="1"/>
        <v>45637</v>
      </c>
      <c r="D161" s="10">
        <f ca="1"/>
        <v>45638</v>
      </c>
      <c r="E161" s="10">
        <f ca="1"/>
        <v>45639</v>
      </c>
      <c r="F161" s="10">
        <f ca="1"/>
        <v>45640</v>
      </c>
      <c r="G161" s="11">
        <f ca="1"/>
        <v>45641</v>
      </c>
    </row>
    <row r="162" spans="1:7" x14ac:dyDescent="0.3">
      <c r="A162" s="6"/>
      <c r="B162" s="6"/>
      <c r="C162" s="6"/>
      <c r="D162" s="6"/>
      <c r="E162" s="6"/>
      <c r="F162" s="6"/>
      <c r="G162" s="7"/>
    </row>
    <row r="163" spans="1:7" ht="21" x14ac:dyDescent="0.3">
      <c r="A163" s="10">
        <f t="array" aca="1" ref="A163:G163" ca="1">Días+22+DATE(Calendario12Año,Calendario12MesOpción,1)-WEEKDAY(DATE(Calendario12Año,Calendario12MesOpción,1),DíaDeLaSemanaOpción)</f>
        <v>45642</v>
      </c>
      <c r="B163" s="10">
        <f ca="1"/>
        <v>45643</v>
      </c>
      <c r="C163" s="10">
        <f ca="1"/>
        <v>45644</v>
      </c>
      <c r="D163" s="10">
        <f ca="1"/>
        <v>45645</v>
      </c>
      <c r="E163" s="10">
        <f ca="1"/>
        <v>45646</v>
      </c>
      <c r="F163" s="10">
        <f ca="1"/>
        <v>45647</v>
      </c>
      <c r="G163" s="11">
        <f ca="1"/>
        <v>45648</v>
      </c>
    </row>
    <row r="164" spans="1:7" x14ac:dyDescent="0.3">
      <c r="A164" s="6"/>
      <c r="B164" s="6"/>
      <c r="C164" s="6"/>
      <c r="D164" s="6"/>
      <c r="E164" s="6"/>
      <c r="F164" s="6"/>
      <c r="G164" s="7"/>
    </row>
    <row r="165" spans="1:7" ht="21" x14ac:dyDescent="0.3">
      <c r="A165" s="10">
        <f t="array" aca="1" ref="A165:G165" ca="1">Días+29+DATE(Calendario12Año,Calendario12MesOpción,1)-WEEKDAY(DATE(Calendario12Año,Calendario12MesOpción,1),DíaDeLaSemanaOpción)</f>
        <v>45649</v>
      </c>
      <c r="B165" s="10">
        <f ca="1"/>
        <v>45650</v>
      </c>
      <c r="C165" s="10">
        <f ca="1"/>
        <v>45651</v>
      </c>
      <c r="D165" s="10">
        <f ca="1"/>
        <v>45652</v>
      </c>
      <c r="E165" s="10">
        <f ca="1"/>
        <v>45653</v>
      </c>
      <c r="F165" s="10">
        <f ca="1"/>
        <v>45654</v>
      </c>
      <c r="G165" s="11">
        <f ca="1"/>
        <v>45655</v>
      </c>
    </row>
    <row r="166" spans="1:7" x14ac:dyDescent="0.3">
      <c r="A166" s="6"/>
      <c r="B166" s="6"/>
      <c r="C166" s="6"/>
      <c r="D166" s="6"/>
      <c r="E166" s="6"/>
      <c r="F166" s="6"/>
      <c r="G166" s="8"/>
    </row>
    <row r="167" spans="1:7" ht="21" x14ac:dyDescent="0.3">
      <c r="A167" s="10">
        <f t="array" aca="1" ref="A167:B167" ca="1">Días+36+DATE(Calendario12Año,Calendario12MesOpción,1)-WEEKDAY(DATE(Calendario12Año,Calendario12MesOpción,1),DíaDeLaSemanaOpción)</f>
        <v>45656</v>
      </c>
      <c r="B167" s="10">
        <f ca="1"/>
        <v>45657</v>
      </c>
      <c r="C167" s="61" t="s">
        <v>1</v>
      </c>
      <c r="D167" s="62"/>
      <c r="E167" s="62"/>
      <c r="F167" s="62"/>
      <c r="G167" s="62"/>
    </row>
    <row r="168" spans="1:7" x14ac:dyDescent="0.3">
      <c r="A168" s="6"/>
      <c r="B168" s="6"/>
      <c r="C168" s="63"/>
      <c r="D168" s="63"/>
      <c r="E168" s="63"/>
      <c r="F168" s="63"/>
      <c r="G168" s="63"/>
    </row>
  </sheetData>
  <mergeCells count="35">
    <mergeCell ref="B29:D29"/>
    <mergeCell ref="D1:F1"/>
    <mergeCell ref="C13:G13"/>
    <mergeCell ref="C14:G14"/>
    <mergeCell ref="C27:G27"/>
    <mergeCell ref="C28:G28"/>
    <mergeCell ref="B85:D85"/>
    <mergeCell ref="C41:G41"/>
    <mergeCell ref="C42:G42"/>
    <mergeCell ref="B43:D43"/>
    <mergeCell ref="C55:G55"/>
    <mergeCell ref="C56:G56"/>
    <mergeCell ref="B57:D57"/>
    <mergeCell ref="C69:G69"/>
    <mergeCell ref="C70:G70"/>
    <mergeCell ref="B71:D71"/>
    <mergeCell ref="C83:G83"/>
    <mergeCell ref="C84:G84"/>
    <mergeCell ref="B141:D141"/>
    <mergeCell ref="C97:G97"/>
    <mergeCell ref="C98:G98"/>
    <mergeCell ref="B99:D99"/>
    <mergeCell ref="C111:G111"/>
    <mergeCell ref="C112:G112"/>
    <mergeCell ref="B113:D113"/>
    <mergeCell ref="C125:G125"/>
    <mergeCell ref="C126:G126"/>
    <mergeCell ref="B127:D127"/>
    <mergeCell ref="C139:G139"/>
    <mergeCell ref="C140:G140"/>
    <mergeCell ref="C153:G153"/>
    <mergeCell ref="C154:G154"/>
    <mergeCell ref="B155:D155"/>
    <mergeCell ref="C167:G167"/>
    <mergeCell ref="C168:G168"/>
  </mergeCells>
  <dataValidations count="12">
    <dataValidation allowBlank="1" showInputMessage="1" prompt="Fecha" sqref="A3" xr:uid="{00000000-0002-0000-00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A2" xr:uid="{00000000-0002-0000-00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B1:D1" xr:uid="{00000000-0002-0000-0000-000002000000}">
      <formula1>"enero,febrero,marzo,abril,mayo,junio,julio,agosto,septiembre,octubre,noviembre,diciembre"</formula1>
    </dataValidation>
    <dataValidation allowBlank="1" showInputMessage="1" showErrorMessage="1" prompt="Escriba el año en esta celda" sqref="A1" xr:uid="{00000000-0002-0000-0000-000003000000}"/>
    <dataValidation allowBlank="1" showInputMessage="1" prompt="Día laborable determinado automáticamente. Para cambiar los días laborables, seleccione un nuevo día de inicio de semana en la celda B2." sqref="B2:G2 A16" xr:uid="{00000000-0002-0000-0000-000004000000}"/>
    <dataValidation allowBlank="1" showInputMessage="1" prompt="El año natural se actualiza automáticamente según el año seleccionado en la celda B1" sqref="A15" xr:uid="{00000000-0002-0000-0000-000006000000}"/>
    <dataValidation allowBlank="1" showInputMessage="1" prompt="El mes natural se actualiza automáticamente según el mes seleccionado en la celda C1" sqref="B15:D15" xr:uid="{00000000-0002-0000-0000-000007000000}"/>
    <dataValidation allowBlank="1" showInputMessage="1" prompt="Escriba las notas del mes en la siguiente celda" sqref="C13:G13" xr:uid="{00000000-0002-0000-0000-000008000000}"/>
    <dataValidation allowBlank="1" showInputMessage="1" prompt="Escriba las notas del mes en esta celda" sqref="C14:G14" xr:uid="{00000000-0002-0000-0000-000009000000}"/>
    <dataValidation allowBlank="1" showInputMessage="1" showErrorMessage="1" prompt="El año natural se actualiza automáticamente según el año seleccionado en la celda B1" sqref="A29 A155 A141 A127 A113 A99 A85 A71 A57 A43" xr:uid="{00000000-0002-0000-0000-00000A000000}"/>
    <dataValidation allowBlank="1" showInputMessage="1" showErrorMessage="1" prompt="El mes natural se actualiza automáticamente según el mes seleccionado en la celda C1" sqref="B141:D141 B155:D155 B127:D127 B113:D113 B99:D99 B85:D85 B71:D71 B57:D57 B43:D43 B29:D29" xr:uid="{00000000-0002-0000-0000-000014000000}"/>
    <dataValidation allowBlank="1" showInputMessage="1" showErrorMessage="1" prompt="Día laborable determinado automáticamente. Para cambiar los días laborables, seleccione un nuevo día de inicio de semana en la celda B2." sqref="B16:G16 A156:G156 A142:G142 A128:G128 A114:G114 A100:G100 A86:G86 A72:G72 A58:G58 A44:G44 A30:G30" xr:uid="{00000000-0002-0000-0000-00001E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4AC229F3-3F6F-4A8D-AF71-7470AB6F87C6}">
            <xm:f>MONTH(JoMa!A3)&lt;&gt;Calendario1MesOpción</xm:f>
            <x14:dxf>
              <font>
                <color rgb="FF747474"/>
              </font>
            </x14:dxf>
          </x14:cfRule>
          <xm:sqref>A3:G3 A5:G5 A7:G7 A9:G9 A11:G11 A13:B13</xm:sqref>
        </x14:conditionalFormatting>
        <x14:conditionalFormatting xmlns:xm="http://schemas.microsoft.com/office/excel/2006/main">
          <x14:cfRule type="expression" priority="11" id="{AD281619-3134-4107-8FB1-672D646DAAA7}">
            <xm:f>MONTH(JoMa!A17)&lt;&gt;Calendario2MesOpción</xm:f>
            <x14:dxf>
              <font>
                <color rgb="FF747474"/>
              </font>
            </x14:dxf>
          </x14:cfRule>
          <xm:sqref>A17:G17 A19:G19 A21:G21 A23:G23 A25:G25 A27:B27</xm:sqref>
        </x14:conditionalFormatting>
        <x14:conditionalFormatting xmlns:xm="http://schemas.microsoft.com/office/excel/2006/main">
          <x14:cfRule type="expression" priority="10" id="{B945653F-567D-4809-8940-ACC378D8C202}">
            <xm:f>MONTH(JoMa!A31)&lt;&gt;Calendario3MesOpción</xm:f>
            <x14:dxf>
              <font>
                <color rgb="FF747474"/>
              </font>
            </x14:dxf>
          </x14:cfRule>
          <xm:sqref>A31:G31 A33:G33 A35:G35 A37:G37 A39:G39 A41:B41</xm:sqref>
        </x14:conditionalFormatting>
        <x14:conditionalFormatting xmlns:xm="http://schemas.microsoft.com/office/excel/2006/main">
          <x14:cfRule type="expression" priority="9" id="{6CCC6531-714B-4E5C-B38F-E6B865765310}">
            <xm:f>MONTH(JoMa!A45)&lt;&gt;Calendario4MesOpción</xm:f>
            <x14:dxf>
              <font>
                <color rgb="FF747474"/>
              </font>
            </x14:dxf>
          </x14:cfRule>
          <xm:sqref>A45:G45 A47:G47 A49:G49 A51:G51 A53:G53 A55:B55</xm:sqref>
        </x14:conditionalFormatting>
        <x14:conditionalFormatting xmlns:xm="http://schemas.microsoft.com/office/excel/2006/main">
          <x14:cfRule type="expression" priority="8" id="{3695057E-258E-433C-BD98-32AD865249E5}">
            <xm:f>MONTH(JoMa!A59)&lt;&gt;Calendario5MesOpción</xm:f>
            <x14:dxf>
              <font>
                <color rgb="FF747474"/>
              </font>
            </x14:dxf>
          </x14:cfRule>
          <xm:sqref>A59:G59 A61:G61 A63:G63 A65:G65 A67:G67 A69:B69</xm:sqref>
        </x14:conditionalFormatting>
        <x14:conditionalFormatting xmlns:xm="http://schemas.microsoft.com/office/excel/2006/main">
          <x14:cfRule type="expression" priority="7" id="{F7C001B8-5B1D-4C70-B05E-E56DA059AF8E}">
            <xm:f>MONTH(JoMa!A73)&lt;&gt;Calendario6MesOpción</xm:f>
            <x14:dxf>
              <font>
                <color rgb="FF747474"/>
              </font>
            </x14:dxf>
          </x14:cfRule>
          <xm:sqref>A73:G73 A75:G75 A77:G77 A79:G79 A81:G81 A83:B83</xm:sqref>
        </x14:conditionalFormatting>
        <x14:conditionalFormatting xmlns:xm="http://schemas.microsoft.com/office/excel/2006/main">
          <x14:cfRule type="expression" priority="6" id="{CDEB58B1-BA00-4DEB-A352-4CDA5255FF4A}">
            <xm:f>MONTH(JoMa!A87)&lt;&gt;Calendario7MesOpción</xm:f>
            <x14:dxf>
              <font>
                <color rgb="FF747474"/>
              </font>
            </x14:dxf>
          </x14:cfRule>
          <xm:sqref>A87:G87 A89:G89 A91:G91 A93:G93 A95:G95 A97:B97</xm:sqref>
        </x14:conditionalFormatting>
        <x14:conditionalFormatting xmlns:xm="http://schemas.microsoft.com/office/excel/2006/main">
          <x14:cfRule type="expression" priority="5" id="{0F7F1262-43F0-444D-BB90-AF7D5F13A110}">
            <xm:f>MONTH(JoMa!A101)&lt;&gt;Calendario8MesOpción</xm:f>
            <x14:dxf>
              <font>
                <color rgb="FF747474"/>
              </font>
            </x14:dxf>
          </x14:cfRule>
          <xm:sqref>A101:G101 A103:G103 A105:G105 A107:G107 A109:G109 A111:B111</xm:sqref>
        </x14:conditionalFormatting>
        <x14:conditionalFormatting xmlns:xm="http://schemas.microsoft.com/office/excel/2006/main">
          <x14:cfRule type="expression" priority="4" id="{B393DB67-E00A-4189-8F88-E49967A1DFDE}">
            <xm:f>MONTH(JoMa!A115)&lt;&gt;Calendario9MesOpción</xm:f>
            <x14:dxf>
              <font>
                <color rgb="FF747474"/>
              </font>
            </x14:dxf>
          </x14:cfRule>
          <xm:sqref>A115:G115 A117:G117 A119:G119 A121:G121 A123:G123 A125:B125</xm:sqref>
        </x14:conditionalFormatting>
        <x14:conditionalFormatting xmlns:xm="http://schemas.microsoft.com/office/excel/2006/main">
          <x14:cfRule type="expression" priority="3" id="{4AB2C3CB-3D71-48D5-81EB-FA24623B0F74}">
            <xm:f>MONTH(JoMa!A129)&lt;&gt;Calendario10MesOpción</xm:f>
            <x14:dxf>
              <font>
                <color rgb="FF747474"/>
              </font>
            </x14:dxf>
          </x14:cfRule>
          <xm:sqref>A129:G129 A131:G131 A133:G133 A135:G135 A137:G137 A139:B139</xm:sqref>
        </x14:conditionalFormatting>
        <x14:conditionalFormatting xmlns:xm="http://schemas.microsoft.com/office/excel/2006/main">
          <x14:cfRule type="expression" priority="2" id="{60EC5C5D-9C07-4488-82AF-549F34ECB11A}">
            <xm:f>MONTH(JoMa!A143)&lt;&gt;Calendario11MesOpción</xm:f>
            <x14:dxf>
              <font>
                <color rgb="FF747474"/>
              </font>
            </x14:dxf>
          </x14:cfRule>
          <xm:sqref>A143:G143 A145:G145 A147:G147 A149:G149 A151:G151 A153:B153</xm:sqref>
        </x14:conditionalFormatting>
        <x14:conditionalFormatting xmlns:xm="http://schemas.microsoft.com/office/excel/2006/main">
          <x14:cfRule type="expression" priority="1" id="{AA4E9ED6-3A4A-4103-888E-E002AB2CDD13}">
            <xm:f>MONTH(JoMa!A157)&lt;&gt;Calendario12MesOpción</xm:f>
            <x14:dxf>
              <font>
                <color rgb="FF747474"/>
              </font>
            </x14:dxf>
          </x14:cfRule>
          <xm:sqref>A157:G157 A159:G159 A161:G161 A163:G163 A165:G165 A167:B167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J168"/>
  <sheetViews>
    <sheetView workbookViewId="0">
      <selection activeCell="L12" sqref="L12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0" max="10" width="8.75"/>
  </cols>
  <sheetData>
    <row r="1" spans="1:10" ht="46.5" x14ac:dyDescent="0.7">
      <c r="A1" s="2"/>
      <c r="B1" s="1">
        <f ca="1">YEAR(TODAY())</f>
        <v>2024</v>
      </c>
      <c r="C1" s="18" t="s">
        <v>2</v>
      </c>
      <c r="D1" s="13"/>
      <c r="E1" s="65" t="s">
        <v>73</v>
      </c>
      <c r="F1" s="65"/>
      <c r="G1" s="65"/>
      <c r="H1" s="29" t="s">
        <v>74</v>
      </c>
      <c r="J1" s="20">
        <v>24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ht="28.5" x14ac:dyDescent="0.3">
      <c r="B4" s="31" t="s">
        <v>75</v>
      </c>
      <c r="C4" s="31" t="s">
        <v>76</v>
      </c>
      <c r="D4" s="31" t="s">
        <v>75</v>
      </c>
      <c r="E4" s="31" t="s">
        <v>76</v>
      </c>
      <c r="F4" s="31" t="s">
        <v>75</v>
      </c>
      <c r="G4" s="31" t="s">
        <v>75</v>
      </c>
      <c r="H4" s="31" t="s">
        <v>75</v>
      </c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x14ac:dyDescent="0.3">
      <c r="B6" s="25"/>
      <c r="C6" s="25"/>
      <c r="D6" s="25"/>
      <c r="E6" s="25"/>
      <c r="F6" s="25"/>
      <c r="G6" s="25"/>
      <c r="H6" s="25"/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x14ac:dyDescent="0.3">
      <c r="B8" s="6"/>
      <c r="C8" s="6"/>
      <c r="D8" s="6"/>
      <c r="E8" s="6"/>
      <c r="F8" s="6"/>
      <c r="G8" s="6"/>
      <c r="H8" s="7"/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x14ac:dyDescent="0.3">
      <c r="B10" s="6"/>
      <c r="C10" s="6"/>
      <c r="D10" s="6"/>
      <c r="E10" s="6"/>
      <c r="F10" s="6"/>
      <c r="G10" s="6"/>
      <c r="H10" s="7"/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x14ac:dyDescent="0.3">
      <c r="B12" s="6"/>
      <c r="C12" s="6"/>
      <c r="D12" s="6"/>
      <c r="E12" s="6"/>
      <c r="F12" s="6"/>
      <c r="G12" s="6"/>
      <c r="H12" s="7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6"/>
      <c r="C14" s="6"/>
      <c r="D14" s="63"/>
      <c r="E14" s="63"/>
      <c r="F14" s="63"/>
      <c r="G14" s="63"/>
      <c r="H14" s="63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13"/>
      <c r="F15" s="2"/>
      <c r="G15" s="2"/>
      <c r="H15" s="2"/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x14ac:dyDescent="0.3">
      <c r="B18" s="6"/>
      <c r="C18" s="6"/>
      <c r="D18" s="6"/>
      <c r="E18" s="6"/>
      <c r="F18" s="6"/>
      <c r="G18" s="6"/>
      <c r="H18" s="7"/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x14ac:dyDescent="0.3">
      <c r="B20" s="6"/>
      <c r="C20" s="6"/>
      <c r="D20" s="6"/>
      <c r="E20" s="6"/>
      <c r="F20" s="6"/>
      <c r="G20" s="6"/>
      <c r="H20" s="7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x14ac:dyDescent="0.3">
      <c r="B22" s="6"/>
      <c r="C22" s="6"/>
      <c r="D22" s="6"/>
      <c r="E22" s="6"/>
      <c r="F22" s="6"/>
      <c r="G22" s="6"/>
      <c r="H22" s="7"/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"/>
      <c r="C24" s="6"/>
      <c r="D24" s="6"/>
      <c r="E24" s="6"/>
      <c r="F24" s="6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5">
    <mergeCell ref="C29:E29"/>
    <mergeCell ref="E1:G1"/>
    <mergeCell ref="D13:H13"/>
    <mergeCell ref="D14:H14"/>
    <mergeCell ref="D27:H27"/>
    <mergeCell ref="D28:H28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D153:H153"/>
    <mergeCell ref="D154:H154"/>
    <mergeCell ref="C155:E155"/>
    <mergeCell ref="D167:H167"/>
    <mergeCell ref="D168:H168"/>
  </mergeCells>
  <dataValidations count="14">
    <dataValidation allowBlank="1" showInputMessage="1" prompt="Fecha" sqref="B3" xr:uid="{00000000-0002-0000-01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01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" xr:uid="{00000000-0002-0000-01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0100-000003000000}"/>
    <dataValidation allowBlank="1" showInputMessage="1" showErrorMessage="1" prompt="Escriba el año en esta celda" sqref="B1" xr:uid="{00000000-0002-0000-0100-000004000000}"/>
    <dataValidation allowBlank="1" showInputMessage="1" prompt="Día laborable determinado automáticamente. Para cambiar los días laborables, seleccione un nuevo día de inicio de semana en la celda B2." sqref="C2:H2 B16" xr:uid="{00000000-0002-0000-0100-000005000000}"/>
    <dataValidation allowBlank="1" showInputMessage="1" prompt="Escriba aquí las notas del día" sqref="B4 F6:H6 D6 F4:H4 D4" xr:uid="{00000000-0002-0000-0100-000007000000}"/>
    <dataValidation allowBlank="1" showInputMessage="1" prompt="El año natural se actualiza automáticamente según el año seleccionado en la celda B1" sqref="B15" xr:uid="{00000000-0002-0000-0100-00000C000000}"/>
    <dataValidation allowBlank="1" showInputMessage="1" prompt="El mes natural se actualiza automáticamente según el mes seleccionado en la celda C1" sqref="C15:E15" xr:uid="{00000000-0002-0000-0100-00000D000000}"/>
    <dataValidation allowBlank="1" showInputMessage="1" prompt="Escriba las notas del mes en la siguiente celda" sqref="D13:H13" xr:uid="{00000000-0002-0000-0100-00000E000000}"/>
    <dataValidation allowBlank="1" showInputMessage="1" prompt="Escriba las notas del mes en esta celda" sqref="D14:H14" xr:uid="{00000000-0002-0000-0100-00000F000000}"/>
    <dataValidation allowBlank="1" showInputMessage="1" showErrorMessage="1" prompt="El año natural se actualiza automáticamente según el año seleccionado en la celda B1" sqref="B29 B155 B141 B127 B113 B99 B85 B71 B57 B43" xr:uid="{00000000-0002-0000-0100-000010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0100-00001A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0100-000024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5E8392C0-F989-437B-999B-B8CCC88C298F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C3BFB606-5C75-4761-8F15-110C64647D48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55588ACC-FD85-47AD-91BE-DE8ABD05A4A6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67476E02-2531-4116-A1F6-1E01702D8B75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42BE4AEF-0830-469B-9406-55C24D8ADBEE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D4500EFF-369A-4D1A-BF9A-FA6FF90E553F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BF4B99FB-235D-4EE1-906F-4AC256CD3702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595A2D40-B763-4F5E-9406-CB266367DDB0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F587E8E9-49C5-48D9-9E5E-03794BCF6EA5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452B456D-C380-4E03-8588-868D6DD69069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5559B2A6-6FC4-4C38-AA29-BC8A40C03D9E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9EA20210-E2E3-4EFF-AAFC-0A6900E22CCD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J168"/>
  <sheetViews>
    <sheetView workbookViewId="0">
      <selection activeCell="B19" sqref="B19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</cols>
  <sheetData>
    <row r="1" spans="1:10" ht="46.5" x14ac:dyDescent="0.7">
      <c r="A1" s="2"/>
      <c r="B1" s="1">
        <f ca="1">YEAR(TODAY())</f>
        <v>2024</v>
      </c>
      <c r="C1" s="18" t="s">
        <v>2</v>
      </c>
      <c r="D1" s="13"/>
      <c r="E1" s="65" t="s">
        <v>99</v>
      </c>
      <c r="F1" s="65"/>
      <c r="G1" s="65"/>
      <c r="H1" s="19" t="s">
        <v>100</v>
      </c>
      <c r="J1" s="20">
        <v>26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x14ac:dyDescent="0.3">
      <c r="B4" s="6"/>
      <c r="C4" s="6"/>
      <c r="D4" s="6"/>
      <c r="E4" s="6"/>
      <c r="F4" s="6"/>
      <c r="G4" s="6"/>
      <c r="H4" s="7"/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ht="28.5" x14ac:dyDescent="0.3">
      <c r="B6" s="30" t="s">
        <v>101</v>
      </c>
      <c r="C6" s="6"/>
      <c r="D6" s="6"/>
      <c r="E6" s="6"/>
      <c r="F6" s="6"/>
      <c r="G6" s="6"/>
      <c r="H6" s="7"/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x14ac:dyDescent="0.3">
      <c r="B8" s="6"/>
      <c r="C8" s="6"/>
      <c r="D8" s="6"/>
      <c r="E8" s="6"/>
      <c r="F8" s="6"/>
      <c r="G8" s="6"/>
      <c r="H8" s="7"/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x14ac:dyDescent="0.3">
      <c r="B10" s="6"/>
      <c r="C10" s="6"/>
      <c r="D10" s="6"/>
      <c r="E10" s="6"/>
      <c r="F10" s="6"/>
      <c r="G10" s="6"/>
      <c r="H10" s="7"/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x14ac:dyDescent="0.3">
      <c r="B12" s="6"/>
      <c r="C12" s="6"/>
      <c r="D12" s="6"/>
      <c r="E12" s="6"/>
      <c r="F12" s="6"/>
      <c r="G12" s="6"/>
      <c r="H12" s="7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6"/>
      <c r="C14" s="6"/>
      <c r="D14" s="63"/>
      <c r="E14" s="63"/>
      <c r="F14" s="63"/>
      <c r="G14" s="63"/>
      <c r="H14" s="63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13"/>
      <c r="F15" s="2"/>
      <c r="G15" s="2"/>
      <c r="H15" s="2"/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x14ac:dyDescent="0.3">
      <c r="B18" s="6"/>
      <c r="C18" s="6"/>
      <c r="D18" s="6"/>
      <c r="E18" s="6"/>
      <c r="F18" s="6"/>
      <c r="G18" s="6"/>
      <c r="H18" s="7"/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x14ac:dyDescent="0.3">
      <c r="B20" s="6"/>
      <c r="C20" s="6"/>
      <c r="D20" s="6"/>
      <c r="E20" s="6"/>
      <c r="F20" s="6"/>
      <c r="G20" s="6"/>
      <c r="H20" s="7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x14ac:dyDescent="0.3">
      <c r="B22" s="6"/>
      <c r="C22" s="6"/>
      <c r="D22" s="6"/>
      <c r="E22" s="6"/>
      <c r="F22" s="6"/>
      <c r="G22" s="6"/>
      <c r="H22" s="7"/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"/>
      <c r="C24" s="6"/>
      <c r="D24" s="6"/>
      <c r="E24" s="6"/>
      <c r="F24" s="6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5">
    <mergeCell ref="D153:H153"/>
    <mergeCell ref="D154:H154"/>
    <mergeCell ref="C155:E155"/>
    <mergeCell ref="D167:H167"/>
    <mergeCell ref="D168:H168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29:E29"/>
    <mergeCell ref="E1:G1"/>
    <mergeCell ref="D13:H13"/>
    <mergeCell ref="D14:H14"/>
    <mergeCell ref="D27:H27"/>
    <mergeCell ref="D28:H28"/>
  </mergeCells>
  <dataValidations count="13">
    <dataValidation allowBlank="1" showInputMessage="1" prompt="Fecha" sqref="B3" xr:uid="{00000000-0002-0000-0200-000000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0200-000001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0200-00000C000000}"/>
    <dataValidation allowBlank="1" showInputMessage="1" showErrorMessage="1" prompt="El año natural se actualiza automáticamente según el año seleccionado en la celda B1" sqref="B29 B155 B141 B127 B113 B99 B85 B71 B57 B43" xr:uid="{00000000-0002-0000-0200-000016000000}"/>
    <dataValidation allowBlank="1" showInputMessage="1" prompt="Escriba las notas del mes en esta celda" sqref="D14:H14" xr:uid="{00000000-0002-0000-0200-000020000000}"/>
    <dataValidation allowBlank="1" showInputMessage="1" prompt="Escriba las notas del mes en la siguiente celda" sqref="D13:H13" xr:uid="{00000000-0002-0000-0200-000021000000}"/>
    <dataValidation allowBlank="1" showInputMessage="1" prompt="El mes natural se actualiza automáticamente según el mes seleccionado en la celda C1" sqref="C15:E15" xr:uid="{00000000-0002-0000-0200-000022000000}"/>
    <dataValidation allowBlank="1" showInputMessage="1" prompt="El año natural se actualiza automáticamente según el año seleccionado en la celda B1" sqref="B15" xr:uid="{00000000-0002-0000-0200-000023000000}"/>
    <dataValidation allowBlank="1" showInputMessage="1" prompt="Día laborable determinado automáticamente. Para cambiar los días laborables, seleccione un nuevo día de inicio de semana en la celda B2." sqref="C2:H2 B16" xr:uid="{00000000-0002-0000-0200-000024000000}"/>
    <dataValidation allowBlank="1" showInputMessage="1" showErrorMessage="1" prompt="Escriba el año en esta celda" sqref="B1" xr:uid="{00000000-0002-0000-0200-000026000000}"/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0200-000027000000}"/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" xr:uid="{00000000-0002-0000-0200-000028000000}">
      <formula1>"enero,febrero,marzo,abril,mayo,junio,julio,agosto,septiembre,octubre,noviembre,diciembre"</formula1>
    </dataValidation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0200-000029000000}">
      <formula1>"DOMINGO,LUNES,MARTES,MIÉRCOLES,JUEVES,VIERNES,SÁBADO"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49B3EBA3-C730-4512-B2E5-4B018874C4B0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0B3F60F6-9A73-40B5-B1E4-FEDA43CE9D50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3D178E78-46D4-4761-9A96-7E1379A8DBA4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2C3D484B-0B6D-4B0B-AA64-BA34F288FA9C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DFD050EE-1AB7-4BE0-8F00-EA1614273496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AD1E5389-0E8F-4355-9B00-C07CAFEECA64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56786D41-49F5-405F-A66F-AF3F07533AE6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6EC859B0-8C0E-4A61-BC75-D02C897E5787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A674C63E-909D-4972-B09D-E93082A6A8EC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5F6ABEA3-2CCD-4E38-AB22-0C1EB6DD1F2A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1D65FC07-2AA9-4B62-8654-DD35BBCFEB48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C8DA4720-4CE4-486F-A7E8-6AD4CF3A01E6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J168"/>
  <sheetViews>
    <sheetView workbookViewId="0">
      <selection activeCell="J2" sqref="J2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</cols>
  <sheetData>
    <row r="1" spans="1:10" ht="46.5" customHeight="1" x14ac:dyDescent="0.7">
      <c r="A1" s="2"/>
      <c r="B1" s="1">
        <f ca="1">YEAR(TODAY())</f>
        <v>2024</v>
      </c>
      <c r="C1" s="18" t="s">
        <v>2</v>
      </c>
      <c r="D1" s="13"/>
      <c r="E1" s="65" t="s">
        <v>77</v>
      </c>
      <c r="F1" s="65"/>
      <c r="G1" s="65"/>
      <c r="H1" s="29" t="s">
        <v>78</v>
      </c>
      <c r="J1" s="20">
        <v>27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ht="28.5" x14ac:dyDescent="0.3">
      <c r="B4" s="31" t="s">
        <v>98</v>
      </c>
      <c r="C4" s="6"/>
      <c r="D4" s="6"/>
      <c r="E4" s="24"/>
      <c r="F4" s="24"/>
      <c r="G4" s="6"/>
      <c r="H4" s="24"/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x14ac:dyDescent="0.3">
      <c r="B6" s="6"/>
      <c r="C6" s="24"/>
      <c r="D6" s="6"/>
      <c r="E6" s="6"/>
      <c r="F6" s="6"/>
      <c r="G6" s="6"/>
      <c r="H6" s="9"/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x14ac:dyDescent="0.3">
      <c r="B8" s="6"/>
      <c r="C8" s="6"/>
      <c r="D8" s="6"/>
      <c r="E8" s="6"/>
      <c r="F8" s="6"/>
      <c r="G8" s="6"/>
      <c r="H8" s="7"/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x14ac:dyDescent="0.3">
      <c r="B10" s="6"/>
      <c r="C10" s="6"/>
      <c r="D10" s="6"/>
      <c r="E10" s="6"/>
      <c r="F10" s="6"/>
      <c r="G10" s="6"/>
      <c r="H10" s="7"/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x14ac:dyDescent="0.3">
      <c r="B12" s="6"/>
      <c r="C12" s="6"/>
      <c r="D12" s="6"/>
      <c r="E12" s="6"/>
      <c r="F12" s="6"/>
      <c r="G12" s="6"/>
      <c r="H12" s="7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6"/>
      <c r="C14" s="6"/>
      <c r="D14" s="63"/>
      <c r="E14" s="63"/>
      <c r="F14" s="63"/>
      <c r="G14" s="63"/>
      <c r="H14" s="63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13"/>
      <c r="F15" s="2"/>
      <c r="G15" s="2"/>
      <c r="H15" s="2"/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x14ac:dyDescent="0.3">
      <c r="B18" s="6"/>
      <c r="C18" s="6"/>
      <c r="D18" s="6"/>
      <c r="E18" s="6"/>
      <c r="F18" s="6"/>
      <c r="G18" s="6"/>
      <c r="H18" s="7"/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x14ac:dyDescent="0.3">
      <c r="B20" s="6"/>
      <c r="C20" s="6"/>
      <c r="D20" s="6"/>
      <c r="E20" s="6"/>
      <c r="F20" s="6"/>
      <c r="G20" s="6"/>
      <c r="H20" s="7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x14ac:dyDescent="0.3">
      <c r="B22" s="6"/>
      <c r="C22" s="6"/>
      <c r="D22" s="6"/>
      <c r="E22" s="6"/>
      <c r="F22" s="6"/>
      <c r="G22" s="6"/>
      <c r="H22" s="7"/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"/>
      <c r="C24" s="6"/>
      <c r="D24" s="6"/>
      <c r="E24" s="6"/>
      <c r="F24" s="6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5">
    <mergeCell ref="C29:E29"/>
    <mergeCell ref="E1:G1"/>
    <mergeCell ref="D13:H13"/>
    <mergeCell ref="D14:H14"/>
    <mergeCell ref="D27:H27"/>
    <mergeCell ref="D28:H28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D153:H153"/>
    <mergeCell ref="D154:H154"/>
    <mergeCell ref="C155:E155"/>
    <mergeCell ref="D167:H167"/>
    <mergeCell ref="D168:H168"/>
  </mergeCells>
  <dataValidations count="14">
    <dataValidation allowBlank="1" showInputMessage="1" prompt="Fecha" sqref="B3" xr:uid="{00000000-0002-0000-0300-000000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0300-000001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0300-00000C000000}"/>
    <dataValidation allowBlank="1" showInputMessage="1" showErrorMessage="1" prompt="El año natural se actualiza automáticamente según el año seleccionado en la celda B1" sqref="B29 B155 B141 B127 B113 B99 B85 B71 B57 B43" xr:uid="{00000000-0002-0000-0300-000016000000}"/>
    <dataValidation allowBlank="1" showInputMessage="1" prompt="Escriba las notas del mes en esta celda" sqref="D14:H14" xr:uid="{00000000-0002-0000-0300-000020000000}"/>
    <dataValidation allowBlank="1" showInputMessage="1" prompt="Escriba las notas del mes en la siguiente celda" sqref="D13:H13" xr:uid="{00000000-0002-0000-0300-000021000000}"/>
    <dataValidation allowBlank="1" showInputMessage="1" prompt="El mes natural se actualiza automáticamente según el mes seleccionado en la celda C1" sqref="C15:E15" xr:uid="{00000000-0002-0000-0300-000022000000}"/>
    <dataValidation allowBlank="1" showInputMessage="1" prompt="El año natural se actualiza automáticamente según el año seleccionado en la celda B1" sqref="B15" xr:uid="{00000000-0002-0000-0300-000023000000}"/>
    <dataValidation allowBlank="1" showInputMessage="1" prompt="Escriba aquí las notas del día" sqref="B4" xr:uid="{00000000-0002-0000-0300-000024000000}"/>
    <dataValidation allowBlank="1" showInputMessage="1" prompt="Día laborable determinado automáticamente. Para cambiar los días laborables, seleccione un nuevo día de inicio de semana en la celda B2." sqref="C2:H2 B16" xr:uid="{00000000-0002-0000-0300-000025000000}"/>
    <dataValidation allowBlank="1" showInputMessage="1" showErrorMessage="1" prompt="Escriba el año en esta celda" sqref="B1" xr:uid="{00000000-0002-0000-0300-000027000000}"/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0300-000028000000}"/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" xr:uid="{00000000-0002-0000-0300-000029000000}">
      <formula1>"enero,febrero,marzo,abril,mayo,junio,julio,agosto,septiembre,octubre,noviembre,diciembre"</formula1>
    </dataValidation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0300-00002A000000}">
      <formula1>"DOMINGO,LUNES,MARTES,MIÉRCOLES,JUEVES,VIERNES,SÁBADO"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3A916F9E-DD1E-42E6-B4E6-32CD932E32A7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46DF8624-4BE2-49F2-82AA-39ACE747DD8D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DA27E74E-E98A-4603-A17B-089C083C2550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EB2DF346-C62B-4180-AD8E-893A9016E5F4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E8187A6C-3CFE-4D82-A910-C5CC95228C6A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3B4E5936-C27E-42C5-909E-21360506A230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4D1A3819-D022-45A6-AFEF-40A580680611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3A9C33D2-F887-400F-AEFB-BA7FA490226D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5FF789DB-3036-4C0B-9A27-CE3C03F924D2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37F66ABF-577D-469A-8293-B1C31531D605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1EFAE6C6-3B0C-447C-B1CA-271DDB664104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7B582C84-744E-4ACA-8CAB-DA5057D85496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J168"/>
  <sheetViews>
    <sheetView workbookViewId="0">
      <selection activeCell="J2" sqref="J2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0" max="10" width="8.75"/>
  </cols>
  <sheetData>
    <row r="1" spans="1:10" ht="46.5" customHeight="1" x14ac:dyDescent="0.7">
      <c r="A1" s="2"/>
      <c r="B1" s="1">
        <f ca="1">YEAR(TODAY())</f>
        <v>2024</v>
      </c>
      <c r="C1" s="18" t="s">
        <v>2</v>
      </c>
      <c r="D1" s="13"/>
      <c r="E1" s="65" t="s">
        <v>85</v>
      </c>
      <c r="F1" s="65"/>
      <c r="G1" s="65"/>
      <c r="H1" s="15" t="s">
        <v>86</v>
      </c>
      <c r="J1" s="20">
        <v>28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ht="28.5" x14ac:dyDescent="0.3">
      <c r="B4" s="6"/>
      <c r="C4" s="6"/>
      <c r="D4" s="31" t="s">
        <v>87</v>
      </c>
      <c r="E4" s="31" t="s">
        <v>88</v>
      </c>
      <c r="F4" s="6"/>
      <c r="G4" s="6"/>
      <c r="H4" s="7"/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x14ac:dyDescent="0.3">
      <c r="B6" s="6"/>
      <c r="C6" s="6"/>
      <c r="D6" s="6"/>
      <c r="E6" s="6"/>
      <c r="F6" s="6"/>
      <c r="G6" s="6"/>
      <c r="H6" s="9"/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x14ac:dyDescent="0.3">
      <c r="B8" s="6"/>
      <c r="C8" s="6"/>
      <c r="D8" s="6"/>
      <c r="E8" s="6"/>
      <c r="F8" s="6"/>
      <c r="G8" s="6"/>
      <c r="H8" s="7"/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x14ac:dyDescent="0.3">
      <c r="B10" s="6"/>
      <c r="C10" s="6"/>
      <c r="D10" s="6"/>
      <c r="E10" s="6"/>
      <c r="F10" s="6"/>
      <c r="G10" s="6"/>
      <c r="H10" s="7"/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x14ac:dyDescent="0.3">
      <c r="B12" s="6"/>
      <c r="C12" s="6"/>
      <c r="D12" s="6"/>
      <c r="E12" s="6"/>
      <c r="F12" s="6"/>
      <c r="G12" s="6"/>
      <c r="H12" s="7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6"/>
      <c r="C14" s="6"/>
      <c r="D14" s="63"/>
      <c r="E14" s="63"/>
      <c r="F14" s="63"/>
      <c r="G14" s="63"/>
      <c r="H14" s="63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13"/>
      <c r="F15" s="2"/>
      <c r="G15" s="2"/>
      <c r="H15" s="2"/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x14ac:dyDescent="0.3">
      <c r="B18" s="6"/>
      <c r="C18" s="6"/>
      <c r="D18" s="6"/>
      <c r="E18" s="6"/>
      <c r="F18" s="6"/>
      <c r="G18" s="6"/>
      <c r="H18" s="7"/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x14ac:dyDescent="0.3">
      <c r="B20" s="6"/>
      <c r="C20" s="6"/>
      <c r="D20" s="6"/>
      <c r="E20" s="6"/>
      <c r="F20" s="6"/>
      <c r="G20" s="6"/>
      <c r="H20" s="7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x14ac:dyDescent="0.3">
      <c r="B22" s="6"/>
      <c r="C22" s="6"/>
      <c r="D22" s="6"/>
      <c r="E22" s="6"/>
      <c r="F22" s="6"/>
      <c r="G22" s="6"/>
      <c r="H22" s="7"/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"/>
      <c r="C24" s="6"/>
      <c r="D24" s="6"/>
      <c r="E24" s="6"/>
      <c r="F24" s="6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5">
    <mergeCell ref="C29:E29"/>
    <mergeCell ref="E1:G1"/>
    <mergeCell ref="D13:H13"/>
    <mergeCell ref="D14:H14"/>
    <mergeCell ref="D27:H27"/>
    <mergeCell ref="D28:H28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D153:H153"/>
    <mergeCell ref="D154:H154"/>
    <mergeCell ref="C155:E155"/>
    <mergeCell ref="D167:H167"/>
    <mergeCell ref="D168:H168"/>
  </mergeCells>
  <dataValidations count="14">
    <dataValidation allowBlank="1" showInputMessage="1" prompt="Fecha" sqref="B3" xr:uid="{00000000-0002-0000-04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04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" xr:uid="{00000000-0002-0000-04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0400-000003000000}"/>
    <dataValidation allowBlank="1" showInputMessage="1" showErrorMessage="1" prompt="Escriba el año en esta celda" sqref="B1" xr:uid="{00000000-0002-0000-0400-000004000000}"/>
    <dataValidation allowBlank="1" showInputMessage="1" prompt="Día laborable determinado automáticamente. Para cambiar los días laborables, seleccione un nuevo día de inicio de semana en la celda B2." sqref="C2:H2 B16" xr:uid="{00000000-0002-0000-0400-000005000000}"/>
    <dataValidation allowBlank="1" showInputMessage="1" prompt="Escriba aquí las notas del día" sqref="B4" xr:uid="{00000000-0002-0000-0400-000007000000}"/>
    <dataValidation allowBlank="1" showInputMessage="1" prompt="El año natural se actualiza automáticamente según el año seleccionado en la celda B1" sqref="B15" xr:uid="{00000000-0002-0000-0400-000008000000}"/>
    <dataValidation allowBlank="1" showInputMessage="1" prompt="El mes natural se actualiza automáticamente según el mes seleccionado en la celda C1" sqref="C15:E15" xr:uid="{00000000-0002-0000-0400-000009000000}"/>
    <dataValidation allowBlank="1" showInputMessage="1" prompt="Escriba las notas del mes en la siguiente celda" sqref="D13:H13" xr:uid="{00000000-0002-0000-0400-00000A000000}"/>
    <dataValidation allowBlank="1" showInputMessage="1" prompt="Escriba las notas del mes en esta celda" sqref="D14:H14" xr:uid="{00000000-0002-0000-0400-00000B000000}"/>
    <dataValidation allowBlank="1" showInputMessage="1" showErrorMessage="1" prompt="El año natural se actualiza automáticamente según el año seleccionado en la celda B1" sqref="B29 B155 B141 B127 B113 B99 B85 B71 B57 B43" xr:uid="{00000000-0002-0000-0400-00000C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0400-000016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0400-000020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25E02668-78BC-4069-B963-63966E1A5569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08228D55-6967-432C-AFEE-422F856E270B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B3D8306D-39E1-40C7-BC6B-8EC9A92B167E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D51CF824-013F-46EC-B879-23B532AB1419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9CA94799-2C6E-4FCE-A7EF-31CD4EAC35E8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93F2996D-D03D-442F-AF66-F118131BB3E6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04C72D5D-A55A-47B2-82A9-6C9304931C2B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68127B13-7B7C-445B-8E1F-80255E1B80B7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B41A75F2-93BE-4878-8CCB-730E8242D88B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6A33675A-7ABD-42E3-837D-B14929DF6486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528DF215-54DA-4E3B-B548-C58F18E311E0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0206635A-3C8B-439F-8AB1-CF40F005E7F5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tabColor rgb="FF7030A0"/>
    <pageSetUpPr autoPageBreaks="0" fitToPage="1"/>
  </sheetPr>
  <dimension ref="A1:J168"/>
  <sheetViews>
    <sheetView showGridLines="0" topLeftCell="A7" zoomScaleNormal="100" workbookViewId="0">
      <selection activeCell="B23" sqref="B23"/>
    </sheetView>
  </sheetViews>
  <sheetFormatPr baseColWidth="10" defaultColWidth="8.75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4" max="14" width="6.75" customWidth="1"/>
  </cols>
  <sheetData>
    <row r="1" spans="1:10" ht="54" customHeight="1" x14ac:dyDescent="0.7">
      <c r="A1" s="2"/>
      <c r="B1" s="1">
        <f ca="1">YEAR(TODAY())</f>
        <v>2024</v>
      </c>
      <c r="C1" s="14" t="s">
        <v>2</v>
      </c>
      <c r="D1" s="13"/>
      <c r="E1" s="65" t="s">
        <v>3</v>
      </c>
      <c r="F1" s="65"/>
      <c r="G1" s="65"/>
      <c r="H1" s="15" t="s">
        <v>4</v>
      </c>
      <c r="J1" s="20">
        <v>1</v>
      </c>
    </row>
    <row r="2" spans="1:10" ht="18" customHeight="1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16.5" customHeight="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ht="28.5" x14ac:dyDescent="0.3">
      <c r="B4" s="6"/>
      <c r="C4" s="6"/>
      <c r="D4" s="6"/>
      <c r="E4" s="6"/>
      <c r="F4" s="16" t="s">
        <v>5</v>
      </c>
      <c r="G4" s="6"/>
      <c r="H4" s="7"/>
    </row>
    <row r="5" spans="1:10" ht="16.5" customHeight="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ht="28.5" x14ac:dyDescent="0.3">
      <c r="B6" s="6"/>
      <c r="C6" s="6"/>
      <c r="D6" s="16" t="s">
        <v>5</v>
      </c>
      <c r="E6" s="6"/>
      <c r="F6" s="6"/>
      <c r="G6" s="6"/>
      <c r="H6" s="9"/>
    </row>
    <row r="7" spans="1:10" ht="16.5" customHeight="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ht="28.5" x14ac:dyDescent="0.3">
      <c r="B8" s="6"/>
      <c r="C8" s="6"/>
      <c r="D8" s="6"/>
      <c r="E8" s="6"/>
      <c r="F8" s="16" t="s">
        <v>5</v>
      </c>
      <c r="G8" s="6"/>
      <c r="H8" s="7"/>
    </row>
    <row r="9" spans="1:10" ht="16.5" customHeight="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ht="28.5" x14ac:dyDescent="0.3">
      <c r="B10" s="6"/>
      <c r="C10" s="6"/>
      <c r="D10" s="6"/>
      <c r="E10" s="6"/>
      <c r="F10" s="16" t="s">
        <v>5</v>
      </c>
      <c r="G10" s="6"/>
      <c r="H10" s="7"/>
    </row>
    <row r="11" spans="1:10" ht="16.5" customHeight="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x14ac:dyDescent="0.3">
      <c r="B12" s="6"/>
      <c r="C12" s="6"/>
      <c r="D12" s="6"/>
      <c r="E12" s="6"/>
      <c r="F12" s="6"/>
      <c r="G12" s="6"/>
      <c r="H12" s="7"/>
    </row>
    <row r="13" spans="1:10" ht="16.5" customHeight="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6"/>
      <c r="C14" s="6"/>
      <c r="D14" s="63"/>
      <c r="E14" s="63"/>
      <c r="F14" s="63"/>
      <c r="G14" s="63"/>
      <c r="H14" s="63"/>
    </row>
    <row r="15" spans="1:10" ht="54" customHeight="1" x14ac:dyDescent="0.7">
      <c r="A15" s="2"/>
      <c r="B15" s="1">
        <f ca="1">YEAR(DATE(Calendario1Año,Calendario1MesOpción+1,1))</f>
        <v>2024</v>
      </c>
      <c r="C15" s="13" t="str">
        <f ca="1">TEXT(DATE(Calendario1Año,Calendario1MesOpción+1,1),"mmmm")</f>
        <v>febrero</v>
      </c>
      <c r="D15" s="13"/>
      <c r="E15" s="65" t="s">
        <v>3</v>
      </c>
      <c r="F15" s="65"/>
      <c r="G15" s="65"/>
      <c r="H15" s="15" t="s">
        <v>4</v>
      </c>
      <c r="J15" s="20">
        <v>1</v>
      </c>
    </row>
    <row r="16" spans="1:10" ht="14.25" customHeight="1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16.5" customHeight="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ht="28.5" x14ac:dyDescent="0.3">
      <c r="B18" s="6"/>
      <c r="C18" s="6"/>
      <c r="D18" s="6"/>
      <c r="E18" s="6"/>
      <c r="F18" s="16" t="s">
        <v>5</v>
      </c>
      <c r="G18" s="6"/>
      <c r="H18" s="7"/>
    </row>
    <row r="19" spans="1:8" ht="16.5" customHeight="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ht="28.5" x14ac:dyDescent="0.3">
      <c r="B20" s="6"/>
      <c r="C20" s="6"/>
      <c r="D20" s="6"/>
      <c r="E20" s="6"/>
      <c r="F20" s="16" t="s">
        <v>5</v>
      </c>
      <c r="G20" s="6"/>
      <c r="H20" s="7"/>
    </row>
    <row r="21" spans="1:8" ht="16.5" customHeight="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x14ac:dyDescent="0.3">
      <c r="B22" s="66" t="s">
        <v>169</v>
      </c>
      <c r="C22" s="66"/>
      <c r="D22" s="66"/>
      <c r="E22" s="66"/>
      <c r="F22" s="66"/>
      <c r="G22" s="66"/>
      <c r="H22" s="66"/>
    </row>
    <row r="23" spans="1:8" ht="16.5" customHeight="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ht="56.25" customHeight="1" x14ac:dyDescent="0.3">
      <c r="B24" s="6"/>
      <c r="C24" s="6"/>
      <c r="D24" s="6"/>
      <c r="E24" s="6"/>
      <c r="F24" s="6"/>
      <c r="G24" s="6"/>
      <c r="H24" s="7"/>
    </row>
    <row r="25" spans="1:8" ht="16.5" customHeight="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ht="57" customHeight="1" x14ac:dyDescent="0.3">
      <c r="B26" s="6"/>
      <c r="C26" s="6"/>
      <c r="D26" s="6"/>
      <c r="E26" s="6"/>
      <c r="F26" s="6"/>
      <c r="G26" s="6"/>
      <c r="H26" s="8"/>
    </row>
    <row r="27" spans="1:8" ht="16.5" customHeight="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ht="63.75" customHeight="1" x14ac:dyDescent="0.3">
      <c r="B28" s="6"/>
      <c r="C28" s="6"/>
      <c r="D28" s="63"/>
      <c r="E28" s="63"/>
      <c r="F28" s="63"/>
      <c r="G28" s="63"/>
      <c r="H28" s="63"/>
    </row>
    <row r="29" spans="1:8" ht="54" customHeight="1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ht="18" customHeight="1" x14ac:dyDescent="0.3">
      <c r="A30" s="3"/>
      <c r="B30" s="4" t="str">
        <f ca="1">UPPER(TEXT(B31,"dddd"))</f>
        <v>LUNES</v>
      </c>
      <c r="C30" s="5" t="str">
        <f t="shared" ref="C30" ca="1" si="2">UPPER(TEXT(C31,"dddd"))</f>
        <v>MARTES</v>
      </c>
      <c r="D30" s="4" t="str">
        <f t="shared" ref="D30" ca="1" si="3">UPPER(TEXT(D31,"dddd"))</f>
        <v>MIÉRCOLES</v>
      </c>
      <c r="E30" s="5" t="str">
        <f t="shared" ref="E30" ca="1" si="4">UPPER(TEXT(E31,"dddd"))</f>
        <v>JUEVES</v>
      </c>
      <c r="F30" s="4" t="str">
        <f t="shared" ref="F30" ca="1" si="5">UPPER(TEXT(F31,"dddd"))</f>
        <v>VIERNES</v>
      </c>
      <c r="G30" s="5" t="str">
        <f t="shared" ref="G30" ca="1" si="6">UPPER(TEXT(G31,"dddd"))</f>
        <v>SÁBADO</v>
      </c>
      <c r="H30" s="4" t="str">
        <f t="shared" ref="H30" ca="1" si="7">UPPER(TEXT(H31,"dddd"))</f>
        <v>DOMINGO</v>
      </c>
    </row>
    <row r="31" spans="1:8" ht="16.5" customHeight="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ht="56.25" customHeight="1" x14ac:dyDescent="0.3">
      <c r="B32" s="6"/>
      <c r="C32" s="6"/>
      <c r="D32" s="6"/>
      <c r="E32" s="6"/>
      <c r="F32" s="6"/>
      <c r="G32" s="6"/>
      <c r="H32" s="7"/>
    </row>
    <row r="33" spans="1:8" ht="16.5" customHeight="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ht="56.25" customHeight="1" x14ac:dyDescent="0.3">
      <c r="B34" s="6"/>
      <c r="C34" s="6"/>
      <c r="D34" s="6"/>
      <c r="E34" s="6"/>
      <c r="F34" s="6"/>
      <c r="G34" s="6"/>
      <c r="H34" s="7"/>
    </row>
    <row r="35" spans="1:8" ht="16.5" customHeight="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ht="56.25" customHeight="1" x14ac:dyDescent="0.3">
      <c r="B36" s="6"/>
      <c r="C36" s="6"/>
      <c r="D36" s="6"/>
      <c r="E36" s="6"/>
      <c r="F36" s="6"/>
      <c r="G36" s="6"/>
      <c r="H36" s="7"/>
    </row>
    <row r="37" spans="1:8" ht="16.5" customHeight="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ht="56.25" customHeight="1" x14ac:dyDescent="0.3">
      <c r="B38" s="6"/>
      <c r="C38" s="6"/>
      <c r="D38" s="6"/>
      <c r="E38" s="6"/>
      <c r="F38" s="6"/>
      <c r="G38" s="6"/>
      <c r="H38" s="7"/>
    </row>
    <row r="39" spans="1:8" ht="16.5" customHeight="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ht="57" customHeight="1" x14ac:dyDescent="0.3">
      <c r="B40" s="6"/>
      <c r="C40" s="6"/>
      <c r="D40" s="6"/>
      <c r="E40" s="6"/>
      <c r="F40" s="6"/>
      <c r="G40" s="6"/>
      <c r="H40" s="8"/>
    </row>
    <row r="41" spans="1:8" ht="16.5" customHeight="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ht="63.75" customHeight="1" x14ac:dyDescent="0.3">
      <c r="B42" s="6"/>
      <c r="C42" s="6"/>
      <c r="D42" s="63"/>
      <c r="E42" s="63"/>
      <c r="F42" s="63"/>
      <c r="G42" s="63"/>
      <c r="H42" s="63"/>
    </row>
    <row r="43" spans="1:8" ht="54" customHeight="1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ht="18" customHeight="1" x14ac:dyDescent="0.3">
      <c r="A44" s="3"/>
      <c r="B44" s="4" t="str">
        <f ca="1">UPPER(TEXT(B45,"dddd"))</f>
        <v>LUNES</v>
      </c>
      <c r="C44" s="5" t="str">
        <f t="shared" ref="C44" ca="1" si="8">UPPER(TEXT(C45,"dddd"))</f>
        <v>MARTES</v>
      </c>
      <c r="D44" s="4" t="str">
        <f t="shared" ref="D44" ca="1" si="9">UPPER(TEXT(D45,"dddd"))</f>
        <v>MIÉRCOLES</v>
      </c>
      <c r="E44" s="5" t="str">
        <f t="shared" ref="E44" ca="1" si="10">UPPER(TEXT(E45,"dddd"))</f>
        <v>JUEVES</v>
      </c>
      <c r="F44" s="4" t="str">
        <f t="shared" ref="F44" ca="1" si="11">UPPER(TEXT(F45,"dddd"))</f>
        <v>VIERNES</v>
      </c>
      <c r="G44" s="5" t="str">
        <f t="shared" ref="G44" ca="1" si="12">UPPER(TEXT(G45,"dddd"))</f>
        <v>SÁBADO</v>
      </c>
      <c r="H44" s="4" t="str">
        <f t="shared" ref="H44" ca="1" si="13">UPPER(TEXT(H45,"dddd"))</f>
        <v>DOMINGO</v>
      </c>
    </row>
    <row r="45" spans="1:8" ht="16.5" customHeight="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ht="56.25" customHeight="1" x14ac:dyDescent="0.3">
      <c r="B46" s="6"/>
      <c r="C46" s="6"/>
      <c r="D46" s="6"/>
      <c r="E46" s="6"/>
      <c r="F46" s="6"/>
      <c r="G46" s="6"/>
      <c r="H46" s="7"/>
    </row>
    <row r="47" spans="1:8" ht="16.5" customHeight="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ht="56.25" customHeight="1" x14ac:dyDescent="0.3">
      <c r="B48" s="6"/>
      <c r="C48" s="6"/>
      <c r="D48" s="6"/>
      <c r="E48" s="6"/>
      <c r="F48" s="6"/>
      <c r="G48" s="6"/>
      <c r="H48" s="7"/>
    </row>
    <row r="49" spans="1:8" ht="16.5" customHeight="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ht="56.25" customHeight="1" x14ac:dyDescent="0.3">
      <c r="B50" s="6"/>
      <c r="C50" s="6"/>
      <c r="D50" s="6"/>
      <c r="E50" s="6"/>
      <c r="F50" s="6"/>
      <c r="G50" s="6"/>
      <c r="H50" s="7"/>
    </row>
    <row r="51" spans="1:8" ht="16.5" customHeight="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ht="56.25" customHeight="1" x14ac:dyDescent="0.3">
      <c r="B52" s="6"/>
      <c r="C52" s="6"/>
      <c r="D52" s="6"/>
      <c r="E52" s="6"/>
      <c r="F52" s="6"/>
      <c r="G52" s="6"/>
      <c r="H52" s="7"/>
    </row>
    <row r="53" spans="1:8" ht="16.5" customHeight="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ht="57" customHeight="1" x14ac:dyDescent="0.3">
      <c r="B54" s="6"/>
      <c r="C54" s="6"/>
      <c r="D54" s="6"/>
      <c r="E54" s="6"/>
      <c r="F54" s="6"/>
      <c r="G54" s="6"/>
      <c r="H54" s="8"/>
    </row>
    <row r="55" spans="1:8" ht="16.5" customHeight="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ht="63.75" customHeight="1" x14ac:dyDescent="0.3">
      <c r="B56" s="6"/>
      <c r="C56" s="6"/>
      <c r="D56" s="63"/>
      <c r="E56" s="63"/>
      <c r="F56" s="63"/>
      <c r="G56" s="63"/>
      <c r="H56" s="63"/>
    </row>
    <row r="57" spans="1:8" ht="54" customHeight="1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ht="18" customHeight="1" x14ac:dyDescent="0.3">
      <c r="A58" s="3"/>
      <c r="B58" s="4" t="str">
        <f ca="1">UPPER(TEXT(B59,"dddd"))</f>
        <v>LUNES</v>
      </c>
      <c r="C58" s="5" t="str">
        <f t="shared" ref="C58" ca="1" si="14">UPPER(TEXT(C59,"dddd"))</f>
        <v>MARTES</v>
      </c>
      <c r="D58" s="4" t="str">
        <f t="shared" ref="D58" ca="1" si="15">UPPER(TEXT(D59,"dddd"))</f>
        <v>MIÉRCOLES</v>
      </c>
      <c r="E58" s="5" t="str">
        <f t="shared" ref="E58" ca="1" si="16">UPPER(TEXT(E59,"dddd"))</f>
        <v>JUEVES</v>
      </c>
      <c r="F58" s="4" t="str">
        <f t="shared" ref="F58" ca="1" si="17">UPPER(TEXT(F59,"dddd"))</f>
        <v>VIERNES</v>
      </c>
      <c r="G58" s="5" t="str">
        <f t="shared" ref="G58" ca="1" si="18">UPPER(TEXT(G59,"dddd"))</f>
        <v>SÁBADO</v>
      </c>
      <c r="H58" s="4" t="str">
        <f t="shared" ref="H58" ca="1" si="19">UPPER(TEXT(H59,"dddd"))</f>
        <v>DOMINGO</v>
      </c>
    </row>
    <row r="59" spans="1:8" ht="16.5" customHeight="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ht="56.25" customHeight="1" x14ac:dyDescent="0.3">
      <c r="B60" s="6"/>
      <c r="C60" s="6"/>
      <c r="D60" s="6"/>
      <c r="E60" s="6"/>
      <c r="F60" s="6"/>
      <c r="G60" s="6"/>
      <c r="H60" s="7"/>
    </row>
    <row r="61" spans="1:8" ht="16.5" customHeight="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ht="56.25" customHeight="1" x14ac:dyDescent="0.3">
      <c r="B62" s="6"/>
      <c r="C62" s="6"/>
      <c r="D62" s="6"/>
      <c r="E62" s="6"/>
      <c r="F62" s="6"/>
      <c r="G62" s="6"/>
      <c r="H62" s="7"/>
    </row>
    <row r="63" spans="1:8" ht="16.5" customHeight="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ht="56.25" customHeight="1" x14ac:dyDescent="0.3">
      <c r="B64" s="6"/>
      <c r="C64" s="6"/>
      <c r="D64" s="6"/>
      <c r="E64" s="6"/>
      <c r="F64" s="6"/>
      <c r="G64" s="6"/>
      <c r="H64" s="7"/>
    </row>
    <row r="65" spans="1:8" ht="16.5" customHeight="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ht="56.25" customHeight="1" x14ac:dyDescent="0.3">
      <c r="B66" s="6"/>
      <c r="C66" s="6"/>
      <c r="D66" s="6"/>
      <c r="E66" s="6"/>
      <c r="F66" s="6"/>
      <c r="G66" s="6"/>
      <c r="H66" s="7"/>
    </row>
    <row r="67" spans="1:8" ht="16.5" customHeight="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ht="57" customHeight="1" x14ac:dyDescent="0.3">
      <c r="B68" s="6"/>
      <c r="C68" s="6"/>
      <c r="D68" s="6"/>
      <c r="E68" s="6"/>
      <c r="F68" s="6"/>
      <c r="G68" s="6"/>
      <c r="H68" s="8"/>
    </row>
    <row r="69" spans="1:8" ht="16.5" customHeight="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ht="63.75" customHeight="1" x14ac:dyDescent="0.3">
      <c r="B70" s="6"/>
      <c r="C70" s="6"/>
      <c r="D70" s="63"/>
      <c r="E70" s="63"/>
      <c r="F70" s="63"/>
      <c r="G70" s="63"/>
      <c r="H70" s="63"/>
    </row>
    <row r="71" spans="1:8" ht="54" customHeight="1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ht="18" customHeight="1" x14ac:dyDescent="0.3">
      <c r="A72" s="3"/>
      <c r="B72" s="4" t="str">
        <f ca="1">UPPER(TEXT(B73,"dddd"))</f>
        <v>LUNES</v>
      </c>
      <c r="C72" s="5" t="str">
        <f t="shared" ref="C72" ca="1" si="20">UPPER(TEXT(C73,"dddd"))</f>
        <v>MARTES</v>
      </c>
      <c r="D72" s="4" t="str">
        <f t="shared" ref="D72" ca="1" si="21">UPPER(TEXT(D73,"dddd"))</f>
        <v>MIÉRCOLES</v>
      </c>
      <c r="E72" s="5" t="str">
        <f t="shared" ref="E72" ca="1" si="22">UPPER(TEXT(E73,"dddd"))</f>
        <v>JUEVES</v>
      </c>
      <c r="F72" s="4" t="str">
        <f t="shared" ref="F72" ca="1" si="23">UPPER(TEXT(F73,"dddd"))</f>
        <v>VIERNES</v>
      </c>
      <c r="G72" s="5" t="str">
        <f t="shared" ref="G72" ca="1" si="24">UPPER(TEXT(G73,"dddd"))</f>
        <v>SÁBADO</v>
      </c>
      <c r="H72" s="4" t="str">
        <f t="shared" ref="H72" ca="1" si="25">UPPER(TEXT(H73,"dddd"))</f>
        <v>DOMINGO</v>
      </c>
    </row>
    <row r="73" spans="1:8" ht="16.5" customHeight="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ht="56.25" customHeight="1" x14ac:dyDescent="0.3">
      <c r="B74" s="6"/>
      <c r="C74" s="6"/>
      <c r="D74" s="6"/>
      <c r="E74" s="6"/>
      <c r="F74" s="6"/>
      <c r="G74" s="6"/>
      <c r="H74" s="7"/>
    </row>
    <row r="75" spans="1:8" ht="16.5" customHeight="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ht="56.25" customHeight="1" x14ac:dyDescent="0.3">
      <c r="B76" s="6"/>
      <c r="C76" s="6"/>
      <c r="D76" s="6"/>
      <c r="E76" s="6"/>
      <c r="F76" s="6"/>
      <c r="G76" s="6"/>
      <c r="H76" s="7"/>
    </row>
    <row r="77" spans="1:8" ht="16.5" customHeight="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ht="56.25" customHeight="1" x14ac:dyDescent="0.3">
      <c r="B78" s="6"/>
      <c r="C78" s="6"/>
      <c r="D78" s="6"/>
      <c r="E78" s="6"/>
      <c r="F78" s="6"/>
      <c r="G78" s="6"/>
      <c r="H78" s="7"/>
    </row>
    <row r="79" spans="1:8" ht="16.5" customHeight="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ht="56.25" customHeight="1" x14ac:dyDescent="0.3">
      <c r="B80" s="6"/>
      <c r="C80" s="6"/>
      <c r="D80" s="6"/>
      <c r="E80" s="6"/>
      <c r="F80" s="6"/>
      <c r="G80" s="6"/>
      <c r="H80" s="7"/>
    </row>
    <row r="81" spans="1:8" ht="16.5" customHeight="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ht="57" customHeight="1" x14ac:dyDescent="0.3">
      <c r="B82" s="6"/>
      <c r="C82" s="6"/>
      <c r="D82" s="6"/>
      <c r="E82" s="6"/>
      <c r="F82" s="6"/>
      <c r="G82" s="6"/>
      <c r="H82" s="8"/>
    </row>
    <row r="83" spans="1:8" ht="16.5" customHeight="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ht="63.75" customHeight="1" x14ac:dyDescent="0.3">
      <c r="B84" s="6"/>
      <c r="C84" s="6"/>
      <c r="D84" s="63"/>
      <c r="E84" s="63"/>
      <c r="F84" s="63"/>
      <c r="G84" s="63"/>
      <c r="H84" s="63"/>
    </row>
    <row r="85" spans="1:8" ht="54" customHeight="1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ht="18" customHeight="1" x14ac:dyDescent="0.3">
      <c r="A86" s="3"/>
      <c r="B86" s="4" t="str">
        <f ca="1">UPPER(TEXT(B87,"dddd"))</f>
        <v>LUNES</v>
      </c>
      <c r="C86" s="5" t="str">
        <f t="shared" ref="C86" ca="1" si="26">UPPER(TEXT(C87,"dddd"))</f>
        <v>MARTES</v>
      </c>
      <c r="D86" s="4" t="str">
        <f t="shared" ref="D86" ca="1" si="27">UPPER(TEXT(D87,"dddd"))</f>
        <v>MIÉRCOLES</v>
      </c>
      <c r="E86" s="5" t="str">
        <f t="shared" ref="E86" ca="1" si="28">UPPER(TEXT(E87,"dddd"))</f>
        <v>JUEVES</v>
      </c>
      <c r="F86" s="4" t="str">
        <f t="shared" ref="F86" ca="1" si="29">UPPER(TEXT(F87,"dddd"))</f>
        <v>VIERNES</v>
      </c>
      <c r="G86" s="5" t="str">
        <f t="shared" ref="G86" ca="1" si="30">UPPER(TEXT(G87,"dddd"))</f>
        <v>SÁBADO</v>
      </c>
      <c r="H86" s="4" t="str">
        <f t="shared" ref="H86" ca="1" si="31">UPPER(TEXT(H87,"dddd"))</f>
        <v>DOMINGO</v>
      </c>
    </row>
    <row r="87" spans="1:8" ht="16.5" customHeight="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ht="56.25" customHeight="1" x14ac:dyDescent="0.3">
      <c r="B88" s="6"/>
      <c r="C88" s="6"/>
      <c r="D88" s="6"/>
      <c r="E88" s="6"/>
      <c r="F88" s="6"/>
      <c r="G88" s="6"/>
      <c r="H88" s="7"/>
    </row>
    <row r="89" spans="1:8" ht="16.5" customHeight="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ht="56.25" customHeight="1" x14ac:dyDescent="0.3">
      <c r="B90" s="6"/>
      <c r="C90" s="6"/>
      <c r="D90" s="6"/>
      <c r="E90" s="6"/>
      <c r="F90" s="6"/>
      <c r="G90" s="6"/>
      <c r="H90" s="7"/>
    </row>
    <row r="91" spans="1:8" ht="16.5" customHeight="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ht="56.25" customHeight="1" x14ac:dyDescent="0.3">
      <c r="B92" s="6"/>
      <c r="C92" s="6"/>
      <c r="D92" s="6"/>
      <c r="E92" s="6"/>
      <c r="F92" s="6"/>
      <c r="G92" s="6"/>
      <c r="H92" s="7"/>
    </row>
    <row r="93" spans="1:8" ht="16.5" customHeight="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ht="56.25" customHeight="1" x14ac:dyDescent="0.3">
      <c r="B94" s="6"/>
      <c r="C94" s="6"/>
      <c r="D94" s="6"/>
      <c r="E94" s="6"/>
      <c r="F94" s="6"/>
      <c r="G94" s="6"/>
      <c r="H94" s="7"/>
    </row>
    <row r="95" spans="1:8" ht="16.5" customHeight="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ht="57" customHeight="1" x14ac:dyDescent="0.3">
      <c r="B96" s="6"/>
      <c r="C96" s="6"/>
      <c r="D96" s="6"/>
      <c r="E96" s="6"/>
      <c r="F96" s="6"/>
      <c r="G96" s="6"/>
      <c r="H96" s="8"/>
    </row>
    <row r="97" spans="1:8" ht="16.5" customHeight="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ht="63.75" customHeight="1" x14ac:dyDescent="0.3">
      <c r="B98" s="6"/>
      <c r="C98" s="6"/>
      <c r="D98" s="63"/>
      <c r="E98" s="63"/>
      <c r="F98" s="63"/>
      <c r="G98" s="63"/>
      <c r="H98" s="63"/>
    </row>
    <row r="99" spans="1:8" ht="54" customHeight="1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ht="18" customHeight="1" x14ac:dyDescent="0.3">
      <c r="A100" s="3"/>
      <c r="B100" s="4" t="str">
        <f ca="1">UPPER(TEXT(B101,"dddd"))</f>
        <v>LUNES</v>
      </c>
      <c r="C100" s="5" t="str">
        <f t="shared" ref="C100" ca="1" si="32">UPPER(TEXT(C101,"dddd"))</f>
        <v>MARTES</v>
      </c>
      <c r="D100" s="4" t="str">
        <f t="shared" ref="D100" ca="1" si="33">UPPER(TEXT(D101,"dddd"))</f>
        <v>MIÉRCOLES</v>
      </c>
      <c r="E100" s="5" t="str">
        <f t="shared" ref="E100" ca="1" si="34">UPPER(TEXT(E101,"dddd"))</f>
        <v>JUEVES</v>
      </c>
      <c r="F100" s="4" t="str">
        <f t="shared" ref="F100" ca="1" si="35">UPPER(TEXT(F101,"dddd"))</f>
        <v>VIERNES</v>
      </c>
      <c r="G100" s="5" t="str">
        <f t="shared" ref="G100" ca="1" si="36">UPPER(TEXT(G101,"dddd"))</f>
        <v>SÁBADO</v>
      </c>
      <c r="H100" s="4" t="str">
        <f t="shared" ref="H100" ca="1" si="37">UPPER(TEXT(H101,"dddd"))</f>
        <v>DOMINGO</v>
      </c>
    </row>
    <row r="101" spans="1:8" ht="16.5" customHeight="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ht="56.25" customHeight="1" x14ac:dyDescent="0.3">
      <c r="B102" s="6"/>
      <c r="C102" s="6"/>
      <c r="D102" s="6"/>
      <c r="E102" s="6"/>
      <c r="F102" s="6"/>
      <c r="G102" s="6"/>
      <c r="H102" s="7"/>
    </row>
    <row r="103" spans="1:8" ht="16.5" customHeight="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ht="56.25" customHeight="1" x14ac:dyDescent="0.3">
      <c r="B104" s="6"/>
      <c r="C104" s="6"/>
      <c r="D104" s="6"/>
      <c r="E104" s="6"/>
      <c r="F104" s="6"/>
      <c r="G104" s="6"/>
      <c r="H104" s="7"/>
    </row>
    <row r="105" spans="1:8" ht="16.5" customHeight="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ht="56.25" customHeight="1" x14ac:dyDescent="0.3">
      <c r="B106" s="6"/>
      <c r="C106" s="6"/>
      <c r="D106" s="6"/>
      <c r="E106" s="6"/>
      <c r="F106" s="6"/>
      <c r="G106" s="6"/>
      <c r="H106" s="7"/>
    </row>
    <row r="107" spans="1:8" ht="16.5" customHeight="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ht="56.25" customHeight="1" x14ac:dyDescent="0.3">
      <c r="B108" s="6"/>
      <c r="C108" s="6"/>
      <c r="D108" s="6"/>
      <c r="E108" s="6"/>
      <c r="F108" s="6"/>
      <c r="G108" s="6"/>
      <c r="H108" s="7"/>
    </row>
    <row r="109" spans="1:8" ht="16.5" customHeight="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ht="57" customHeight="1" x14ac:dyDescent="0.3">
      <c r="B110" s="6"/>
      <c r="C110" s="6"/>
      <c r="D110" s="6"/>
      <c r="E110" s="6"/>
      <c r="F110" s="6"/>
      <c r="G110" s="6"/>
      <c r="H110" s="8"/>
    </row>
    <row r="111" spans="1:8" ht="16.5" customHeight="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ht="63.75" customHeight="1" x14ac:dyDescent="0.3">
      <c r="B112" s="6"/>
      <c r="C112" s="6"/>
      <c r="D112" s="63"/>
      <c r="E112" s="63"/>
      <c r="F112" s="63"/>
      <c r="G112" s="63"/>
      <c r="H112" s="63"/>
    </row>
    <row r="113" spans="1:8" ht="54" customHeight="1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ht="18" customHeight="1" x14ac:dyDescent="0.3">
      <c r="A114" s="3"/>
      <c r="B114" s="4" t="str">
        <f ca="1">UPPER(TEXT(B115,"dddd"))</f>
        <v>LUNES</v>
      </c>
      <c r="C114" s="5" t="str">
        <f t="shared" ref="C114" ca="1" si="38">UPPER(TEXT(C115,"dddd"))</f>
        <v>MARTES</v>
      </c>
      <c r="D114" s="4" t="str">
        <f t="shared" ref="D114" ca="1" si="39">UPPER(TEXT(D115,"dddd"))</f>
        <v>MIÉRCOLES</v>
      </c>
      <c r="E114" s="5" t="str">
        <f t="shared" ref="E114" ca="1" si="40">UPPER(TEXT(E115,"dddd"))</f>
        <v>JUEVES</v>
      </c>
      <c r="F114" s="4" t="str">
        <f t="shared" ref="F114" ca="1" si="41">UPPER(TEXT(F115,"dddd"))</f>
        <v>VIERNES</v>
      </c>
      <c r="G114" s="5" t="str">
        <f t="shared" ref="G114" ca="1" si="42">UPPER(TEXT(G115,"dddd"))</f>
        <v>SÁBADO</v>
      </c>
      <c r="H114" s="4" t="str">
        <f t="shared" ref="H114" ca="1" si="43">UPPER(TEXT(H115,"dddd"))</f>
        <v>DOMINGO</v>
      </c>
    </row>
    <row r="115" spans="1:8" ht="16.5" customHeight="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ht="56.25" customHeight="1" x14ac:dyDescent="0.3">
      <c r="B116" s="6"/>
      <c r="C116" s="6"/>
      <c r="D116" s="6"/>
      <c r="E116" s="6"/>
      <c r="F116" s="6"/>
      <c r="G116" s="6"/>
      <c r="H116" s="7"/>
    </row>
    <row r="117" spans="1:8" ht="16.5" customHeight="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ht="56.25" customHeight="1" x14ac:dyDescent="0.3">
      <c r="B118" s="6"/>
      <c r="C118" s="6"/>
      <c r="D118" s="6"/>
      <c r="E118" s="6"/>
      <c r="F118" s="6"/>
      <c r="G118" s="6"/>
      <c r="H118" s="7"/>
    </row>
    <row r="119" spans="1:8" ht="16.5" customHeight="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ht="56.25" customHeight="1" x14ac:dyDescent="0.3">
      <c r="B120" s="6"/>
      <c r="C120" s="6"/>
      <c r="D120" s="6"/>
      <c r="E120" s="6"/>
      <c r="F120" s="6"/>
      <c r="G120" s="6"/>
      <c r="H120" s="7"/>
    </row>
    <row r="121" spans="1:8" ht="16.5" customHeight="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ht="56.25" customHeight="1" x14ac:dyDescent="0.3">
      <c r="B122" s="6"/>
      <c r="C122" s="6"/>
      <c r="D122" s="6"/>
      <c r="E122" s="6"/>
      <c r="F122" s="6"/>
      <c r="G122" s="6"/>
      <c r="H122" s="7"/>
    </row>
    <row r="123" spans="1:8" ht="16.5" customHeight="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ht="57" customHeight="1" x14ac:dyDescent="0.3">
      <c r="B124" s="6"/>
      <c r="C124" s="6"/>
      <c r="D124" s="6"/>
      <c r="E124" s="6"/>
      <c r="F124" s="6"/>
      <c r="G124" s="6"/>
      <c r="H124" s="8"/>
    </row>
    <row r="125" spans="1:8" ht="16.5" customHeight="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ht="63.75" customHeight="1" x14ac:dyDescent="0.3">
      <c r="B126" s="6"/>
      <c r="C126" s="6"/>
      <c r="D126" s="63"/>
      <c r="E126" s="63"/>
      <c r="F126" s="63"/>
      <c r="G126" s="63"/>
      <c r="H126" s="63"/>
    </row>
    <row r="127" spans="1:8" ht="54" customHeight="1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ht="18" customHeight="1" x14ac:dyDescent="0.3">
      <c r="A128" s="3"/>
      <c r="B128" s="4" t="str">
        <f ca="1">UPPER(TEXT(B129,"dddd"))</f>
        <v>LUNES</v>
      </c>
      <c r="C128" s="5" t="str">
        <f t="shared" ref="C128:H128" ca="1" si="44">UPPER(TEXT(C129,"dddd"))</f>
        <v>MARTES</v>
      </c>
      <c r="D128" s="4" t="str">
        <f t="shared" ca="1" si="44"/>
        <v>MIÉRCOLES</v>
      </c>
      <c r="E128" s="5" t="str">
        <f t="shared" ca="1" si="44"/>
        <v>JUEVES</v>
      </c>
      <c r="F128" s="4" t="str">
        <f t="shared" ca="1" si="44"/>
        <v>VIERNES</v>
      </c>
      <c r="G128" s="5" t="str">
        <f t="shared" ca="1" si="44"/>
        <v>SÁBADO</v>
      </c>
      <c r="H128" s="4" t="str">
        <f t="shared" ca="1" si="44"/>
        <v>DOMINGO</v>
      </c>
    </row>
    <row r="129" spans="2:8" ht="16.5" customHeight="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ht="56.25" customHeight="1" x14ac:dyDescent="0.3">
      <c r="B130" s="6"/>
      <c r="C130" s="6"/>
      <c r="D130" s="6"/>
      <c r="E130" s="6"/>
      <c r="F130" s="6"/>
      <c r="G130" s="6"/>
      <c r="H130" s="7"/>
    </row>
    <row r="131" spans="2:8" ht="16.5" customHeight="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ht="56.25" customHeight="1" x14ac:dyDescent="0.3">
      <c r="B132" s="6"/>
      <c r="C132" s="6"/>
      <c r="D132" s="6"/>
      <c r="E132" s="6"/>
      <c r="F132" s="6"/>
      <c r="G132" s="6"/>
      <c r="H132" s="7"/>
    </row>
    <row r="133" spans="2:8" ht="16.5" customHeight="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ht="56.25" customHeight="1" x14ac:dyDescent="0.3">
      <c r="B134" s="6"/>
      <c r="C134" s="6"/>
      <c r="D134" s="6"/>
      <c r="E134" s="6"/>
      <c r="F134" s="6"/>
      <c r="G134" s="6"/>
      <c r="H134" s="7"/>
    </row>
    <row r="135" spans="2:8" ht="16.5" customHeight="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ht="56.25" customHeight="1" x14ac:dyDescent="0.3">
      <c r="B136" s="6"/>
      <c r="C136" s="6"/>
      <c r="D136" s="6"/>
      <c r="E136" s="6"/>
      <c r="F136" s="6"/>
      <c r="G136" s="6"/>
      <c r="H136" s="7"/>
    </row>
    <row r="137" spans="2:8" ht="16.5" customHeight="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ht="57" customHeight="1" x14ac:dyDescent="0.3">
      <c r="B138" s="6"/>
      <c r="C138" s="6"/>
      <c r="D138" s="6"/>
      <c r="E138" s="6"/>
      <c r="F138" s="6"/>
      <c r="G138" s="6"/>
      <c r="H138" s="8"/>
    </row>
    <row r="139" spans="2:8" ht="16.5" customHeight="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ht="63.75" customHeight="1" x14ac:dyDescent="0.3">
      <c r="B140" s="6"/>
      <c r="C140" s="6"/>
      <c r="D140" s="63"/>
      <c r="E140" s="63"/>
      <c r="F140" s="63"/>
      <c r="G140" s="63"/>
      <c r="H140" s="63"/>
    </row>
    <row r="141" spans="2:8" ht="54" customHeight="1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ht="18" customHeight="1" x14ac:dyDescent="0.3">
      <c r="B142" s="4" t="str">
        <f ca="1">UPPER(TEXT(B143,"dddd"))</f>
        <v>LUNES</v>
      </c>
      <c r="C142" s="5" t="str">
        <f t="shared" ref="C142:H142" ca="1" si="45">UPPER(TEXT(C143,"dddd"))</f>
        <v>MARTES</v>
      </c>
      <c r="D142" s="4" t="str">
        <f t="shared" ca="1" si="45"/>
        <v>MIÉRCOLES</v>
      </c>
      <c r="E142" s="5" t="str">
        <f t="shared" ca="1" si="45"/>
        <v>JUEVES</v>
      </c>
      <c r="F142" s="4" t="str">
        <f t="shared" ca="1" si="45"/>
        <v>VIERNES</v>
      </c>
      <c r="G142" s="5" t="str">
        <f t="shared" ca="1" si="45"/>
        <v>SÁBADO</v>
      </c>
      <c r="H142" s="4" t="str">
        <f t="shared" ca="1" si="45"/>
        <v>DOMINGO</v>
      </c>
    </row>
    <row r="143" spans="2:8" ht="16.5" customHeight="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ht="56.25" customHeight="1" x14ac:dyDescent="0.3">
      <c r="B144" s="6"/>
      <c r="C144" s="6"/>
      <c r="D144" s="6"/>
      <c r="E144" s="6"/>
      <c r="F144" s="6"/>
      <c r="G144" s="6"/>
      <c r="H144" s="7"/>
    </row>
    <row r="145" spans="2:8" ht="16.5" customHeight="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ht="56.25" customHeight="1" x14ac:dyDescent="0.3">
      <c r="B146" s="6"/>
      <c r="C146" s="6"/>
      <c r="D146" s="6"/>
      <c r="E146" s="6"/>
      <c r="F146" s="6"/>
      <c r="G146" s="6"/>
      <c r="H146" s="7"/>
    </row>
    <row r="147" spans="2:8" ht="16.5" customHeight="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ht="56.25" customHeight="1" x14ac:dyDescent="0.3">
      <c r="B148" s="6"/>
      <c r="C148" s="6"/>
      <c r="D148" s="6"/>
      <c r="E148" s="6"/>
      <c r="F148" s="6"/>
      <c r="G148" s="6"/>
      <c r="H148" s="7"/>
    </row>
    <row r="149" spans="2:8" ht="16.5" customHeight="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ht="56.25" customHeight="1" x14ac:dyDescent="0.3">
      <c r="B150" s="6"/>
      <c r="C150" s="6"/>
      <c r="D150" s="6"/>
      <c r="E150" s="6"/>
      <c r="F150" s="6"/>
      <c r="G150" s="6"/>
      <c r="H150" s="7"/>
    </row>
    <row r="151" spans="2:8" ht="16.5" customHeight="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ht="57" customHeight="1" x14ac:dyDescent="0.3">
      <c r="B152" s="6"/>
      <c r="C152" s="6"/>
      <c r="D152" s="6"/>
      <c r="E152" s="6"/>
      <c r="F152" s="6"/>
      <c r="G152" s="6"/>
      <c r="H152" s="8"/>
    </row>
    <row r="153" spans="2:8" ht="16.5" customHeight="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ht="63.75" customHeight="1" x14ac:dyDescent="0.3">
      <c r="B154" s="6"/>
      <c r="C154" s="6"/>
      <c r="D154" s="63"/>
      <c r="E154" s="63"/>
      <c r="F154" s="63"/>
      <c r="G154" s="63"/>
      <c r="H154" s="63"/>
    </row>
    <row r="155" spans="2:8" ht="54" customHeight="1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ht="18" customHeight="1" x14ac:dyDescent="0.3">
      <c r="B156" s="4" t="str">
        <f ca="1">UPPER(TEXT(B157,"dddd"))</f>
        <v>LUNES</v>
      </c>
      <c r="C156" s="5" t="str">
        <f t="shared" ref="C156:H156" ca="1" si="46">UPPER(TEXT(C157,"dddd"))</f>
        <v>MARTES</v>
      </c>
      <c r="D156" s="4" t="str">
        <f t="shared" ca="1" si="46"/>
        <v>MIÉRCOLES</v>
      </c>
      <c r="E156" s="5" t="str">
        <f t="shared" ca="1" si="46"/>
        <v>JUEVES</v>
      </c>
      <c r="F156" s="4" t="str">
        <f t="shared" ca="1" si="46"/>
        <v>VIERNES</v>
      </c>
      <c r="G156" s="5" t="str">
        <f t="shared" ca="1" si="46"/>
        <v>SÁBADO</v>
      </c>
      <c r="H156" s="4" t="str">
        <f t="shared" ca="1" si="46"/>
        <v>DOMINGO</v>
      </c>
    </row>
    <row r="157" spans="2:8" ht="16.5" customHeight="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ht="56.25" customHeight="1" x14ac:dyDescent="0.3">
      <c r="B158" s="6"/>
      <c r="C158" s="6"/>
      <c r="D158" s="6"/>
      <c r="E158" s="6"/>
      <c r="F158" s="6"/>
      <c r="G158" s="6"/>
      <c r="H158" s="7"/>
    </row>
    <row r="159" spans="2:8" ht="16.5" customHeight="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ht="56.25" customHeight="1" x14ac:dyDescent="0.3">
      <c r="B160" s="6"/>
      <c r="C160" s="6"/>
      <c r="D160" s="6"/>
      <c r="E160" s="6"/>
      <c r="F160" s="6"/>
      <c r="G160" s="6"/>
      <c r="H160" s="7"/>
    </row>
    <row r="161" spans="2:8" ht="16.5" customHeight="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ht="56.25" customHeight="1" x14ac:dyDescent="0.3">
      <c r="B162" s="6"/>
      <c r="C162" s="6"/>
      <c r="D162" s="6"/>
      <c r="E162" s="6"/>
      <c r="F162" s="6"/>
      <c r="G162" s="6"/>
      <c r="H162" s="7"/>
    </row>
    <row r="163" spans="2:8" ht="16.5" customHeight="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ht="56.25" customHeight="1" x14ac:dyDescent="0.3">
      <c r="B164" s="6"/>
      <c r="C164" s="6"/>
      <c r="D164" s="6"/>
      <c r="E164" s="6"/>
      <c r="F164" s="6"/>
      <c r="G164" s="6"/>
      <c r="H164" s="7"/>
    </row>
    <row r="165" spans="2:8" ht="16.5" customHeight="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ht="57" customHeight="1" x14ac:dyDescent="0.3">
      <c r="B166" s="6"/>
      <c r="C166" s="6"/>
      <c r="D166" s="6"/>
      <c r="E166" s="6"/>
      <c r="F166" s="6"/>
      <c r="G166" s="6"/>
      <c r="H166" s="8"/>
    </row>
    <row r="167" spans="2:8" ht="16.5" customHeight="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ht="63.75" customHeight="1" x14ac:dyDescent="0.3">
      <c r="B168" s="6"/>
      <c r="C168" s="6"/>
      <c r="D168" s="63"/>
      <c r="E168" s="63"/>
      <c r="F168" s="63"/>
      <c r="G168" s="63"/>
      <c r="H168" s="63"/>
    </row>
  </sheetData>
  <mergeCells count="37">
    <mergeCell ref="D153:H153"/>
    <mergeCell ref="C71:E71"/>
    <mergeCell ref="C85:E85"/>
    <mergeCell ref="C99:E99"/>
    <mergeCell ref="C155:E155"/>
    <mergeCell ref="D83:H83"/>
    <mergeCell ref="D13:H13"/>
    <mergeCell ref="D14:H14"/>
    <mergeCell ref="D42:H42"/>
    <mergeCell ref="D56:H56"/>
    <mergeCell ref="D70:H70"/>
    <mergeCell ref="D55:H55"/>
    <mergeCell ref="D69:H69"/>
    <mergeCell ref="D27:H27"/>
    <mergeCell ref="D28:H28"/>
    <mergeCell ref="D41:H41"/>
    <mergeCell ref="C57:E57"/>
    <mergeCell ref="C29:E29"/>
    <mergeCell ref="C43:E43"/>
    <mergeCell ref="E15:G15"/>
    <mergeCell ref="B22:H22"/>
    <mergeCell ref="E1:G1"/>
    <mergeCell ref="D168:H168"/>
    <mergeCell ref="D139:H139"/>
    <mergeCell ref="D140:H140"/>
    <mergeCell ref="D97:H97"/>
    <mergeCell ref="D84:H84"/>
    <mergeCell ref="D126:H126"/>
    <mergeCell ref="D111:H111"/>
    <mergeCell ref="D125:H125"/>
    <mergeCell ref="D98:H98"/>
    <mergeCell ref="D112:H112"/>
    <mergeCell ref="D154:H154"/>
    <mergeCell ref="D167:H167"/>
    <mergeCell ref="C113:E113"/>
    <mergeCell ref="C127:E127"/>
    <mergeCell ref="C141:E141"/>
  </mergeCells>
  <phoneticPr fontId="2" type="noConversion"/>
  <conditionalFormatting sqref="B3:H3 B5:H5 B7:H7 B9:H9 B11:H11 B13:C13">
    <cfRule type="expression" dxfId="467" priority="38">
      <formula>MONTH(B3)&lt;&gt;Calendario1MesOpción</formula>
    </cfRule>
  </conditionalFormatting>
  <conditionalFormatting sqref="B17:H17 B19:H19 B21:H21 B23:H23 B25:H25 B27:C27">
    <cfRule type="expression" dxfId="466" priority="27">
      <formula>MONTH(B17)&lt;&gt;Calendario2MesOpción</formula>
    </cfRule>
  </conditionalFormatting>
  <conditionalFormatting sqref="B31:H31 B33:H33 B35:H35 B37:H37 B39:H39 B41:C41">
    <cfRule type="expression" dxfId="465" priority="25">
      <formula>MONTH(B31)&lt;&gt;Calendario3MesOpción</formula>
    </cfRule>
  </conditionalFormatting>
  <conditionalFormatting sqref="B45:H45 B47:H47 B49:H49 B51:H51 B53:H53 B55:C55">
    <cfRule type="expression" dxfId="464" priority="23">
      <formula>MONTH(B45)&lt;&gt;Calendario4MesOpción</formula>
    </cfRule>
  </conditionalFormatting>
  <conditionalFormatting sqref="B59:H59 B61:H61 B63:H63 B65:H65 B67:H67 B69:C69">
    <cfRule type="expression" dxfId="463" priority="21">
      <formula>MONTH(B59)&lt;&gt;Calendario5MesOpción</formula>
    </cfRule>
  </conditionalFormatting>
  <conditionalFormatting sqref="B73:H73 B75:H75 B77:H77 B79:H79 B81:H81 B83:C83">
    <cfRule type="expression" dxfId="462" priority="19">
      <formula>MONTH(B73)&lt;&gt;Calendario6MesOpción</formula>
    </cfRule>
  </conditionalFormatting>
  <conditionalFormatting sqref="B87:H87 B89:H89 B91:H91 B93:H93 B95:H95 B97:C97">
    <cfRule type="expression" dxfId="461" priority="17">
      <formula>MONTH(B87)&lt;&gt;Calendario7MesOpción</formula>
    </cfRule>
  </conditionalFormatting>
  <conditionalFormatting sqref="B101:H101 B103:H103 B105:H105 B107:H107 B109:H109 B111:C111">
    <cfRule type="expression" dxfId="460" priority="15">
      <formula>MONTH(B101)&lt;&gt;Calendario8MesOpción</formula>
    </cfRule>
  </conditionalFormatting>
  <conditionalFormatting sqref="B115:H115 B117:H117 B119:H119 B121:H121 B123:H123 B125:C125">
    <cfRule type="expression" dxfId="459" priority="13">
      <formula>MONTH(B115)&lt;&gt;Calendario9MesOpción</formula>
    </cfRule>
  </conditionalFormatting>
  <conditionalFormatting sqref="B129:H129 B131:H131 B133:H133 B135:H135 B137:H137 B139:C139">
    <cfRule type="expression" dxfId="458" priority="3">
      <formula>MONTH(B129)&lt;&gt;Calendario10MesOpción</formula>
    </cfRule>
  </conditionalFormatting>
  <conditionalFormatting sqref="B143:H143 B145:H145 B147:H147 B149:H149 B151:H151 B153:C153">
    <cfRule type="expression" dxfId="457" priority="2">
      <formula>MONTH(B143)&lt;&gt;Calendario11MesOpción</formula>
    </cfRule>
  </conditionalFormatting>
  <conditionalFormatting sqref="B157:H157 B159:H159 B161:H161 B163:H163 B165:H165 B167:C167">
    <cfRule type="expression" dxfId="456" priority="1">
      <formula>MONTH(B157)&lt;&gt;Calendario12MesOpción</formula>
    </cfRule>
  </conditionalFormatting>
  <dataValidations xWindow="261" yWindow="449" count="14"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0500-000000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 E15" xr:uid="{00000000-0002-0000-0500-000001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0500-000003000000}"/>
    <dataValidation allowBlank="1" showInputMessage="1" showErrorMessage="1" prompt="Escriba el año en esta celda" sqref="B1" xr:uid="{00000000-0002-0000-0500-000004000000}"/>
    <dataValidation allowBlank="1" showInputMessage="1" prompt="Día laborable determinado automáticamente. Para cambiar los días laborables, seleccione un nuevo día de inicio de semana en la celda B2." sqref="C2:H2 B16" xr:uid="{00000000-0002-0000-0500-000005000000}"/>
    <dataValidation allowBlank="1" showInputMessage="1" prompt="Fecha" sqref="B3" xr:uid="{00000000-0002-0000-0500-000007000000}"/>
    <dataValidation allowBlank="1" showInputMessage="1" prompt="Escriba aquí las notas del día" sqref="B4" xr:uid="{00000000-0002-0000-0500-000008000000}"/>
    <dataValidation allowBlank="1" showInputMessage="1" prompt="El año natural se actualiza automáticamente según el año seleccionado en la celda B1" sqref="B15" xr:uid="{00000000-0002-0000-0500-000009000000}"/>
    <dataValidation allowBlank="1" showInputMessage="1" prompt="El mes natural se actualiza automáticamente según el mes seleccionado en la celda C1" sqref="C15:D15" xr:uid="{00000000-0002-0000-0500-00000A000000}"/>
    <dataValidation allowBlank="1" showInputMessage="1" prompt="Escriba las notas del mes en la siguiente celda" sqref="D13:H13" xr:uid="{00000000-0002-0000-0500-00000B000000}"/>
    <dataValidation allowBlank="1" showInputMessage="1" prompt="Escriba las notas del mes en esta celda" sqref="D14:H14" xr:uid="{00000000-0002-0000-0500-00000C000000}"/>
    <dataValidation allowBlank="1" showInputMessage="1" showErrorMessage="1" prompt="El año natural se actualiza automáticamente según el año seleccionado en la celda B1" sqref="B29 B155 B141 B127 B113 B99 B85 B71 B57 B43" xr:uid="{00000000-0002-0000-0500-00000D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0500-000017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0500-000021000000}"/>
  </dataValidations>
  <printOptions horizontalCentered="1" verticalCentered="1"/>
  <pageMargins left="0.25" right="0.25" top="0.45" bottom="0.45" header="0.5" footer="0.5"/>
  <pageSetup paperSize="9" fitToHeight="0" orientation="landscape" r:id="rId1"/>
  <headerFooter alignWithMargins="0"/>
  <rowBreaks count="11" manualBreakCount="11">
    <brk id="14" min="1" max="8" man="1"/>
    <brk id="28" min="1" max="8" man="1"/>
    <brk id="42" min="1" max="8" man="1"/>
    <brk id="56" min="1" max="8" man="1"/>
    <brk id="70" min="1" max="8" man="1"/>
    <brk id="84" min="1" max="8" man="1"/>
    <brk id="98" min="1" max="8" man="1"/>
    <brk id="112" min="1" max="8" man="1"/>
    <brk id="126" min="1" max="8" man="1"/>
    <brk id="140" min="1" max="8" man="1"/>
    <brk id="154" min="1" max="8" man="1"/>
  </rowBreaks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J168"/>
  <sheetViews>
    <sheetView topLeftCell="A7" workbookViewId="0">
      <selection activeCell="E20" sqref="E20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0" max="10" width="8.75"/>
  </cols>
  <sheetData>
    <row r="1" spans="1:10" ht="46.5" customHeight="1" x14ac:dyDescent="0.7">
      <c r="A1" s="2"/>
      <c r="B1" s="1">
        <f ca="1">YEAR(TODAY())</f>
        <v>2024</v>
      </c>
      <c r="C1" s="18" t="s">
        <v>2</v>
      </c>
      <c r="D1" s="13"/>
      <c r="E1" s="65" t="s">
        <v>10</v>
      </c>
      <c r="F1" s="65"/>
      <c r="G1" s="65"/>
      <c r="H1" s="15" t="s">
        <v>11</v>
      </c>
      <c r="J1" s="20">
        <v>5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ht="28.5" x14ac:dyDescent="0.3">
      <c r="B4" s="6"/>
      <c r="C4" s="6"/>
      <c r="D4" s="6"/>
      <c r="E4" s="27" t="s">
        <v>5</v>
      </c>
      <c r="F4" s="6"/>
      <c r="G4" s="6"/>
      <c r="H4" s="7"/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ht="28.5" x14ac:dyDescent="0.3">
      <c r="B6" s="6"/>
      <c r="C6" s="6"/>
      <c r="D6" s="6"/>
      <c r="E6" s="27" t="s">
        <v>5</v>
      </c>
      <c r="F6" s="6"/>
      <c r="G6" s="6"/>
      <c r="H6" s="9"/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ht="28.5" x14ac:dyDescent="0.3">
      <c r="B8" s="6"/>
      <c r="C8" s="6"/>
      <c r="D8" s="6"/>
      <c r="E8" s="27" t="s">
        <v>5</v>
      </c>
      <c r="F8" s="6"/>
      <c r="G8" s="6"/>
      <c r="H8" s="7"/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ht="28.5" x14ac:dyDescent="0.3">
      <c r="B10" s="6"/>
      <c r="C10" s="6"/>
      <c r="D10" s="6"/>
      <c r="E10" s="27" t="s">
        <v>5</v>
      </c>
      <c r="F10" s="6"/>
      <c r="G10" s="6"/>
      <c r="H10" s="7"/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x14ac:dyDescent="0.3">
      <c r="B12" s="6"/>
      <c r="C12" s="6"/>
      <c r="D12" s="6"/>
      <c r="E12" s="6"/>
      <c r="F12" s="6"/>
      <c r="G12" s="6"/>
      <c r="H12" s="7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6"/>
      <c r="C14" s="6"/>
      <c r="D14" s="63"/>
      <c r="E14" s="63"/>
      <c r="F14" s="63"/>
      <c r="G14" s="63"/>
      <c r="H14" s="63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65" t="s">
        <v>10</v>
      </c>
      <c r="F15" s="65"/>
      <c r="G15" s="65"/>
      <c r="H15" s="15" t="s">
        <v>11</v>
      </c>
      <c r="J15" s="20">
        <v>5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ht="28.5" x14ac:dyDescent="0.3">
      <c r="B18" s="6"/>
      <c r="C18" s="6"/>
      <c r="D18" s="6"/>
      <c r="E18" s="27" t="s">
        <v>5</v>
      </c>
      <c r="F18" s="6"/>
      <c r="G18" s="6"/>
      <c r="H18" s="7"/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ht="28.5" x14ac:dyDescent="0.3">
      <c r="B20" s="6"/>
      <c r="C20" s="6"/>
      <c r="D20" s="27" t="s">
        <v>5</v>
      </c>
      <c r="F20" s="6"/>
      <c r="G20" s="6"/>
      <c r="H20" s="7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x14ac:dyDescent="0.3">
      <c r="B22" s="67" t="s">
        <v>166</v>
      </c>
      <c r="C22" s="67"/>
      <c r="D22" s="67"/>
      <c r="E22" s="67"/>
      <c r="F22" s="67"/>
      <c r="G22" s="67"/>
      <c r="H22" s="67"/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"/>
      <c r="C24" s="6"/>
      <c r="D24" s="6"/>
      <c r="E24" s="6"/>
      <c r="F24" s="6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7">
    <mergeCell ref="C29:E29"/>
    <mergeCell ref="E15:G15"/>
    <mergeCell ref="E1:G1"/>
    <mergeCell ref="D13:H13"/>
    <mergeCell ref="D14:H14"/>
    <mergeCell ref="D27:H27"/>
    <mergeCell ref="D28:H28"/>
    <mergeCell ref="B22:H22"/>
    <mergeCell ref="D140:H140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C85:E85"/>
    <mergeCell ref="D41:H41"/>
    <mergeCell ref="D42:H42"/>
    <mergeCell ref="C43:E43"/>
    <mergeCell ref="D55:H55"/>
    <mergeCell ref="D56:H56"/>
    <mergeCell ref="D69:H69"/>
    <mergeCell ref="D70:H70"/>
    <mergeCell ref="C71:E71"/>
    <mergeCell ref="D83:H83"/>
    <mergeCell ref="D84:H84"/>
    <mergeCell ref="C57:E57"/>
    <mergeCell ref="D153:H153"/>
    <mergeCell ref="D154:H154"/>
    <mergeCell ref="C155:E155"/>
    <mergeCell ref="D167:H167"/>
    <mergeCell ref="D168:H168"/>
  </mergeCells>
  <dataValidations count="14">
    <dataValidation allowBlank="1" showInputMessage="1" prompt="Fecha" sqref="B3" xr:uid="{00000000-0002-0000-06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06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 E15" xr:uid="{00000000-0002-0000-06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0600-000004000000}"/>
    <dataValidation allowBlank="1" showInputMessage="1" showErrorMessage="1" prompt="Escriba el año en esta celda" sqref="B1" xr:uid="{00000000-0002-0000-0600-000005000000}"/>
    <dataValidation allowBlank="1" showInputMessage="1" prompt="Día laborable determinado automáticamente. Para cambiar los días laborables, seleccione un nuevo día de inicio de semana en la celda B2." sqref="C2:H2 B16" xr:uid="{00000000-0002-0000-0600-000006000000}"/>
    <dataValidation allowBlank="1" showInputMessage="1" prompt="Escriba aquí las notas del día" sqref="B4" xr:uid="{00000000-0002-0000-0600-000008000000}"/>
    <dataValidation allowBlank="1" showInputMessage="1" prompt="El año natural se actualiza automáticamente según el año seleccionado en la celda B1" sqref="B15" xr:uid="{00000000-0002-0000-0600-000009000000}"/>
    <dataValidation allowBlank="1" showInputMessage="1" prompt="El mes natural se actualiza automáticamente según el mes seleccionado en la celda C1" sqref="C15:D15" xr:uid="{00000000-0002-0000-0600-00000A000000}"/>
    <dataValidation allowBlank="1" showInputMessage="1" prompt="Escriba las notas del mes en la siguiente celda" sqref="D13:H13" xr:uid="{00000000-0002-0000-0600-00000B000000}"/>
    <dataValidation allowBlank="1" showInputMessage="1" prompt="Escriba las notas del mes en esta celda" sqref="D14:H14" xr:uid="{00000000-0002-0000-0600-00000C000000}"/>
    <dataValidation allowBlank="1" showInputMessage="1" showErrorMessage="1" prompt="El año natural se actualiza automáticamente según el año seleccionado en la celda B1" sqref="B29 B155 B141 B127 B113 B99 B85 B71 B57 B43" xr:uid="{00000000-0002-0000-0600-00000D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0600-000017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0600-000021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F9E44A6B-B871-48BC-8CD8-04F5B112B7F2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4253496D-5F17-4CE6-BAE7-61CBA704E9AD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297E3DAC-8C23-48AF-81FA-62850588982D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F1E61A6A-BBC6-4C36-B66D-747AB72E8132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B9BAF4AC-01F7-4C9C-B1F4-F190E587F7FA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E5683B3C-D77D-4146-AC8E-9556D200AEB9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251C3253-D29F-4398-97E0-8E2FBE95D42E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38B13162-704B-4541-845F-5B8B676632E8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96812DE8-E11B-4AD9-A987-4B355455611B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0977CA78-7633-4C4D-8138-EB98A161CF57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AD770C96-081E-4392-898E-951492CB726D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BA196316-106A-4494-9491-9CF7E987D959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J168"/>
  <sheetViews>
    <sheetView topLeftCell="B4" workbookViewId="0">
      <selection activeCell="F20" sqref="F20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0" max="10" width="8.75"/>
  </cols>
  <sheetData>
    <row r="1" spans="1:10" ht="46.5" customHeight="1" x14ac:dyDescent="0.7">
      <c r="A1" s="2"/>
      <c r="B1" s="1">
        <f ca="1">YEAR(TODAY())</f>
        <v>2024</v>
      </c>
      <c r="C1" s="18" t="s">
        <v>2</v>
      </c>
      <c r="D1" s="13"/>
      <c r="E1" s="65" t="s">
        <v>77</v>
      </c>
      <c r="F1" s="65"/>
      <c r="G1" s="65"/>
      <c r="H1" s="29" t="s">
        <v>78</v>
      </c>
      <c r="J1" s="20">
        <v>25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ht="28.5" x14ac:dyDescent="0.3">
      <c r="B4" s="6"/>
      <c r="C4" s="6"/>
      <c r="D4" s="6"/>
      <c r="E4" s="30" t="s">
        <v>79</v>
      </c>
      <c r="F4" s="30" t="s">
        <v>80</v>
      </c>
      <c r="G4" s="6"/>
      <c r="H4" s="30" t="s">
        <v>80</v>
      </c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ht="28.5" x14ac:dyDescent="0.3">
      <c r="B6" s="6"/>
      <c r="C6" s="30" t="s">
        <v>80</v>
      </c>
      <c r="D6" s="6"/>
      <c r="E6" s="31" t="s">
        <v>80</v>
      </c>
      <c r="F6" s="6"/>
      <c r="G6" s="31" t="s">
        <v>80</v>
      </c>
      <c r="H6" s="9"/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ht="28.5" x14ac:dyDescent="0.3">
      <c r="B8" s="30" t="s">
        <v>80</v>
      </c>
      <c r="C8" s="6"/>
      <c r="D8" s="30" t="s">
        <v>80</v>
      </c>
      <c r="E8" s="6"/>
      <c r="F8" s="30" t="s">
        <v>80</v>
      </c>
      <c r="G8" s="6"/>
      <c r="H8" s="30" t="s">
        <v>80</v>
      </c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ht="28.5" x14ac:dyDescent="0.3">
      <c r="B10" s="6"/>
      <c r="C10" s="30" t="s">
        <v>80</v>
      </c>
      <c r="D10" s="6"/>
      <c r="E10" s="30" t="s">
        <v>80</v>
      </c>
      <c r="F10" s="6"/>
      <c r="G10" s="6"/>
      <c r="H10" s="7"/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x14ac:dyDescent="0.3">
      <c r="B12" s="6"/>
      <c r="C12" s="6"/>
      <c r="D12" s="6"/>
      <c r="E12" s="51"/>
      <c r="F12" s="51"/>
      <c r="G12" s="51"/>
      <c r="H12" s="52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51"/>
      <c r="C14" s="51"/>
      <c r="D14" s="68"/>
      <c r="E14" s="68"/>
      <c r="F14" s="68"/>
      <c r="G14" s="68"/>
      <c r="H14" s="68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65" t="s">
        <v>77</v>
      </c>
      <c r="F15" s="65"/>
      <c r="G15" s="65"/>
      <c r="H15" s="29" t="s">
        <v>78</v>
      </c>
      <c r="J15" s="20">
        <v>25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ht="28.5" x14ac:dyDescent="0.3">
      <c r="B18" s="51"/>
      <c r="C18" s="51"/>
      <c r="D18" s="51"/>
      <c r="E18" s="6"/>
      <c r="F18" s="35" t="s">
        <v>80</v>
      </c>
      <c r="G18" s="6"/>
      <c r="H18" s="7"/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x14ac:dyDescent="0.3">
      <c r="B20" s="6"/>
      <c r="C20" s="6"/>
      <c r="D20" s="6"/>
      <c r="E20" s="6"/>
      <c r="F20" s="6"/>
      <c r="G20" s="6"/>
      <c r="H20" s="7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x14ac:dyDescent="0.3">
      <c r="B22" s="6"/>
      <c r="C22" s="6"/>
      <c r="D22" s="6"/>
      <c r="E22" s="6"/>
      <c r="F22" s="6"/>
      <c r="G22" s="6"/>
      <c r="H22" s="7"/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"/>
      <c r="C24" s="6"/>
      <c r="D24" s="6"/>
      <c r="E24" s="6"/>
      <c r="F24" s="6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6">
    <mergeCell ref="C29:E29"/>
    <mergeCell ref="E1:G1"/>
    <mergeCell ref="D13:H13"/>
    <mergeCell ref="D14:H14"/>
    <mergeCell ref="D27:H27"/>
    <mergeCell ref="D28:H28"/>
    <mergeCell ref="E15:G15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D153:H153"/>
    <mergeCell ref="D154:H154"/>
    <mergeCell ref="C155:E155"/>
    <mergeCell ref="D167:H167"/>
    <mergeCell ref="D168:H168"/>
  </mergeCells>
  <dataValidations count="14">
    <dataValidation allowBlank="1" showInputMessage="1" prompt="Fecha" sqref="B3" xr:uid="{00000000-0002-0000-07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07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 E15" xr:uid="{00000000-0002-0000-07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0700-000004000000}"/>
    <dataValidation allowBlank="1" showInputMessage="1" showErrorMessage="1" prompt="Escriba el año en esta celda" sqref="B1" xr:uid="{00000000-0002-0000-0700-000005000000}"/>
    <dataValidation allowBlank="1" showInputMessage="1" prompt="Día laborable determinado automáticamente. Para cambiar los días laborables, seleccione un nuevo día de inicio de semana en la celda B2." sqref="C2:H2 B16" xr:uid="{00000000-0002-0000-0700-000006000000}"/>
    <dataValidation allowBlank="1" showInputMessage="1" prompt="Escriba aquí las notas del día" sqref="B4" xr:uid="{00000000-0002-0000-0700-000008000000}"/>
    <dataValidation allowBlank="1" showInputMessage="1" prompt="El año natural se actualiza automáticamente según el año seleccionado en la celda B1" sqref="B15" xr:uid="{00000000-0002-0000-0700-000009000000}"/>
    <dataValidation allowBlank="1" showInputMessage="1" prompt="El mes natural se actualiza automáticamente según el mes seleccionado en la celda C1" sqref="C15:D15" xr:uid="{00000000-0002-0000-0700-00000A000000}"/>
    <dataValidation allowBlank="1" showInputMessage="1" prompt="Escriba las notas del mes en la siguiente celda" sqref="D13:H13" xr:uid="{00000000-0002-0000-0700-00000B000000}"/>
    <dataValidation allowBlank="1" showInputMessage="1" prompt="Escriba las notas del mes en esta celda" sqref="D14:H14" xr:uid="{00000000-0002-0000-0700-00000C000000}"/>
    <dataValidation allowBlank="1" showInputMessage="1" showErrorMessage="1" prompt="El año natural se actualiza automáticamente según el año seleccionado en la celda B1" sqref="B29 B155 B141 B127 B113 B99 B85 B71 B57 B43" xr:uid="{00000000-0002-0000-0700-00000D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0700-000017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0700-000021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E5016E19-BF6F-4B2D-8F9D-E928FB563E59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98350D6D-7DAC-451D-B769-794A8E079915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B6930259-8FBD-4099-8304-5C215B641D71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B2464DFD-1006-41DD-80C6-2C166B3B01BF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3363F032-54EC-4498-A320-67F634CD1EEB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F92E4670-3F7F-46F0-B5D5-5048F2620941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B62F4782-97A5-4FAB-A589-907F303D67D1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9A83F8E3-C1BD-4904-A9D0-DF1936A87DD9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F8C095C8-1394-479F-B180-54A652E76895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9A9E0F95-0AB6-464D-915F-EBC0C1817A22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B5EB854B-F083-488F-8658-B396B052D00F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EE89F6E1-D67C-4053-8D78-49916820C2EF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I168"/>
  <sheetViews>
    <sheetView workbookViewId="0">
      <selection activeCell="E17" sqref="E17"/>
    </sheetView>
  </sheetViews>
  <sheetFormatPr baseColWidth="10" defaultRowHeight="16.5" x14ac:dyDescent="0.3"/>
  <cols>
    <col min="1" max="1" width="18.25" customWidth="1"/>
    <col min="2" max="7" width="17.625" customWidth="1"/>
    <col min="8" max="8" width="2.5" customWidth="1"/>
  </cols>
  <sheetData>
    <row r="1" spans="1:9" ht="46.5" x14ac:dyDescent="0.7">
      <c r="A1" s="1">
        <f ca="1">YEAR(TODAY())</f>
        <v>2024</v>
      </c>
      <c r="B1" s="18" t="s">
        <v>2</v>
      </c>
      <c r="C1" s="13"/>
      <c r="D1" s="65" t="s">
        <v>144</v>
      </c>
      <c r="E1" s="65"/>
      <c r="F1" s="65"/>
      <c r="G1" s="19" t="s">
        <v>145</v>
      </c>
      <c r="I1" s="20">
        <v>43</v>
      </c>
    </row>
    <row r="2" spans="1:9" x14ac:dyDescent="0.3">
      <c r="A2" s="4" t="s">
        <v>0</v>
      </c>
      <c r="B2" s="5" t="str">
        <f ca="1">UPPER(TEXT(B3,"dddd"))</f>
        <v>MARTES</v>
      </c>
      <c r="C2" s="4" t="str">
        <f t="shared" ref="C2:G2" ca="1" si="0">UPPER(TEXT(C3,"dddd"))</f>
        <v>MIÉRCOLES</v>
      </c>
      <c r="D2" s="5" t="str">
        <f t="shared" ca="1" si="0"/>
        <v>JUEVES</v>
      </c>
      <c r="E2" s="4" t="str">
        <f t="shared" ca="1" si="0"/>
        <v>VIERNES</v>
      </c>
      <c r="F2" s="5" t="str">
        <f t="shared" ca="1" si="0"/>
        <v>SÁBADO</v>
      </c>
      <c r="G2" s="4" t="str">
        <f t="shared" ca="1" si="0"/>
        <v>DOMINGO</v>
      </c>
    </row>
    <row r="3" spans="1:9" ht="21" x14ac:dyDescent="0.3">
      <c r="A3" s="10">
        <f t="array" aca="1" ref="A3:G3" ca="1">Días+1+DATE(Calendario1Año,Calendario1MesOpción,1)-WEEKDAY(DATE(Calendario1Año,Calendario1MesOpción,1),DíaDeLaSemanaOpción)</f>
        <v>45292</v>
      </c>
      <c r="B3" s="10">
        <f ca="1"/>
        <v>45293</v>
      </c>
      <c r="C3" s="10">
        <f ca="1"/>
        <v>45294</v>
      </c>
      <c r="D3" s="10">
        <f ca="1"/>
        <v>45295</v>
      </c>
      <c r="E3" s="10">
        <f ca="1"/>
        <v>45296</v>
      </c>
      <c r="F3" s="10">
        <f ca="1"/>
        <v>45297</v>
      </c>
      <c r="G3" s="11">
        <f ca="1"/>
        <v>45298</v>
      </c>
    </row>
    <row r="4" spans="1:9" x14ac:dyDescent="0.3">
      <c r="A4" s="6"/>
      <c r="B4" s="6"/>
      <c r="C4" s="6"/>
      <c r="D4" s="6"/>
      <c r="E4" s="7"/>
      <c r="F4" s="6"/>
      <c r="G4" s="7"/>
    </row>
    <row r="5" spans="1:9" ht="21" x14ac:dyDescent="0.3">
      <c r="A5" s="10">
        <f t="array" aca="1" ref="A5:G5" ca="1">Días+8+DATE(Calendario1Año,Calendario1MesOpción,1)-WEEKDAY(DATE(Calendario1Año,Calendario1MesOpción,1),DíaDeLaSemanaOpción)</f>
        <v>45299</v>
      </c>
      <c r="B5" s="10">
        <f ca="1"/>
        <v>45300</v>
      </c>
      <c r="C5" s="10">
        <f ca="1"/>
        <v>45301</v>
      </c>
      <c r="D5" s="10">
        <f ca="1"/>
        <v>45302</v>
      </c>
      <c r="E5" s="10">
        <f ca="1"/>
        <v>45303</v>
      </c>
      <c r="F5" s="10">
        <f ca="1"/>
        <v>45304</v>
      </c>
      <c r="G5" s="11">
        <f ca="1"/>
        <v>45305</v>
      </c>
    </row>
    <row r="6" spans="1:9" x14ac:dyDescent="0.3">
      <c r="A6" s="6"/>
      <c r="C6" s="6"/>
      <c r="D6" s="7"/>
      <c r="E6" s="6"/>
      <c r="F6" s="6"/>
      <c r="G6" s="7"/>
    </row>
    <row r="7" spans="1:9" ht="21" x14ac:dyDescent="0.3">
      <c r="A7" s="10">
        <f t="array" aca="1" ref="A7:G7" ca="1">Días+15+DATE(Calendario1Año,Calendario1MesOpción,1)-WEEKDAY(DATE(Calendario1Año,Calendario1MesOpción,1),DíaDeLaSemanaOpción)</f>
        <v>45306</v>
      </c>
      <c r="B7" s="10">
        <f ca="1"/>
        <v>45307</v>
      </c>
      <c r="C7" s="10">
        <f ca="1"/>
        <v>45308</v>
      </c>
      <c r="D7" s="10">
        <f ca="1"/>
        <v>45309</v>
      </c>
      <c r="E7" s="10">
        <f ca="1"/>
        <v>45310</v>
      </c>
      <c r="F7" s="10">
        <f ca="1"/>
        <v>45311</v>
      </c>
      <c r="G7" s="11">
        <f ca="1"/>
        <v>45312</v>
      </c>
    </row>
    <row r="8" spans="1:9" x14ac:dyDescent="0.3">
      <c r="A8" s="43"/>
      <c r="B8" s="6"/>
      <c r="C8" s="6"/>
      <c r="D8" s="6"/>
      <c r="E8" s="24"/>
      <c r="F8" s="24"/>
      <c r="G8" s="24"/>
    </row>
    <row r="9" spans="1:9" ht="21" x14ac:dyDescent="0.3">
      <c r="A9" s="10">
        <f t="array" aca="1" ref="A9:G9" ca="1">Días+22+DATE(Calendario1Año,Calendario1MesOpción,1)-WEEKDAY(DATE(Calendario1Año,Calendario1MesOpción,1),DíaDeLaSemanaOpción)</f>
        <v>45313</v>
      </c>
      <c r="B9" s="10">
        <f ca="1"/>
        <v>45314</v>
      </c>
      <c r="C9" s="10">
        <f ca="1"/>
        <v>45315</v>
      </c>
      <c r="D9" s="10">
        <f ca="1"/>
        <v>45316</v>
      </c>
      <c r="E9" s="10">
        <f ca="1"/>
        <v>45317</v>
      </c>
      <c r="F9" s="10">
        <f ca="1"/>
        <v>45318</v>
      </c>
      <c r="G9" s="11">
        <f ca="1"/>
        <v>45319</v>
      </c>
    </row>
    <row r="10" spans="1:9" x14ac:dyDescent="0.3">
      <c r="A10" s="6"/>
      <c r="B10" s="6"/>
      <c r="C10" s="6"/>
      <c r="D10" s="6"/>
      <c r="E10" s="6"/>
      <c r="F10" s="31" t="s">
        <v>146</v>
      </c>
      <c r="G10" s="7"/>
    </row>
    <row r="11" spans="1:9" ht="21" x14ac:dyDescent="0.3">
      <c r="A11" s="10">
        <f t="array" aca="1" ref="A11:G11" ca="1">Días+29+DATE(Calendario1Año,Calendario1MesOpción,1)-WEEKDAY(DATE(Calendario1Año,Calendario1MesOpción,1),DíaDeLaSemanaOpción)</f>
        <v>45320</v>
      </c>
      <c r="B11" s="10">
        <f ca="1"/>
        <v>45321</v>
      </c>
      <c r="C11" s="10">
        <f ca="1"/>
        <v>45322</v>
      </c>
      <c r="D11" s="10">
        <f ca="1"/>
        <v>45323</v>
      </c>
      <c r="E11" s="10">
        <f ca="1"/>
        <v>45324</v>
      </c>
      <c r="F11" s="10">
        <f ca="1"/>
        <v>45325</v>
      </c>
      <c r="G11" s="11">
        <f ca="1"/>
        <v>45326</v>
      </c>
    </row>
    <row r="12" spans="1:9" x14ac:dyDescent="0.3">
      <c r="A12" s="6"/>
      <c r="B12" s="6"/>
      <c r="C12" s="6"/>
      <c r="D12" s="51"/>
      <c r="E12" s="51"/>
      <c r="F12" s="51"/>
      <c r="G12" s="52"/>
    </row>
    <row r="13" spans="1:9" ht="21" x14ac:dyDescent="0.3">
      <c r="A13" s="10">
        <f t="array" aca="1" ref="A13:B13" ca="1">Días+36+DATE(Calendario1Año,Calendario1MesOpción,1)-WEEKDAY(DATE(Calendario1Año,Calendario1MesOpción,1),DíaDeLaSemanaOpción)</f>
        <v>45327</v>
      </c>
      <c r="B13" s="10">
        <f ca="1"/>
        <v>45328</v>
      </c>
      <c r="C13" s="62" t="s">
        <v>1</v>
      </c>
      <c r="D13" s="62"/>
      <c r="E13" s="62"/>
      <c r="F13" s="62"/>
      <c r="G13" s="62"/>
    </row>
    <row r="14" spans="1:9" x14ac:dyDescent="0.3">
      <c r="A14" s="51"/>
      <c r="B14" s="51"/>
      <c r="C14" s="68"/>
      <c r="D14" s="68"/>
      <c r="E14" s="68"/>
      <c r="F14" s="68"/>
      <c r="G14" s="68"/>
    </row>
    <row r="15" spans="1:9" ht="46.5" x14ac:dyDescent="0.7">
      <c r="A15" s="1">
        <f ca="1">YEAR(DATE(Calendario1Año,Calendario1MesOpción+1,1))</f>
        <v>2024</v>
      </c>
      <c r="B15" s="17" t="str">
        <f ca="1">TEXT(DATE(Calendario1Año,Calendario1MesOpción+1,1),"mmmm")</f>
        <v>febrero</v>
      </c>
      <c r="C15" s="13"/>
      <c r="D15" s="65" t="s">
        <v>144</v>
      </c>
      <c r="E15" s="65"/>
      <c r="F15" s="65"/>
      <c r="G15" s="19" t="s">
        <v>145</v>
      </c>
      <c r="I15" s="20">
        <v>43</v>
      </c>
    </row>
    <row r="16" spans="1:9" x14ac:dyDescent="0.3">
      <c r="A16" s="4" t="str">
        <f ca="1">UPPER(TEXT(A17,"dddd"))</f>
        <v>LUNES</v>
      </c>
      <c r="B16" s="5" t="str">
        <f t="shared" ref="B16:G16" ca="1" si="1">UPPER(TEXT(B17,"dddd"))</f>
        <v>MARTES</v>
      </c>
      <c r="C16" s="4" t="str">
        <f t="shared" ca="1" si="1"/>
        <v>MIÉRCOLES</v>
      </c>
      <c r="D16" s="5" t="str">
        <f t="shared" ca="1" si="1"/>
        <v>JUEVES</v>
      </c>
      <c r="E16" s="4" t="str">
        <f t="shared" ca="1" si="1"/>
        <v>VIERNES</v>
      </c>
      <c r="F16" s="5" t="str">
        <f t="shared" ca="1" si="1"/>
        <v>SÁBADO</v>
      </c>
      <c r="G16" s="4" t="str">
        <f t="shared" ca="1" si="1"/>
        <v>DOMINGO</v>
      </c>
    </row>
    <row r="17" spans="1:7" ht="21" x14ac:dyDescent="0.3">
      <c r="A17" s="10">
        <f t="array" aca="1" ref="A17:G17" ca="1">Días+1+DATE(Calendario2Año,Calendario2MesOpción,1)-WEEKDAY(DATE(Calendario2Año,Calendario2MesOpción,1),DíaDeLaSemanaOpción)</f>
        <v>45320</v>
      </c>
      <c r="B17" s="10">
        <f ca="1"/>
        <v>45321</v>
      </c>
      <c r="C17" s="10">
        <f ca="1"/>
        <v>45322</v>
      </c>
      <c r="D17" s="10">
        <f ca="1"/>
        <v>45323</v>
      </c>
      <c r="E17" s="10">
        <f ca="1"/>
        <v>45324</v>
      </c>
      <c r="F17" s="10">
        <f ca="1"/>
        <v>45325</v>
      </c>
      <c r="G17" s="11">
        <f ca="1"/>
        <v>45326</v>
      </c>
    </row>
    <row r="18" spans="1:7" x14ac:dyDescent="0.3">
      <c r="A18" s="51"/>
      <c r="B18" s="51"/>
      <c r="C18" s="51"/>
      <c r="D18" s="6"/>
      <c r="E18" s="6"/>
      <c r="F18" s="6"/>
      <c r="G18" s="7"/>
    </row>
    <row r="19" spans="1:7" ht="21" x14ac:dyDescent="0.3">
      <c r="A19" s="10">
        <f t="array" aca="1" ref="A19:G19" ca="1">Días+8+DATE(Calendario2Año,Calendario2MesOpción,1)-WEEKDAY(DATE(Calendario2Año,Calendario2MesOpción,1),DíaDeLaSemanaOpción)</f>
        <v>45327</v>
      </c>
      <c r="B19" s="10">
        <f ca="1"/>
        <v>45328</v>
      </c>
      <c r="C19" s="10">
        <f ca="1"/>
        <v>45329</v>
      </c>
      <c r="D19" s="10">
        <f ca="1"/>
        <v>45330</v>
      </c>
      <c r="E19" s="10">
        <f ca="1"/>
        <v>45331</v>
      </c>
      <c r="F19" s="10">
        <f ca="1"/>
        <v>45332</v>
      </c>
      <c r="G19" s="11">
        <f ca="1"/>
        <v>45333</v>
      </c>
    </row>
    <row r="20" spans="1:7" x14ac:dyDescent="0.3">
      <c r="A20" s="24"/>
      <c r="B20" s="6"/>
      <c r="C20" s="6"/>
      <c r="D20" s="6"/>
      <c r="E20" s="6"/>
      <c r="F20" s="6"/>
      <c r="G20" s="7"/>
    </row>
    <row r="21" spans="1:7" ht="21" x14ac:dyDescent="0.3">
      <c r="A21" s="10">
        <f t="array" aca="1" ref="A21:G21" ca="1">Días+15+DATE(Calendario2Año,Calendario2MesOpción,1)-WEEKDAY(DATE(Calendario2Año,Calendario2MesOpción,1),DíaDeLaSemanaOpción)</f>
        <v>45334</v>
      </c>
      <c r="B21" s="10">
        <f ca="1"/>
        <v>45335</v>
      </c>
      <c r="C21" s="10">
        <f ca="1"/>
        <v>45336</v>
      </c>
      <c r="D21" s="10">
        <f ca="1"/>
        <v>45337</v>
      </c>
      <c r="E21" s="10">
        <f ca="1"/>
        <v>45338</v>
      </c>
      <c r="F21" s="10">
        <f ca="1"/>
        <v>45339</v>
      </c>
      <c r="G21" s="11">
        <f ca="1"/>
        <v>45340</v>
      </c>
    </row>
    <row r="22" spans="1:7" x14ac:dyDescent="0.3">
      <c r="A22" s="6"/>
      <c r="B22" s="6"/>
      <c r="C22" s="6"/>
      <c r="D22" s="6"/>
      <c r="E22" s="6"/>
      <c r="F22" s="6"/>
      <c r="G22" s="7"/>
    </row>
    <row r="23" spans="1:7" ht="21" x14ac:dyDescent="0.3">
      <c r="A23" s="10">
        <f t="array" aca="1" ref="A23:G23" ca="1">Días+22+DATE(Calendario2Año,Calendario2MesOpción,1)-WEEKDAY(DATE(Calendario2Año,Calendario2MesOpción,1),DíaDeLaSemanaOpción)</f>
        <v>45341</v>
      </c>
      <c r="B23" s="10">
        <f ca="1"/>
        <v>45342</v>
      </c>
      <c r="C23" s="10">
        <f ca="1"/>
        <v>45343</v>
      </c>
      <c r="D23" s="10">
        <f ca="1"/>
        <v>45344</v>
      </c>
      <c r="E23" s="10">
        <f ca="1"/>
        <v>45345</v>
      </c>
      <c r="F23" s="10">
        <f ca="1"/>
        <v>45346</v>
      </c>
      <c r="G23" s="11">
        <f ca="1"/>
        <v>45347</v>
      </c>
    </row>
    <row r="24" spans="1:7" x14ac:dyDescent="0.3">
      <c r="A24" s="6"/>
      <c r="B24" s="6"/>
      <c r="C24" s="6"/>
      <c r="D24" s="6"/>
      <c r="E24" s="6"/>
      <c r="F24" s="6"/>
      <c r="G24" s="7"/>
    </row>
    <row r="25" spans="1:7" ht="21" x14ac:dyDescent="0.3">
      <c r="A25" s="10">
        <f t="array" aca="1" ref="A25:G25" ca="1">Días+29+DATE(Calendario2Año,Calendario2MesOpción,1)-WEEKDAY(DATE(Calendario2Año,Calendario2MesOpción,1),DíaDeLaSemanaOpción)</f>
        <v>45348</v>
      </c>
      <c r="B25" s="10">
        <f ca="1"/>
        <v>45349</v>
      </c>
      <c r="C25" s="10">
        <f ca="1"/>
        <v>45350</v>
      </c>
      <c r="D25" s="10">
        <f ca="1"/>
        <v>45351</v>
      </c>
      <c r="E25" s="10">
        <f ca="1"/>
        <v>45352</v>
      </c>
      <c r="F25" s="10">
        <f ca="1"/>
        <v>45353</v>
      </c>
      <c r="G25" s="11">
        <f ca="1"/>
        <v>45354</v>
      </c>
    </row>
    <row r="26" spans="1:7" x14ac:dyDescent="0.3">
      <c r="A26" s="6"/>
      <c r="B26" s="6"/>
      <c r="C26" s="6"/>
      <c r="D26" s="6"/>
      <c r="E26" s="6"/>
      <c r="F26" s="6"/>
      <c r="G26" s="8"/>
    </row>
    <row r="27" spans="1:7" ht="21" x14ac:dyDescent="0.3">
      <c r="A27" s="10">
        <f t="array" aca="1" ref="A27:B27" ca="1">Días+36+DATE(Calendario2Año,Calendario2MesOpción,1)-WEEKDAY(DATE(Calendario2Año,Calendario2MesOpción,1),DíaDeLaSemanaOpción)</f>
        <v>45355</v>
      </c>
      <c r="B27" s="10">
        <f ca="1"/>
        <v>45356</v>
      </c>
      <c r="C27" s="62" t="s">
        <v>1</v>
      </c>
      <c r="D27" s="62"/>
      <c r="E27" s="62"/>
      <c r="F27" s="62"/>
      <c r="G27" s="62"/>
    </row>
    <row r="28" spans="1:7" x14ac:dyDescent="0.3">
      <c r="A28" s="6"/>
      <c r="B28" s="6"/>
      <c r="C28" s="63"/>
      <c r="D28" s="63"/>
      <c r="E28" s="63"/>
      <c r="F28" s="63"/>
      <c r="G28" s="63"/>
    </row>
    <row r="29" spans="1:7" ht="46.5" x14ac:dyDescent="0.7">
      <c r="A29" s="1">
        <f ca="1">YEAR(DATE(Calendario2Año,Calendario2MesOpción+1,1))</f>
        <v>2024</v>
      </c>
      <c r="B29" s="64" t="str">
        <f ca="1">TEXT(DATE(Calendario2Año,Calendario2MesOpción+1,1),"mmmm")</f>
        <v>marzo</v>
      </c>
      <c r="C29" s="64"/>
      <c r="D29" s="64"/>
      <c r="E29" s="2"/>
      <c r="F29" s="2"/>
      <c r="G29" s="2"/>
    </row>
    <row r="30" spans="1:7" x14ac:dyDescent="0.3">
      <c r="A30" s="4" t="str">
        <f ca="1">UPPER(TEXT(A31,"dddd"))</f>
        <v>LUNES</v>
      </c>
      <c r="B30" s="5" t="str">
        <f t="shared" ref="B30:G30" ca="1" si="2">UPPER(TEXT(B31,"dddd"))</f>
        <v>MARTES</v>
      </c>
      <c r="C30" s="4" t="str">
        <f t="shared" ca="1" si="2"/>
        <v>MIÉRCOLES</v>
      </c>
      <c r="D30" s="5" t="str">
        <f t="shared" ca="1" si="2"/>
        <v>JUEVES</v>
      </c>
      <c r="E30" s="4" t="str">
        <f t="shared" ca="1" si="2"/>
        <v>VIERNES</v>
      </c>
      <c r="F30" s="5" t="str">
        <f t="shared" ca="1" si="2"/>
        <v>SÁBADO</v>
      </c>
      <c r="G30" s="4" t="str">
        <f t="shared" ca="1" si="2"/>
        <v>DOMINGO</v>
      </c>
    </row>
    <row r="31" spans="1:7" ht="21" x14ac:dyDescent="0.3">
      <c r="A31" s="10">
        <f t="array" aca="1" ref="A31:G31" ca="1">Días+1+DATE(Calendario3Año,Calendario3MesOpción,1)-WEEKDAY(DATE(Calendario3Año,Calendario3MesOpción,1),DíaDeLaSemanaOpción)</f>
        <v>45348</v>
      </c>
      <c r="B31" s="10">
        <f ca="1"/>
        <v>45349</v>
      </c>
      <c r="C31" s="10">
        <f ca="1"/>
        <v>45350</v>
      </c>
      <c r="D31" s="10">
        <f ca="1"/>
        <v>45351</v>
      </c>
      <c r="E31" s="10">
        <f ca="1"/>
        <v>45352</v>
      </c>
      <c r="F31" s="10">
        <f ca="1"/>
        <v>45353</v>
      </c>
      <c r="G31" s="11">
        <f ca="1"/>
        <v>45354</v>
      </c>
    </row>
    <row r="32" spans="1:7" x14ac:dyDescent="0.3">
      <c r="A32" s="6"/>
      <c r="B32" s="6"/>
      <c r="C32" s="6"/>
      <c r="D32" s="6"/>
      <c r="E32" s="6"/>
      <c r="F32" s="6"/>
      <c r="G32" s="7"/>
    </row>
    <row r="33" spans="1:7" ht="21" x14ac:dyDescent="0.3">
      <c r="A33" s="10">
        <f t="array" aca="1" ref="A33:G33" ca="1">Días+8+DATE(Calendario3Año,Calendario3MesOpción,1)-WEEKDAY(DATE(Calendario3Año,Calendario3MesOpción,1),DíaDeLaSemanaOpción)</f>
        <v>45355</v>
      </c>
      <c r="B33" s="10">
        <f ca="1"/>
        <v>45356</v>
      </c>
      <c r="C33" s="10">
        <f ca="1"/>
        <v>45357</v>
      </c>
      <c r="D33" s="10">
        <f ca="1"/>
        <v>45358</v>
      </c>
      <c r="E33" s="10">
        <f ca="1"/>
        <v>45359</v>
      </c>
      <c r="F33" s="10">
        <f ca="1"/>
        <v>45360</v>
      </c>
      <c r="G33" s="11">
        <f ca="1"/>
        <v>45361</v>
      </c>
    </row>
    <row r="34" spans="1:7" x14ac:dyDescent="0.3">
      <c r="A34" s="6"/>
      <c r="B34" s="6"/>
      <c r="C34" s="6"/>
      <c r="D34" s="6"/>
      <c r="E34" s="6"/>
      <c r="F34" s="6"/>
      <c r="G34" s="7"/>
    </row>
    <row r="35" spans="1:7" ht="21" x14ac:dyDescent="0.3">
      <c r="A35" s="10">
        <f t="array" aca="1" ref="A35:G35" ca="1">Días+15+DATE(Calendario3Año,Calendario3MesOpción,1)-WEEKDAY(DATE(Calendario3Año,Calendario3MesOpción,1),DíaDeLaSemanaOpción)</f>
        <v>45362</v>
      </c>
      <c r="B35" s="10">
        <f ca="1"/>
        <v>45363</v>
      </c>
      <c r="C35" s="10">
        <f ca="1"/>
        <v>45364</v>
      </c>
      <c r="D35" s="10">
        <f ca="1"/>
        <v>45365</v>
      </c>
      <c r="E35" s="10">
        <f ca="1"/>
        <v>45366</v>
      </c>
      <c r="F35" s="10">
        <f ca="1"/>
        <v>45367</v>
      </c>
      <c r="G35" s="11">
        <f ca="1"/>
        <v>45368</v>
      </c>
    </row>
    <row r="36" spans="1:7" x14ac:dyDescent="0.3">
      <c r="A36" s="6"/>
      <c r="B36" s="6"/>
      <c r="C36" s="6"/>
      <c r="D36" s="6"/>
      <c r="E36" s="6"/>
      <c r="F36" s="6"/>
      <c r="G36" s="7"/>
    </row>
    <row r="37" spans="1:7" ht="21" x14ac:dyDescent="0.3">
      <c r="A37" s="10">
        <f t="array" aca="1" ref="A37:G37" ca="1">Días+22+DATE(Calendario3Año,Calendario3MesOpción,1)-WEEKDAY(DATE(Calendario3Año,Calendario3MesOpción,1),DíaDeLaSemanaOpción)</f>
        <v>45369</v>
      </c>
      <c r="B37" s="10">
        <f ca="1"/>
        <v>45370</v>
      </c>
      <c r="C37" s="10">
        <f ca="1"/>
        <v>45371</v>
      </c>
      <c r="D37" s="10">
        <f ca="1"/>
        <v>45372</v>
      </c>
      <c r="E37" s="10">
        <f ca="1"/>
        <v>45373</v>
      </c>
      <c r="F37" s="10">
        <f ca="1"/>
        <v>45374</v>
      </c>
      <c r="G37" s="11">
        <f ca="1"/>
        <v>45375</v>
      </c>
    </row>
    <row r="38" spans="1:7" x14ac:dyDescent="0.3">
      <c r="A38" s="6"/>
      <c r="B38" s="6"/>
      <c r="C38" s="6"/>
      <c r="D38" s="6"/>
      <c r="E38" s="6"/>
      <c r="F38" s="6"/>
      <c r="G38" s="7"/>
    </row>
    <row r="39" spans="1:7" ht="21" x14ac:dyDescent="0.3">
      <c r="A39" s="10">
        <f t="array" aca="1" ref="A39:G39" ca="1">Días+29+DATE(Calendario3Año,Calendario3MesOpción,1)-WEEKDAY(DATE(Calendario3Año,Calendario3MesOpción,1),DíaDeLaSemanaOpción)</f>
        <v>45376</v>
      </c>
      <c r="B39" s="10">
        <f ca="1"/>
        <v>45377</v>
      </c>
      <c r="C39" s="10">
        <f ca="1"/>
        <v>45378</v>
      </c>
      <c r="D39" s="10">
        <f ca="1"/>
        <v>45379</v>
      </c>
      <c r="E39" s="10">
        <f ca="1"/>
        <v>45380</v>
      </c>
      <c r="F39" s="10">
        <f ca="1"/>
        <v>45381</v>
      </c>
      <c r="G39" s="11">
        <f ca="1"/>
        <v>45382</v>
      </c>
    </row>
    <row r="40" spans="1:7" x14ac:dyDescent="0.3">
      <c r="A40" s="6"/>
      <c r="B40" s="6"/>
      <c r="C40" s="6"/>
      <c r="D40" s="6"/>
      <c r="E40" s="6"/>
      <c r="F40" s="6"/>
      <c r="G40" s="8"/>
    </row>
    <row r="41" spans="1:7" ht="21" x14ac:dyDescent="0.3">
      <c r="A41" s="10">
        <f t="array" aca="1" ref="A41:B41" ca="1">Días+36+DATE(Calendario3Año,Calendario3MesOpción,1)-WEEKDAY(DATE(Calendario3Año,Calendario3MesOpción,1),DíaDeLaSemanaOpción)</f>
        <v>45383</v>
      </c>
      <c r="B41" s="10">
        <f ca="1"/>
        <v>45384</v>
      </c>
      <c r="C41" s="62" t="s">
        <v>1</v>
      </c>
      <c r="D41" s="62"/>
      <c r="E41" s="62"/>
      <c r="F41" s="62"/>
      <c r="G41" s="62"/>
    </row>
    <row r="42" spans="1:7" x14ac:dyDescent="0.3">
      <c r="A42" s="6"/>
      <c r="B42" s="6"/>
      <c r="C42" s="63"/>
      <c r="D42" s="63"/>
      <c r="E42" s="63"/>
      <c r="F42" s="63"/>
      <c r="G42" s="63"/>
    </row>
    <row r="43" spans="1:7" ht="46.5" x14ac:dyDescent="0.7">
      <c r="A43" s="1">
        <f ca="1">YEAR(DATE(Calendario3Año,Calendario3MesOpción+1,1))</f>
        <v>2024</v>
      </c>
      <c r="B43" s="64" t="str">
        <f ca="1">TEXT(DATE(Calendario3Año,Calendario3MesOpción+1,1),"mmmm")</f>
        <v>abril</v>
      </c>
      <c r="C43" s="64"/>
      <c r="D43" s="64"/>
      <c r="E43" s="2"/>
      <c r="F43" s="2"/>
      <c r="G43" s="2"/>
    </row>
    <row r="44" spans="1:7" x14ac:dyDescent="0.3">
      <c r="A44" s="4" t="str">
        <f ca="1">UPPER(TEXT(A45,"dddd"))</f>
        <v>LUNES</v>
      </c>
      <c r="B44" s="5" t="str">
        <f t="shared" ref="B44:G44" ca="1" si="3">UPPER(TEXT(B45,"dddd"))</f>
        <v>MARTES</v>
      </c>
      <c r="C44" s="4" t="str">
        <f t="shared" ca="1" si="3"/>
        <v>MIÉRCOLES</v>
      </c>
      <c r="D44" s="5" t="str">
        <f t="shared" ca="1" si="3"/>
        <v>JUEVES</v>
      </c>
      <c r="E44" s="4" t="str">
        <f t="shared" ca="1" si="3"/>
        <v>VIERNES</v>
      </c>
      <c r="F44" s="5" t="str">
        <f t="shared" ca="1" si="3"/>
        <v>SÁBADO</v>
      </c>
      <c r="G44" s="4" t="str">
        <f t="shared" ca="1" si="3"/>
        <v>DOMINGO</v>
      </c>
    </row>
    <row r="45" spans="1:7" ht="21" x14ac:dyDescent="0.3">
      <c r="A45" s="10">
        <f t="array" aca="1" ref="A45:G45" ca="1">Días+1+DATE(Calendario4Año,Calendario4MesOpción,1)-WEEKDAY(DATE(Calendario4Año,Calendario4MesOpción,1),DíaDeLaSemanaOpción)</f>
        <v>45383</v>
      </c>
      <c r="B45" s="10">
        <f ca="1"/>
        <v>45384</v>
      </c>
      <c r="C45" s="10">
        <f ca="1"/>
        <v>45385</v>
      </c>
      <c r="D45" s="10">
        <f ca="1"/>
        <v>45386</v>
      </c>
      <c r="E45" s="10">
        <f ca="1"/>
        <v>45387</v>
      </c>
      <c r="F45" s="10">
        <f ca="1"/>
        <v>45388</v>
      </c>
      <c r="G45" s="11">
        <f ca="1"/>
        <v>45389</v>
      </c>
    </row>
    <row r="46" spans="1:7" x14ac:dyDescent="0.3">
      <c r="A46" s="6"/>
      <c r="B46" s="6"/>
      <c r="C46" s="6"/>
      <c r="D46" s="6"/>
      <c r="E46" s="6"/>
      <c r="F46" s="6"/>
      <c r="G46" s="7"/>
    </row>
    <row r="47" spans="1:7" ht="21" x14ac:dyDescent="0.3">
      <c r="A47" s="10">
        <f t="array" aca="1" ref="A47:G47" ca="1">Días+8+DATE(Calendario4Año,Calendario4MesOpción,1)-WEEKDAY(DATE(Calendario4Año,Calendario4MesOpción,1),DíaDeLaSemanaOpción)</f>
        <v>45390</v>
      </c>
      <c r="B47" s="10">
        <f ca="1"/>
        <v>45391</v>
      </c>
      <c r="C47" s="10">
        <f ca="1"/>
        <v>45392</v>
      </c>
      <c r="D47" s="10">
        <f ca="1"/>
        <v>45393</v>
      </c>
      <c r="E47" s="10">
        <f ca="1"/>
        <v>45394</v>
      </c>
      <c r="F47" s="10">
        <f ca="1"/>
        <v>45395</v>
      </c>
      <c r="G47" s="11">
        <f ca="1"/>
        <v>45396</v>
      </c>
    </row>
    <row r="48" spans="1:7" x14ac:dyDescent="0.3">
      <c r="A48" s="6"/>
      <c r="B48" s="6"/>
      <c r="C48" s="6"/>
      <c r="D48" s="6"/>
      <c r="E48" s="6"/>
      <c r="F48" s="6"/>
      <c r="G48" s="7"/>
    </row>
    <row r="49" spans="1:7" ht="21" x14ac:dyDescent="0.3">
      <c r="A49" s="10">
        <f t="array" aca="1" ref="A49:G49" ca="1">Días+15+DATE(Calendario4Año,Calendario4MesOpción,1)-WEEKDAY(DATE(Calendario4Año,Calendario4MesOpción,1),DíaDeLaSemanaOpción)</f>
        <v>45397</v>
      </c>
      <c r="B49" s="10">
        <f ca="1"/>
        <v>45398</v>
      </c>
      <c r="C49" s="10">
        <f ca="1"/>
        <v>45399</v>
      </c>
      <c r="D49" s="10">
        <f ca="1"/>
        <v>45400</v>
      </c>
      <c r="E49" s="10">
        <f ca="1"/>
        <v>45401</v>
      </c>
      <c r="F49" s="10">
        <f ca="1"/>
        <v>45402</v>
      </c>
      <c r="G49" s="11">
        <f ca="1"/>
        <v>45403</v>
      </c>
    </row>
    <row r="50" spans="1:7" x14ac:dyDescent="0.3">
      <c r="A50" s="6"/>
      <c r="B50" s="6"/>
      <c r="C50" s="6"/>
      <c r="D50" s="6"/>
      <c r="E50" s="6"/>
      <c r="F50" s="6"/>
      <c r="G50" s="7"/>
    </row>
    <row r="51" spans="1:7" ht="21" x14ac:dyDescent="0.3">
      <c r="A51" s="10">
        <f t="array" aca="1" ref="A51:G51" ca="1">Días+22+DATE(Calendario4Año,Calendario4MesOpción,1)-WEEKDAY(DATE(Calendario4Año,Calendario4MesOpción,1),DíaDeLaSemanaOpción)</f>
        <v>45404</v>
      </c>
      <c r="B51" s="10">
        <f ca="1"/>
        <v>45405</v>
      </c>
      <c r="C51" s="10">
        <f ca="1"/>
        <v>45406</v>
      </c>
      <c r="D51" s="10">
        <f ca="1"/>
        <v>45407</v>
      </c>
      <c r="E51" s="10">
        <f ca="1"/>
        <v>45408</v>
      </c>
      <c r="F51" s="10">
        <f ca="1"/>
        <v>45409</v>
      </c>
      <c r="G51" s="11">
        <f ca="1"/>
        <v>45410</v>
      </c>
    </row>
    <row r="52" spans="1:7" x14ac:dyDescent="0.3">
      <c r="A52" s="6"/>
      <c r="B52" s="6"/>
      <c r="C52" s="6"/>
      <c r="D52" s="6"/>
      <c r="E52" s="6"/>
      <c r="F52" s="6"/>
      <c r="G52" s="7"/>
    </row>
    <row r="53" spans="1:7" ht="21" x14ac:dyDescent="0.3">
      <c r="A53" s="10">
        <f t="array" aca="1" ref="A53:G53" ca="1">Días+29+DATE(Calendario4Año,Calendario4MesOpción,1)-WEEKDAY(DATE(Calendario4Año,Calendario4MesOpción,1),DíaDeLaSemanaOpción)</f>
        <v>45411</v>
      </c>
      <c r="B53" s="10">
        <f ca="1"/>
        <v>45412</v>
      </c>
      <c r="C53" s="10">
        <f ca="1"/>
        <v>45413</v>
      </c>
      <c r="D53" s="10">
        <f ca="1"/>
        <v>45414</v>
      </c>
      <c r="E53" s="10">
        <f ca="1"/>
        <v>45415</v>
      </c>
      <c r="F53" s="10">
        <f ca="1"/>
        <v>45416</v>
      </c>
      <c r="G53" s="11">
        <f ca="1"/>
        <v>45417</v>
      </c>
    </row>
    <row r="54" spans="1:7" x14ac:dyDescent="0.3">
      <c r="A54" s="6"/>
      <c r="B54" s="6"/>
      <c r="C54" s="6"/>
      <c r="D54" s="6"/>
      <c r="E54" s="6"/>
      <c r="F54" s="6"/>
      <c r="G54" s="8"/>
    </row>
    <row r="55" spans="1:7" ht="21" x14ac:dyDescent="0.3">
      <c r="A55" s="10">
        <f t="array" aca="1" ref="A55:B55" ca="1">Días+36+DATE(Calendario4Año,Calendario4MesOpción,1)-WEEKDAY(DATE(Calendario4Año,Calendario4MesOpción,1),DíaDeLaSemanaOpción)</f>
        <v>45418</v>
      </c>
      <c r="B55" s="10">
        <f ca="1"/>
        <v>45419</v>
      </c>
      <c r="C55" s="61" t="s">
        <v>1</v>
      </c>
      <c r="D55" s="62"/>
      <c r="E55" s="62"/>
      <c r="F55" s="62"/>
      <c r="G55" s="62"/>
    </row>
    <row r="56" spans="1:7" x14ac:dyDescent="0.3">
      <c r="A56" s="6"/>
      <c r="B56" s="6"/>
      <c r="C56" s="63"/>
      <c r="D56" s="63"/>
      <c r="E56" s="63"/>
      <c r="F56" s="63"/>
      <c r="G56" s="63"/>
    </row>
    <row r="57" spans="1:7" ht="46.5" x14ac:dyDescent="0.7">
      <c r="A57" s="1">
        <f ca="1">YEAR(DATE(Calendario4Año,Calendario4MesOpción+1,1))</f>
        <v>2024</v>
      </c>
      <c r="B57" s="64" t="str">
        <f ca="1">TEXT(DATE(Calendario4Año,Calendario4MesOpción+1,1),"mmmm")</f>
        <v>mayo</v>
      </c>
      <c r="C57" s="64"/>
      <c r="D57" s="64"/>
      <c r="E57" s="2"/>
      <c r="F57" s="2"/>
      <c r="G57" s="2"/>
    </row>
    <row r="58" spans="1:7" x14ac:dyDescent="0.3">
      <c r="A58" s="4" t="str">
        <f ca="1">UPPER(TEXT(A59,"dddd"))</f>
        <v>LUNES</v>
      </c>
      <c r="B58" s="5" t="str">
        <f t="shared" ref="B58:G58" ca="1" si="4">UPPER(TEXT(B59,"dddd"))</f>
        <v>MARTES</v>
      </c>
      <c r="C58" s="4" t="str">
        <f t="shared" ca="1" si="4"/>
        <v>MIÉRCOLES</v>
      </c>
      <c r="D58" s="5" t="str">
        <f t="shared" ca="1" si="4"/>
        <v>JUEVES</v>
      </c>
      <c r="E58" s="4" t="str">
        <f t="shared" ca="1" si="4"/>
        <v>VIERNES</v>
      </c>
      <c r="F58" s="5" t="str">
        <f t="shared" ca="1" si="4"/>
        <v>SÁBADO</v>
      </c>
      <c r="G58" s="4" t="str">
        <f t="shared" ca="1" si="4"/>
        <v>DOMINGO</v>
      </c>
    </row>
    <row r="59" spans="1:7" ht="21" x14ac:dyDescent="0.3">
      <c r="A59" s="10">
        <f t="array" aca="1" ref="A59:G59" ca="1">Días+1+DATE(Calendario5Año,Calendario5MesOpción,1)-WEEKDAY(DATE(Calendario5Año,Calendario5MesOpción,1),DíaDeLaSemanaOpción)</f>
        <v>45411</v>
      </c>
      <c r="B59" s="10">
        <f ca="1"/>
        <v>45412</v>
      </c>
      <c r="C59" s="10">
        <f ca="1"/>
        <v>45413</v>
      </c>
      <c r="D59" s="10">
        <f ca="1"/>
        <v>45414</v>
      </c>
      <c r="E59" s="10">
        <f ca="1"/>
        <v>45415</v>
      </c>
      <c r="F59" s="10">
        <f ca="1"/>
        <v>45416</v>
      </c>
      <c r="G59" s="11">
        <f ca="1"/>
        <v>45417</v>
      </c>
    </row>
    <row r="60" spans="1:7" x14ac:dyDescent="0.3">
      <c r="A60" s="6"/>
      <c r="B60" s="6"/>
      <c r="C60" s="6"/>
      <c r="D60" s="6"/>
      <c r="E60" s="6"/>
      <c r="F60" s="6"/>
      <c r="G60" s="7"/>
    </row>
    <row r="61" spans="1:7" ht="21" x14ac:dyDescent="0.3">
      <c r="A61" s="10">
        <f t="array" aca="1" ref="A61:G61" ca="1">Días+8+DATE(Calendario5Año,Calendario5MesOpción,1)-WEEKDAY(DATE(Calendario5Año,Calendario5MesOpción,1),DíaDeLaSemanaOpción)</f>
        <v>45418</v>
      </c>
      <c r="B61" s="10">
        <f ca="1"/>
        <v>45419</v>
      </c>
      <c r="C61" s="10">
        <f ca="1"/>
        <v>45420</v>
      </c>
      <c r="D61" s="10">
        <f ca="1"/>
        <v>45421</v>
      </c>
      <c r="E61" s="10">
        <f ca="1"/>
        <v>45422</v>
      </c>
      <c r="F61" s="10">
        <f ca="1"/>
        <v>45423</v>
      </c>
      <c r="G61" s="11">
        <f ca="1"/>
        <v>45424</v>
      </c>
    </row>
    <row r="62" spans="1:7" x14ac:dyDescent="0.3">
      <c r="A62" s="6"/>
      <c r="B62" s="6"/>
      <c r="C62" s="6"/>
      <c r="D62" s="6"/>
      <c r="E62" s="6"/>
      <c r="F62" s="6"/>
      <c r="G62" s="7"/>
    </row>
    <row r="63" spans="1:7" ht="21" x14ac:dyDescent="0.3">
      <c r="A63" s="10">
        <f t="array" aca="1" ref="A63:G63" ca="1">Días+15+DATE(Calendario5Año,Calendario5MesOpción,1)-WEEKDAY(DATE(Calendario5Año,Calendario5MesOpción,1),DíaDeLaSemanaOpción)</f>
        <v>45425</v>
      </c>
      <c r="B63" s="10">
        <f ca="1"/>
        <v>45426</v>
      </c>
      <c r="C63" s="10">
        <f ca="1"/>
        <v>45427</v>
      </c>
      <c r="D63" s="10">
        <f ca="1"/>
        <v>45428</v>
      </c>
      <c r="E63" s="10">
        <f ca="1"/>
        <v>45429</v>
      </c>
      <c r="F63" s="10">
        <f ca="1"/>
        <v>45430</v>
      </c>
      <c r="G63" s="11">
        <f ca="1"/>
        <v>45431</v>
      </c>
    </row>
    <row r="64" spans="1:7" x14ac:dyDescent="0.3">
      <c r="A64" s="6"/>
      <c r="B64" s="6"/>
      <c r="C64" s="6"/>
      <c r="D64" s="6"/>
      <c r="E64" s="6"/>
      <c r="F64" s="6"/>
      <c r="G64" s="7"/>
    </row>
    <row r="65" spans="1:7" ht="21" x14ac:dyDescent="0.3">
      <c r="A65" s="10">
        <f t="array" aca="1" ref="A65:G65" ca="1">Días+22+DATE(Calendario5Año,Calendario5MesOpción,1)-WEEKDAY(DATE(Calendario5Año,Calendario5MesOpción,1),DíaDeLaSemanaOpción)</f>
        <v>45432</v>
      </c>
      <c r="B65" s="10">
        <f ca="1"/>
        <v>45433</v>
      </c>
      <c r="C65" s="10">
        <f ca="1"/>
        <v>45434</v>
      </c>
      <c r="D65" s="10">
        <f ca="1"/>
        <v>45435</v>
      </c>
      <c r="E65" s="10">
        <f ca="1"/>
        <v>45436</v>
      </c>
      <c r="F65" s="10">
        <f ca="1"/>
        <v>45437</v>
      </c>
      <c r="G65" s="11">
        <f ca="1"/>
        <v>45438</v>
      </c>
    </row>
    <row r="66" spans="1:7" x14ac:dyDescent="0.3">
      <c r="A66" s="6"/>
      <c r="B66" s="6"/>
      <c r="C66" s="6"/>
      <c r="D66" s="6"/>
      <c r="E66" s="6"/>
      <c r="F66" s="6"/>
      <c r="G66" s="7"/>
    </row>
    <row r="67" spans="1:7" ht="21" x14ac:dyDescent="0.3">
      <c r="A67" s="10">
        <f t="array" aca="1" ref="A67:G67" ca="1">Días+29+DATE(Calendario5Año,Calendario5MesOpción,1)-WEEKDAY(DATE(Calendario5Año,Calendario5MesOpción,1),DíaDeLaSemanaOpción)</f>
        <v>45439</v>
      </c>
      <c r="B67" s="10">
        <f ca="1"/>
        <v>45440</v>
      </c>
      <c r="C67" s="10">
        <f ca="1"/>
        <v>45441</v>
      </c>
      <c r="D67" s="10">
        <f ca="1"/>
        <v>45442</v>
      </c>
      <c r="E67" s="10">
        <f ca="1"/>
        <v>45443</v>
      </c>
      <c r="F67" s="10">
        <f ca="1"/>
        <v>45444</v>
      </c>
      <c r="G67" s="11">
        <f ca="1"/>
        <v>45445</v>
      </c>
    </row>
    <row r="68" spans="1:7" x14ac:dyDescent="0.3">
      <c r="A68" s="6"/>
      <c r="B68" s="6"/>
      <c r="C68" s="6"/>
      <c r="D68" s="6"/>
      <c r="E68" s="6"/>
      <c r="F68" s="6"/>
      <c r="G68" s="8"/>
    </row>
    <row r="69" spans="1:7" ht="21" x14ac:dyDescent="0.3">
      <c r="A69" s="10">
        <f t="array" aca="1" ref="A69:B69" ca="1">Días+36+DATE(Calendario5Año,Calendario5MesOpción,1)-WEEKDAY(DATE(Calendario5Año,Calendario5MesOpción,1),DíaDeLaSemanaOpción)</f>
        <v>45446</v>
      </c>
      <c r="B69" s="10">
        <f ca="1"/>
        <v>45447</v>
      </c>
      <c r="C69" s="61" t="s">
        <v>1</v>
      </c>
      <c r="D69" s="62"/>
      <c r="E69" s="62"/>
      <c r="F69" s="62"/>
      <c r="G69" s="62"/>
    </row>
    <row r="70" spans="1:7" x14ac:dyDescent="0.3">
      <c r="A70" s="6"/>
      <c r="B70" s="6"/>
      <c r="C70" s="63"/>
      <c r="D70" s="63"/>
      <c r="E70" s="63"/>
      <c r="F70" s="63"/>
      <c r="G70" s="63"/>
    </row>
    <row r="71" spans="1:7" ht="46.5" x14ac:dyDescent="0.7">
      <c r="A71" s="1">
        <f ca="1">YEAR(DATE(Calendario5Año,Calendario5MesOpción+1,1))</f>
        <v>2024</v>
      </c>
      <c r="B71" s="64" t="str">
        <f ca="1">TEXT(DATE(Calendario5Año,Calendario5MesOpción+1,1),"mmmm")</f>
        <v>junio</v>
      </c>
      <c r="C71" s="64"/>
      <c r="D71" s="64"/>
      <c r="E71" s="2"/>
      <c r="F71" s="2"/>
      <c r="G71" s="2"/>
    </row>
    <row r="72" spans="1:7" x14ac:dyDescent="0.3">
      <c r="A72" s="4" t="str">
        <f ca="1">UPPER(TEXT(A73,"dddd"))</f>
        <v>LUNES</v>
      </c>
      <c r="B72" s="5" t="str">
        <f t="shared" ref="B72:G72" ca="1" si="5">UPPER(TEXT(B73,"dddd"))</f>
        <v>MARTES</v>
      </c>
      <c r="C72" s="4" t="str">
        <f t="shared" ca="1" si="5"/>
        <v>MIÉRCOLES</v>
      </c>
      <c r="D72" s="5" t="str">
        <f t="shared" ca="1" si="5"/>
        <v>JUEVES</v>
      </c>
      <c r="E72" s="4" t="str">
        <f t="shared" ca="1" si="5"/>
        <v>VIERNES</v>
      </c>
      <c r="F72" s="5" t="str">
        <f t="shared" ca="1" si="5"/>
        <v>SÁBADO</v>
      </c>
      <c r="G72" s="4" t="str">
        <f t="shared" ca="1" si="5"/>
        <v>DOMINGO</v>
      </c>
    </row>
    <row r="73" spans="1:7" ht="21" x14ac:dyDescent="0.3">
      <c r="A73" s="10">
        <f t="array" aca="1" ref="A73:G73" ca="1">Días+1+DATE(Calendario6Año,Calendario6MesOpción,1)-WEEKDAY(DATE(Calendario6Año,Calendario6MesOpción,1),DíaDeLaSemanaOpción)</f>
        <v>45439</v>
      </c>
      <c r="B73" s="10">
        <f ca="1"/>
        <v>45440</v>
      </c>
      <c r="C73" s="10">
        <f ca="1"/>
        <v>45441</v>
      </c>
      <c r="D73" s="10">
        <f ca="1"/>
        <v>45442</v>
      </c>
      <c r="E73" s="10">
        <f ca="1"/>
        <v>45443</v>
      </c>
      <c r="F73" s="10">
        <f ca="1"/>
        <v>45444</v>
      </c>
      <c r="G73" s="11">
        <f ca="1"/>
        <v>45445</v>
      </c>
    </row>
    <row r="74" spans="1:7" x14ac:dyDescent="0.3">
      <c r="A74" s="6"/>
      <c r="B74" s="6"/>
      <c r="C74" s="6"/>
      <c r="D74" s="6"/>
      <c r="E74" s="6"/>
      <c r="F74" s="6"/>
      <c r="G74" s="7"/>
    </row>
    <row r="75" spans="1:7" ht="21" x14ac:dyDescent="0.3">
      <c r="A75" s="10">
        <f t="array" aca="1" ref="A75:G75" ca="1">Días+8+DATE(Calendario6Año,Calendario6MesOpción,1)-WEEKDAY(DATE(Calendario6Año,Calendario6MesOpción,1),DíaDeLaSemanaOpción)</f>
        <v>45446</v>
      </c>
      <c r="B75" s="10">
        <f ca="1"/>
        <v>45447</v>
      </c>
      <c r="C75" s="10">
        <f ca="1"/>
        <v>45448</v>
      </c>
      <c r="D75" s="10">
        <f ca="1"/>
        <v>45449</v>
      </c>
      <c r="E75" s="10">
        <f ca="1"/>
        <v>45450</v>
      </c>
      <c r="F75" s="10">
        <f ca="1"/>
        <v>45451</v>
      </c>
      <c r="G75" s="11">
        <f ca="1"/>
        <v>45452</v>
      </c>
    </row>
    <row r="76" spans="1:7" x14ac:dyDescent="0.3">
      <c r="A76" s="6"/>
      <c r="B76" s="6"/>
      <c r="C76" s="6"/>
      <c r="D76" s="6"/>
      <c r="E76" s="6"/>
      <c r="F76" s="6"/>
      <c r="G76" s="7"/>
    </row>
    <row r="77" spans="1:7" ht="21" x14ac:dyDescent="0.3">
      <c r="A77" s="10">
        <f t="array" aca="1" ref="A77:G77" ca="1">Días+15+DATE(Calendario6Año,Calendario6MesOpción,1)-WEEKDAY(DATE(Calendario6Año,Calendario6MesOpción,1),DíaDeLaSemanaOpción)</f>
        <v>45453</v>
      </c>
      <c r="B77" s="10">
        <f ca="1"/>
        <v>45454</v>
      </c>
      <c r="C77" s="10">
        <f ca="1"/>
        <v>45455</v>
      </c>
      <c r="D77" s="10">
        <f ca="1"/>
        <v>45456</v>
      </c>
      <c r="E77" s="10">
        <f ca="1"/>
        <v>45457</v>
      </c>
      <c r="F77" s="10">
        <f ca="1"/>
        <v>45458</v>
      </c>
      <c r="G77" s="11">
        <f ca="1"/>
        <v>45459</v>
      </c>
    </row>
    <row r="78" spans="1:7" x14ac:dyDescent="0.3">
      <c r="A78" s="6"/>
      <c r="B78" s="6"/>
      <c r="C78" s="6"/>
      <c r="D78" s="6"/>
      <c r="E78" s="6"/>
      <c r="F78" s="6"/>
      <c r="G78" s="7"/>
    </row>
    <row r="79" spans="1:7" ht="21" x14ac:dyDescent="0.3">
      <c r="A79" s="10">
        <f t="array" aca="1" ref="A79:G79" ca="1">Días+22+DATE(Calendario6Año,Calendario6MesOpción,1)-WEEKDAY(DATE(Calendario6Año,Calendario6MesOpción,1),DíaDeLaSemanaOpción)</f>
        <v>45460</v>
      </c>
      <c r="B79" s="10">
        <f ca="1"/>
        <v>45461</v>
      </c>
      <c r="C79" s="10">
        <f ca="1"/>
        <v>45462</v>
      </c>
      <c r="D79" s="10">
        <f ca="1"/>
        <v>45463</v>
      </c>
      <c r="E79" s="10">
        <f ca="1"/>
        <v>45464</v>
      </c>
      <c r="F79" s="10">
        <f ca="1"/>
        <v>45465</v>
      </c>
      <c r="G79" s="11">
        <f ca="1"/>
        <v>45466</v>
      </c>
    </row>
    <row r="80" spans="1:7" x14ac:dyDescent="0.3">
      <c r="A80" s="6"/>
      <c r="B80" s="6"/>
      <c r="C80" s="6"/>
      <c r="D80" s="6"/>
      <c r="E80" s="6"/>
      <c r="F80" s="6"/>
      <c r="G80" s="7"/>
    </row>
    <row r="81" spans="1:7" ht="21" x14ac:dyDescent="0.3">
      <c r="A81" s="10">
        <f t="array" aca="1" ref="A81:G81" ca="1">Días+29+DATE(Calendario6Año,Calendario6MesOpción,1)-WEEKDAY(DATE(Calendario6Año,Calendario6MesOpción,1),DíaDeLaSemanaOpción)</f>
        <v>45467</v>
      </c>
      <c r="B81" s="10">
        <f ca="1"/>
        <v>45468</v>
      </c>
      <c r="C81" s="10">
        <f ca="1"/>
        <v>45469</v>
      </c>
      <c r="D81" s="10">
        <f ca="1"/>
        <v>45470</v>
      </c>
      <c r="E81" s="10">
        <f ca="1"/>
        <v>45471</v>
      </c>
      <c r="F81" s="10">
        <f ca="1"/>
        <v>45472</v>
      </c>
      <c r="G81" s="11">
        <f ca="1"/>
        <v>45473</v>
      </c>
    </row>
    <row r="82" spans="1:7" x14ac:dyDescent="0.3">
      <c r="A82" s="6"/>
      <c r="B82" s="6"/>
      <c r="C82" s="6"/>
      <c r="D82" s="6"/>
      <c r="E82" s="6"/>
      <c r="F82" s="6"/>
      <c r="G82" s="8"/>
    </row>
    <row r="83" spans="1:7" ht="21" x14ac:dyDescent="0.3">
      <c r="A83" s="10">
        <f t="array" aca="1" ref="A83:B83" ca="1">Días+36+DATE(Calendario6Año,Calendario6MesOpción,1)-WEEKDAY(DATE(Calendario6Año,Calendario6MesOpción,1),DíaDeLaSemanaOpción)</f>
        <v>45474</v>
      </c>
      <c r="B83" s="10">
        <f ca="1"/>
        <v>45475</v>
      </c>
      <c r="C83" s="61" t="s">
        <v>1</v>
      </c>
      <c r="D83" s="62"/>
      <c r="E83" s="62"/>
      <c r="F83" s="62"/>
      <c r="G83" s="62"/>
    </row>
    <row r="84" spans="1:7" x14ac:dyDescent="0.3">
      <c r="A84" s="6"/>
      <c r="B84" s="6"/>
      <c r="C84" s="63"/>
      <c r="D84" s="63"/>
      <c r="E84" s="63"/>
      <c r="F84" s="63"/>
      <c r="G84" s="63"/>
    </row>
    <row r="85" spans="1:7" ht="46.5" x14ac:dyDescent="0.7">
      <c r="A85" s="1">
        <f ca="1">YEAR(DATE(Calendario6Año,Calendario6MesOpción+1,1))</f>
        <v>2024</v>
      </c>
      <c r="B85" s="64" t="str">
        <f ca="1">TEXT(DATE(Calendario6Año,Calendario6MesOpción+1,1),"mmmm")</f>
        <v>julio</v>
      </c>
      <c r="C85" s="64"/>
      <c r="D85" s="64"/>
      <c r="E85" s="2"/>
      <c r="F85" s="2"/>
      <c r="G85" s="2"/>
    </row>
    <row r="86" spans="1:7" x14ac:dyDescent="0.3">
      <c r="A86" s="4" t="str">
        <f ca="1">UPPER(TEXT(A87,"dddd"))</f>
        <v>LUNES</v>
      </c>
      <c r="B86" s="5" t="str">
        <f t="shared" ref="B86:G86" ca="1" si="6">UPPER(TEXT(B87,"dddd"))</f>
        <v>MARTES</v>
      </c>
      <c r="C86" s="4" t="str">
        <f t="shared" ca="1" si="6"/>
        <v>MIÉRCOLES</v>
      </c>
      <c r="D86" s="5" t="str">
        <f t="shared" ca="1" si="6"/>
        <v>JUEVES</v>
      </c>
      <c r="E86" s="4" t="str">
        <f t="shared" ca="1" si="6"/>
        <v>VIERNES</v>
      </c>
      <c r="F86" s="5" t="str">
        <f t="shared" ca="1" si="6"/>
        <v>SÁBADO</v>
      </c>
      <c r="G86" s="4" t="str">
        <f t="shared" ca="1" si="6"/>
        <v>DOMINGO</v>
      </c>
    </row>
    <row r="87" spans="1:7" ht="21" x14ac:dyDescent="0.3">
      <c r="A87" s="10">
        <f t="array" aca="1" ref="A87:G87" ca="1">Días+1+DATE(Calendario7Año,Calendario7MesOpción,1)-WEEKDAY(DATE(Calendario7Año,Calendario7MesOpción,1),DíaDeLaSemanaOpción)</f>
        <v>45474</v>
      </c>
      <c r="B87" s="10">
        <f ca="1"/>
        <v>45475</v>
      </c>
      <c r="C87" s="10">
        <f ca="1"/>
        <v>45476</v>
      </c>
      <c r="D87" s="10">
        <f ca="1"/>
        <v>45477</v>
      </c>
      <c r="E87" s="10">
        <f ca="1"/>
        <v>45478</v>
      </c>
      <c r="F87" s="10">
        <f ca="1"/>
        <v>45479</v>
      </c>
      <c r="G87" s="11">
        <f ca="1"/>
        <v>45480</v>
      </c>
    </row>
    <row r="88" spans="1:7" x14ac:dyDescent="0.3">
      <c r="A88" s="6"/>
      <c r="B88" s="6"/>
      <c r="C88" s="6"/>
      <c r="D88" s="6"/>
      <c r="E88" s="6"/>
      <c r="F88" s="6"/>
      <c r="G88" s="7"/>
    </row>
    <row r="89" spans="1:7" ht="21" x14ac:dyDescent="0.3">
      <c r="A89" s="10">
        <f t="array" aca="1" ref="A89:G89" ca="1">Días+8+DATE(Calendario7Año,Calendario7MesOpción,1)-WEEKDAY(DATE(Calendario7Año,Calendario7MesOpción,1),DíaDeLaSemanaOpción)</f>
        <v>45481</v>
      </c>
      <c r="B89" s="10">
        <f ca="1"/>
        <v>45482</v>
      </c>
      <c r="C89" s="10">
        <f ca="1"/>
        <v>45483</v>
      </c>
      <c r="D89" s="10">
        <f ca="1"/>
        <v>45484</v>
      </c>
      <c r="E89" s="10">
        <f ca="1"/>
        <v>45485</v>
      </c>
      <c r="F89" s="10">
        <f ca="1"/>
        <v>45486</v>
      </c>
      <c r="G89" s="11">
        <f ca="1"/>
        <v>45487</v>
      </c>
    </row>
    <row r="90" spans="1:7" x14ac:dyDescent="0.3">
      <c r="A90" s="6"/>
      <c r="B90" s="6"/>
      <c r="C90" s="6"/>
      <c r="D90" s="6"/>
      <c r="E90" s="6"/>
      <c r="F90" s="6"/>
      <c r="G90" s="7"/>
    </row>
    <row r="91" spans="1:7" ht="21" x14ac:dyDescent="0.3">
      <c r="A91" s="10">
        <f t="array" aca="1" ref="A91:G91" ca="1">Días+15+DATE(Calendario7Año,Calendario7MesOpción,1)-WEEKDAY(DATE(Calendario7Año,Calendario7MesOpción,1),DíaDeLaSemanaOpción)</f>
        <v>45488</v>
      </c>
      <c r="B91" s="10">
        <f ca="1"/>
        <v>45489</v>
      </c>
      <c r="C91" s="10">
        <f ca="1"/>
        <v>45490</v>
      </c>
      <c r="D91" s="10">
        <f ca="1"/>
        <v>45491</v>
      </c>
      <c r="E91" s="10">
        <f ca="1"/>
        <v>45492</v>
      </c>
      <c r="F91" s="10">
        <f ca="1"/>
        <v>45493</v>
      </c>
      <c r="G91" s="11">
        <f ca="1"/>
        <v>45494</v>
      </c>
    </row>
    <row r="92" spans="1:7" x14ac:dyDescent="0.3">
      <c r="A92" s="6"/>
      <c r="B92" s="6"/>
      <c r="C92" s="6"/>
      <c r="D92" s="6"/>
      <c r="E92" s="6"/>
      <c r="F92" s="6"/>
      <c r="G92" s="7"/>
    </row>
    <row r="93" spans="1:7" ht="21" x14ac:dyDescent="0.3">
      <c r="A93" s="10">
        <f t="array" aca="1" ref="A93:G93" ca="1">Días+22+DATE(Calendario7Año,Calendario7MesOpción,1)-WEEKDAY(DATE(Calendario7Año,Calendario7MesOpción,1),DíaDeLaSemanaOpción)</f>
        <v>45495</v>
      </c>
      <c r="B93" s="10">
        <f ca="1"/>
        <v>45496</v>
      </c>
      <c r="C93" s="10">
        <f ca="1"/>
        <v>45497</v>
      </c>
      <c r="D93" s="10">
        <f ca="1"/>
        <v>45498</v>
      </c>
      <c r="E93" s="10">
        <f ca="1"/>
        <v>45499</v>
      </c>
      <c r="F93" s="10">
        <f ca="1"/>
        <v>45500</v>
      </c>
      <c r="G93" s="11">
        <f ca="1"/>
        <v>45501</v>
      </c>
    </row>
    <row r="94" spans="1:7" x14ac:dyDescent="0.3">
      <c r="A94" s="6"/>
      <c r="B94" s="6"/>
      <c r="C94" s="6"/>
      <c r="D94" s="6"/>
      <c r="E94" s="6"/>
      <c r="F94" s="6"/>
      <c r="G94" s="7"/>
    </row>
    <row r="95" spans="1:7" ht="21" x14ac:dyDescent="0.3">
      <c r="A95" s="10">
        <f t="array" aca="1" ref="A95:G95" ca="1">Días+29+DATE(Calendario7Año,Calendario7MesOpción,1)-WEEKDAY(DATE(Calendario7Año,Calendario7MesOpción,1),DíaDeLaSemanaOpción)</f>
        <v>45502</v>
      </c>
      <c r="B95" s="10">
        <f ca="1"/>
        <v>45503</v>
      </c>
      <c r="C95" s="10">
        <f ca="1"/>
        <v>45504</v>
      </c>
      <c r="D95" s="10">
        <f ca="1"/>
        <v>45505</v>
      </c>
      <c r="E95" s="10">
        <f ca="1"/>
        <v>45506</v>
      </c>
      <c r="F95" s="10">
        <f ca="1"/>
        <v>45507</v>
      </c>
      <c r="G95" s="11">
        <f ca="1"/>
        <v>45508</v>
      </c>
    </row>
    <row r="96" spans="1:7" x14ac:dyDescent="0.3">
      <c r="A96" s="6"/>
      <c r="B96" s="6"/>
      <c r="C96" s="6"/>
      <c r="D96" s="6"/>
      <c r="E96" s="6"/>
      <c r="F96" s="6"/>
      <c r="G96" s="8"/>
    </row>
    <row r="97" spans="1:7" ht="21" x14ac:dyDescent="0.3">
      <c r="A97" s="10">
        <f t="array" aca="1" ref="A97:B97" ca="1">Días+36+DATE(Calendario7Año,Calendario7MesOpción,1)-WEEKDAY(DATE(Calendario7Año,Calendario7MesOpción,1),DíaDeLaSemanaOpción)</f>
        <v>45509</v>
      </c>
      <c r="B97" s="10">
        <f ca="1"/>
        <v>45510</v>
      </c>
      <c r="C97" s="61" t="s">
        <v>1</v>
      </c>
      <c r="D97" s="62"/>
      <c r="E97" s="62"/>
      <c r="F97" s="62"/>
      <c r="G97" s="62"/>
    </row>
    <row r="98" spans="1:7" x14ac:dyDescent="0.3">
      <c r="A98" s="6"/>
      <c r="B98" s="6"/>
      <c r="C98" s="63"/>
      <c r="D98" s="63"/>
      <c r="E98" s="63"/>
      <c r="F98" s="63"/>
      <c r="G98" s="63"/>
    </row>
    <row r="99" spans="1:7" ht="46.5" x14ac:dyDescent="0.7">
      <c r="A99" s="1">
        <f ca="1">YEAR(DATE(Calendario7Año,Calendario7MesOpción+1,1))</f>
        <v>2024</v>
      </c>
      <c r="B99" s="64" t="str">
        <f ca="1">TEXT(DATE(Calendario7Año,Calendario7MesOpción+1,1),"mmmm")</f>
        <v>agosto</v>
      </c>
      <c r="C99" s="64"/>
      <c r="D99" s="64"/>
      <c r="E99" s="2"/>
      <c r="F99" s="2"/>
      <c r="G99" s="2"/>
    </row>
    <row r="100" spans="1:7" x14ac:dyDescent="0.3">
      <c r="A100" s="4" t="str">
        <f ca="1">UPPER(TEXT(A101,"dddd"))</f>
        <v>LUNES</v>
      </c>
      <c r="B100" s="5" t="str">
        <f t="shared" ref="B100:G100" ca="1" si="7">UPPER(TEXT(B101,"dddd"))</f>
        <v>MARTES</v>
      </c>
      <c r="C100" s="4" t="str">
        <f t="shared" ca="1" si="7"/>
        <v>MIÉRCOLES</v>
      </c>
      <c r="D100" s="5" t="str">
        <f t="shared" ca="1" si="7"/>
        <v>JUEVES</v>
      </c>
      <c r="E100" s="4" t="str">
        <f t="shared" ca="1" si="7"/>
        <v>VIERNES</v>
      </c>
      <c r="F100" s="5" t="str">
        <f t="shared" ca="1" si="7"/>
        <v>SÁBADO</v>
      </c>
      <c r="G100" s="4" t="str">
        <f t="shared" ca="1" si="7"/>
        <v>DOMINGO</v>
      </c>
    </row>
    <row r="101" spans="1:7" ht="21" x14ac:dyDescent="0.3">
      <c r="A101" s="10">
        <f t="array" aca="1" ref="A101:G101" ca="1">Días+1+DATE(Calendario8Año,Calendario8MesOpción,1)-WEEKDAY(DATE(Calendario8Año,Calendario8MesOpción,1),DíaDeLaSemanaOpción)</f>
        <v>45502</v>
      </c>
      <c r="B101" s="10">
        <f ca="1"/>
        <v>45503</v>
      </c>
      <c r="C101" s="10">
        <f ca="1"/>
        <v>45504</v>
      </c>
      <c r="D101" s="10">
        <f ca="1"/>
        <v>45505</v>
      </c>
      <c r="E101" s="10">
        <f ca="1"/>
        <v>45506</v>
      </c>
      <c r="F101" s="10">
        <f ca="1"/>
        <v>45507</v>
      </c>
      <c r="G101" s="11">
        <f ca="1"/>
        <v>45508</v>
      </c>
    </row>
    <row r="102" spans="1:7" x14ac:dyDescent="0.3">
      <c r="A102" s="6"/>
      <c r="B102" s="6"/>
      <c r="C102" s="6"/>
      <c r="D102" s="6"/>
      <c r="E102" s="6"/>
      <c r="F102" s="6"/>
      <c r="G102" s="7"/>
    </row>
    <row r="103" spans="1:7" ht="21" x14ac:dyDescent="0.3">
      <c r="A103" s="10">
        <f t="array" aca="1" ref="A103:G103" ca="1">Días+8+DATE(Calendario8Año,Calendario8MesOpción,1)-WEEKDAY(DATE(Calendario8Año,Calendario8MesOpción,1),DíaDeLaSemanaOpción)</f>
        <v>45509</v>
      </c>
      <c r="B103" s="10">
        <f ca="1"/>
        <v>45510</v>
      </c>
      <c r="C103" s="10">
        <f ca="1"/>
        <v>45511</v>
      </c>
      <c r="D103" s="10">
        <f ca="1"/>
        <v>45512</v>
      </c>
      <c r="E103" s="10">
        <f ca="1"/>
        <v>45513</v>
      </c>
      <c r="F103" s="10">
        <f ca="1"/>
        <v>45514</v>
      </c>
      <c r="G103" s="11">
        <f ca="1"/>
        <v>45515</v>
      </c>
    </row>
    <row r="104" spans="1:7" x14ac:dyDescent="0.3">
      <c r="A104" s="6"/>
      <c r="B104" s="6"/>
      <c r="C104" s="6"/>
      <c r="D104" s="6"/>
      <c r="E104" s="6"/>
      <c r="F104" s="6"/>
      <c r="G104" s="7"/>
    </row>
    <row r="105" spans="1:7" ht="21" x14ac:dyDescent="0.3">
      <c r="A105" s="10">
        <f t="array" aca="1" ref="A105:G105" ca="1">Días+15+DATE(Calendario8Año,Calendario8MesOpción,1)-WEEKDAY(DATE(Calendario8Año,Calendario8MesOpción,1),DíaDeLaSemanaOpción)</f>
        <v>45516</v>
      </c>
      <c r="B105" s="10">
        <f ca="1"/>
        <v>45517</v>
      </c>
      <c r="C105" s="10">
        <f ca="1"/>
        <v>45518</v>
      </c>
      <c r="D105" s="10">
        <f ca="1"/>
        <v>45519</v>
      </c>
      <c r="E105" s="10">
        <f ca="1"/>
        <v>45520</v>
      </c>
      <c r="F105" s="10">
        <f ca="1"/>
        <v>45521</v>
      </c>
      <c r="G105" s="11">
        <f ca="1"/>
        <v>45522</v>
      </c>
    </row>
    <row r="106" spans="1:7" x14ac:dyDescent="0.3">
      <c r="A106" s="6"/>
      <c r="B106" s="6"/>
      <c r="C106" s="6"/>
      <c r="D106" s="6"/>
      <c r="E106" s="6"/>
      <c r="F106" s="6"/>
      <c r="G106" s="7"/>
    </row>
    <row r="107" spans="1:7" ht="21" x14ac:dyDescent="0.3">
      <c r="A107" s="10">
        <f t="array" aca="1" ref="A107:G107" ca="1">Días+22+DATE(Calendario8Año,Calendario8MesOpción,1)-WEEKDAY(DATE(Calendario8Año,Calendario8MesOpción,1),DíaDeLaSemanaOpción)</f>
        <v>45523</v>
      </c>
      <c r="B107" s="10">
        <f ca="1"/>
        <v>45524</v>
      </c>
      <c r="C107" s="10">
        <f ca="1"/>
        <v>45525</v>
      </c>
      <c r="D107" s="10">
        <f ca="1"/>
        <v>45526</v>
      </c>
      <c r="E107" s="10">
        <f ca="1"/>
        <v>45527</v>
      </c>
      <c r="F107" s="10">
        <f ca="1"/>
        <v>45528</v>
      </c>
      <c r="G107" s="11">
        <f ca="1"/>
        <v>45529</v>
      </c>
    </row>
    <row r="108" spans="1:7" x14ac:dyDescent="0.3">
      <c r="A108" s="6"/>
      <c r="B108" s="6"/>
      <c r="C108" s="6"/>
      <c r="D108" s="6"/>
      <c r="E108" s="6"/>
      <c r="F108" s="6"/>
      <c r="G108" s="7"/>
    </row>
    <row r="109" spans="1:7" ht="21" x14ac:dyDescent="0.3">
      <c r="A109" s="10">
        <f t="array" aca="1" ref="A109:G109" ca="1">Días+29+DATE(Calendario8Año,Calendario8MesOpción,1)-WEEKDAY(DATE(Calendario8Año,Calendario8MesOpción,1),DíaDeLaSemanaOpción)</f>
        <v>45530</v>
      </c>
      <c r="B109" s="10">
        <f ca="1"/>
        <v>45531</v>
      </c>
      <c r="C109" s="10">
        <f ca="1"/>
        <v>45532</v>
      </c>
      <c r="D109" s="10">
        <f ca="1"/>
        <v>45533</v>
      </c>
      <c r="E109" s="10">
        <f ca="1"/>
        <v>45534</v>
      </c>
      <c r="F109" s="10">
        <f ca="1"/>
        <v>45535</v>
      </c>
      <c r="G109" s="11">
        <f ca="1"/>
        <v>45536</v>
      </c>
    </row>
    <row r="110" spans="1:7" x14ac:dyDescent="0.3">
      <c r="A110" s="6"/>
      <c r="B110" s="6"/>
      <c r="C110" s="6"/>
      <c r="D110" s="6"/>
      <c r="E110" s="6"/>
      <c r="F110" s="6"/>
      <c r="G110" s="8"/>
    </row>
    <row r="111" spans="1:7" ht="21" x14ac:dyDescent="0.3">
      <c r="A111" s="10">
        <f t="array" aca="1" ref="A111:B111" ca="1">Días+36+DATE(Calendario8Año,Calendario8MesOpción,1)-WEEKDAY(DATE(Calendario8Año,Calendario8MesOpción,1),DíaDeLaSemanaOpción)</f>
        <v>45537</v>
      </c>
      <c r="B111" s="10">
        <f ca="1"/>
        <v>45538</v>
      </c>
      <c r="C111" s="61" t="s">
        <v>1</v>
      </c>
      <c r="D111" s="62"/>
      <c r="E111" s="62"/>
      <c r="F111" s="62"/>
      <c r="G111" s="62"/>
    </row>
    <row r="112" spans="1:7" x14ac:dyDescent="0.3">
      <c r="A112" s="6"/>
      <c r="B112" s="6"/>
      <c r="C112" s="63"/>
      <c r="D112" s="63"/>
      <c r="E112" s="63"/>
      <c r="F112" s="63"/>
      <c r="G112" s="63"/>
    </row>
    <row r="113" spans="1:7" ht="46.5" x14ac:dyDescent="0.7">
      <c r="A113" s="1">
        <f ca="1">YEAR(DATE(Calendario8Año,Calendario8MesOpción+1,1))</f>
        <v>2024</v>
      </c>
      <c r="B113" s="64" t="str">
        <f ca="1">TEXT(DATE(Calendario8Año,Calendario8MesOpción+1,1),"mmmm")</f>
        <v>septiembre</v>
      </c>
      <c r="C113" s="64"/>
      <c r="D113" s="64"/>
      <c r="E113" s="2"/>
      <c r="F113" s="2"/>
      <c r="G113" s="2"/>
    </row>
    <row r="114" spans="1:7" x14ac:dyDescent="0.3">
      <c r="A114" s="4" t="str">
        <f ca="1">UPPER(TEXT(A115,"dddd"))</f>
        <v>LUNES</v>
      </c>
      <c r="B114" s="5" t="str">
        <f t="shared" ref="B114:G114" ca="1" si="8">UPPER(TEXT(B115,"dddd"))</f>
        <v>MARTES</v>
      </c>
      <c r="C114" s="4" t="str">
        <f t="shared" ca="1" si="8"/>
        <v>MIÉRCOLES</v>
      </c>
      <c r="D114" s="5" t="str">
        <f t="shared" ca="1" si="8"/>
        <v>JUEVES</v>
      </c>
      <c r="E114" s="4" t="str">
        <f t="shared" ca="1" si="8"/>
        <v>VIERNES</v>
      </c>
      <c r="F114" s="5" t="str">
        <f t="shared" ca="1" si="8"/>
        <v>SÁBADO</v>
      </c>
      <c r="G114" s="4" t="str">
        <f t="shared" ca="1" si="8"/>
        <v>DOMINGO</v>
      </c>
    </row>
    <row r="115" spans="1:7" ht="21" x14ac:dyDescent="0.3">
      <c r="A115" s="10">
        <f t="array" aca="1" ref="A115:G115" ca="1">Días+1+DATE(Calendario9Año,Calendario9MesOpción,1)-WEEKDAY(DATE(Calendario9Año,Calendario9MesOpción,1),DíaDeLaSemanaOpción)</f>
        <v>45530</v>
      </c>
      <c r="B115" s="10">
        <f ca="1"/>
        <v>45531</v>
      </c>
      <c r="C115" s="10">
        <f ca="1"/>
        <v>45532</v>
      </c>
      <c r="D115" s="10">
        <f ca="1"/>
        <v>45533</v>
      </c>
      <c r="E115" s="10">
        <f ca="1"/>
        <v>45534</v>
      </c>
      <c r="F115" s="10">
        <f ca="1"/>
        <v>45535</v>
      </c>
      <c r="G115" s="11">
        <f ca="1"/>
        <v>45536</v>
      </c>
    </row>
    <row r="116" spans="1:7" x14ac:dyDescent="0.3">
      <c r="A116" s="6"/>
      <c r="B116" s="6"/>
      <c r="C116" s="6"/>
      <c r="D116" s="6"/>
      <c r="E116" s="6"/>
      <c r="F116" s="6"/>
      <c r="G116" s="7"/>
    </row>
    <row r="117" spans="1:7" ht="21" x14ac:dyDescent="0.3">
      <c r="A117" s="10">
        <f t="array" aca="1" ref="A117:G117" ca="1">Días+8+DATE(Calendario9Año,Calendario9MesOpción,1)-WEEKDAY(DATE(Calendario9Año,Calendario9MesOpción,1),DíaDeLaSemanaOpción)</f>
        <v>45537</v>
      </c>
      <c r="B117" s="10">
        <f ca="1"/>
        <v>45538</v>
      </c>
      <c r="C117" s="10">
        <f ca="1"/>
        <v>45539</v>
      </c>
      <c r="D117" s="10">
        <f ca="1"/>
        <v>45540</v>
      </c>
      <c r="E117" s="10">
        <f ca="1"/>
        <v>45541</v>
      </c>
      <c r="F117" s="10">
        <f ca="1"/>
        <v>45542</v>
      </c>
      <c r="G117" s="11">
        <f ca="1"/>
        <v>45543</v>
      </c>
    </row>
    <row r="118" spans="1:7" x14ac:dyDescent="0.3">
      <c r="A118" s="6"/>
      <c r="B118" s="6"/>
      <c r="C118" s="6"/>
      <c r="D118" s="6"/>
      <c r="E118" s="6"/>
      <c r="F118" s="6"/>
      <c r="G118" s="7"/>
    </row>
    <row r="119" spans="1:7" ht="21" x14ac:dyDescent="0.3">
      <c r="A119" s="10">
        <f t="array" aca="1" ref="A119:G119" ca="1">Días+15+DATE(Calendario9Año,Calendario9MesOpción,1)-WEEKDAY(DATE(Calendario9Año,Calendario9MesOpción,1),DíaDeLaSemanaOpción)</f>
        <v>45544</v>
      </c>
      <c r="B119" s="10">
        <f ca="1"/>
        <v>45545</v>
      </c>
      <c r="C119" s="10">
        <f ca="1"/>
        <v>45546</v>
      </c>
      <c r="D119" s="10">
        <f ca="1"/>
        <v>45547</v>
      </c>
      <c r="E119" s="10">
        <f ca="1"/>
        <v>45548</v>
      </c>
      <c r="F119" s="10">
        <f ca="1"/>
        <v>45549</v>
      </c>
      <c r="G119" s="11">
        <f ca="1"/>
        <v>45550</v>
      </c>
    </row>
    <row r="120" spans="1:7" x14ac:dyDescent="0.3">
      <c r="A120" s="6"/>
      <c r="B120" s="6"/>
      <c r="C120" s="6"/>
      <c r="D120" s="6"/>
      <c r="E120" s="6"/>
      <c r="F120" s="6"/>
      <c r="G120" s="7"/>
    </row>
    <row r="121" spans="1:7" ht="21" x14ac:dyDescent="0.3">
      <c r="A121" s="10">
        <f t="array" aca="1" ref="A121:G121" ca="1">Días+22+DATE(Calendario9Año,Calendario9MesOpción,1)-WEEKDAY(DATE(Calendario9Año,Calendario9MesOpción,1),DíaDeLaSemanaOpción)</f>
        <v>45551</v>
      </c>
      <c r="B121" s="10">
        <f ca="1"/>
        <v>45552</v>
      </c>
      <c r="C121" s="10">
        <f ca="1"/>
        <v>45553</v>
      </c>
      <c r="D121" s="10">
        <f ca="1"/>
        <v>45554</v>
      </c>
      <c r="E121" s="10">
        <f ca="1"/>
        <v>45555</v>
      </c>
      <c r="F121" s="10">
        <f ca="1"/>
        <v>45556</v>
      </c>
      <c r="G121" s="11">
        <f ca="1"/>
        <v>45557</v>
      </c>
    </row>
    <row r="122" spans="1:7" x14ac:dyDescent="0.3">
      <c r="A122" s="6"/>
      <c r="B122" s="6"/>
      <c r="C122" s="6"/>
      <c r="D122" s="6"/>
      <c r="E122" s="6"/>
      <c r="F122" s="6"/>
      <c r="G122" s="7"/>
    </row>
    <row r="123" spans="1:7" ht="21" x14ac:dyDescent="0.3">
      <c r="A123" s="10">
        <f t="array" aca="1" ref="A123:G123" ca="1">Días+29+DATE(Calendario9Año,Calendario9MesOpción,1)-WEEKDAY(DATE(Calendario9Año,Calendario9MesOpción,1),DíaDeLaSemanaOpción)</f>
        <v>45558</v>
      </c>
      <c r="B123" s="10">
        <f ca="1"/>
        <v>45559</v>
      </c>
      <c r="C123" s="10">
        <f ca="1"/>
        <v>45560</v>
      </c>
      <c r="D123" s="10">
        <f ca="1"/>
        <v>45561</v>
      </c>
      <c r="E123" s="10">
        <f ca="1"/>
        <v>45562</v>
      </c>
      <c r="F123" s="10">
        <f ca="1"/>
        <v>45563</v>
      </c>
      <c r="G123" s="11">
        <f ca="1"/>
        <v>45564</v>
      </c>
    </row>
    <row r="124" spans="1:7" x14ac:dyDescent="0.3">
      <c r="A124" s="6"/>
      <c r="B124" s="6"/>
      <c r="C124" s="6"/>
      <c r="D124" s="6"/>
      <c r="E124" s="6"/>
      <c r="F124" s="6"/>
      <c r="G124" s="8"/>
    </row>
    <row r="125" spans="1:7" ht="21" x14ac:dyDescent="0.3">
      <c r="A125" s="10">
        <f t="array" aca="1" ref="A125:B125" ca="1">Días+36+DATE(Calendario9Año,Calendario9MesOpción,1)-WEEKDAY(DATE(Calendario9Año,Calendario9MesOpción,1),DíaDeLaSemanaOpción)</f>
        <v>45565</v>
      </c>
      <c r="B125" s="10">
        <f ca="1"/>
        <v>45566</v>
      </c>
      <c r="C125" s="61" t="s">
        <v>1</v>
      </c>
      <c r="D125" s="62"/>
      <c r="E125" s="62"/>
      <c r="F125" s="62"/>
      <c r="G125" s="62"/>
    </row>
    <row r="126" spans="1:7" x14ac:dyDescent="0.3">
      <c r="A126" s="6"/>
      <c r="B126" s="6"/>
      <c r="C126" s="63"/>
      <c r="D126" s="63"/>
      <c r="E126" s="63"/>
      <c r="F126" s="63"/>
      <c r="G126" s="63"/>
    </row>
    <row r="127" spans="1:7" ht="46.5" x14ac:dyDescent="0.7">
      <c r="A127" s="12">
        <f ca="1">YEAR(DATE(Calendario9Año,Calendario9MesOpción+1,1))</f>
        <v>2024</v>
      </c>
      <c r="B127" s="64" t="str">
        <f ca="1">TEXT(DATE(Calendario9Año,Calendario9MesOpción+1,1),"mmmm")</f>
        <v>octubre</v>
      </c>
      <c r="C127" s="64"/>
      <c r="D127" s="64"/>
      <c r="E127" s="2"/>
      <c r="F127" s="2"/>
      <c r="G127" s="2"/>
    </row>
    <row r="128" spans="1:7" x14ac:dyDescent="0.3">
      <c r="A128" s="4" t="str">
        <f ca="1">UPPER(TEXT(A129,"dddd"))</f>
        <v>LUNES</v>
      </c>
      <c r="B128" s="5" t="str">
        <f t="shared" ref="B128:G128" ca="1" si="9">UPPER(TEXT(B129,"dddd"))</f>
        <v>MARTES</v>
      </c>
      <c r="C128" s="4" t="str">
        <f t="shared" ca="1" si="9"/>
        <v>MIÉRCOLES</v>
      </c>
      <c r="D128" s="5" t="str">
        <f t="shared" ca="1" si="9"/>
        <v>JUEVES</v>
      </c>
      <c r="E128" s="4" t="str">
        <f t="shared" ca="1" si="9"/>
        <v>VIERNES</v>
      </c>
      <c r="F128" s="5" t="str">
        <f t="shared" ca="1" si="9"/>
        <v>SÁBADO</v>
      </c>
      <c r="G128" s="4" t="str">
        <f t="shared" ca="1" si="9"/>
        <v>DOMINGO</v>
      </c>
    </row>
    <row r="129" spans="1:7" ht="21" x14ac:dyDescent="0.3">
      <c r="A129" s="10">
        <f t="array" aca="1" ref="A129:G129" ca="1">Días+1+DATE(Calendario10Año,Calendario10MesOpción,1)-WEEKDAY(DATE(Calendario10Año,Calendario10MesOpción,1),DíaDeLaSemanaOpción)</f>
        <v>45565</v>
      </c>
      <c r="B129" s="10">
        <f ca="1"/>
        <v>45566</v>
      </c>
      <c r="C129" s="10">
        <f ca="1"/>
        <v>45567</v>
      </c>
      <c r="D129" s="10">
        <f ca="1"/>
        <v>45568</v>
      </c>
      <c r="E129" s="10">
        <f ca="1"/>
        <v>45569</v>
      </c>
      <c r="F129" s="10">
        <f ca="1"/>
        <v>45570</v>
      </c>
      <c r="G129" s="11">
        <f ca="1"/>
        <v>45571</v>
      </c>
    </row>
    <row r="130" spans="1:7" x14ac:dyDescent="0.3">
      <c r="A130" s="6"/>
      <c r="B130" s="6"/>
      <c r="C130" s="6"/>
      <c r="D130" s="6"/>
      <c r="E130" s="6"/>
      <c r="F130" s="6"/>
      <c r="G130" s="7"/>
    </row>
    <row r="131" spans="1:7" ht="21" x14ac:dyDescent="0.3">
      <c r="A131" s="10">
        <f t="array" aca="1" ref="A131:G131" ca="1">Días+8+DATE(Calendario10Año,Calendario10MesOpción,1)-WEEKDAY(DATE(Calendario10Año,Calendario10MesOpción,1),DíaDeLaSemanaOpción)</f>
        <v>45572</v>
      </c>
      <c r="B131" s="10">
        <f ca="1"/>
        <v>45573</v>
      </c>
      <c r="C131" s="10">
        <f ca="1"/>
        <v>45574</v>
      </c>
      <c r="D131" s="10">
        <f ca="1"/>
        <v>45575</v>
      </c>
      <c r="E131" s="10">
        <f ca="1"/>
        <v>45576</v>
      </c>
      <c r="F131" s="10">
        <f ca="1"/>
        <v>45577</v>
      </c>
      <c r="G131" s="11">
        <f ca="1"/>
        <v>45578</v>
      </c>
    </row>
    <row r="132" spans="1:7" x14ac:dyDescent="0.3">
      <c r="A132" s="6"/>
      <c r="B132" s="6"/>
      <c r="C132" s="6"/>
      <c r="D132" s="6"/>
      <c r="E132" s="6"/>
      <c r="F132" s="6"/>
      <c r="G132" s="7"/>
    </row>
    <row r="133" spans="1:7" ht="21" x14ac:dyDescent="0.3">
      <c r="A133" s="10">
        <f t="array" aca="1" ref="A133:G133" ca="1">Días+15+DATE(Calendario10Año,Calendario10MesOpción,1)-WEEKDAY(DATE(Calendario10Año,Calendario10MesOpción,1),DíaDeLaSemanaOpción)</f>
        <v>45579</v>
      </c>
      <c r="B133" s="10">
        <f ca="1"/>
        <v>45580</v>
      </c>
      <c r="C133" s="10">
        <f ca="1"/>
        <v>45581</v>
      </c>
      <c r="D133" s="10">
        <f ca="1"/>
        <v>45582</v>
      </c>
      <c r="E133" s="10">
        <f ca="1"/>
        <v>45583</v>
      </c>
      <c r="F133" s="10">
        <f ca="1"/>
        <v>45584</v>
      </c>
      <c r="G133" s="11">
        <f ca="1"/>
        <v>45585</v>
      </c>
    </row>
    <row r="134" spans="1:7" x14ac:dyDescent="0.3">
      <c r="A134" s="6"/>
      <c r="B134" s="6"/>
      <c r="C134" s="6"/>
      <c r="D134" s="6"/>
      <c r="E134" s="6"/>
      <c r="F134" s="6"/>
      <c r="G134" s="7"/>
    </row>
    <row r="135" spans="1:7" ht="21" x14ac:dyDescent="0.3">
      <c r="A135" s="10">
        <f t="array" aca="1" ref="A135:G135" ca="1">Días+22+DATE(Calendario10Año,Calendario10MesOpción,1)-WEEKDAY(DATE(Calendario10Año,Calendario10MesOpción,1),DíaDeLaSemanaOpción)</f>
        <v>45586</v>
      </c>
      <c r="B135" s="10">
        <f ca="1"/>
        <v>45587</v>
      </c>
      <c r="C135" s="10">
        <f ca="1"/>
        <v>45588</v>
      </c>
      <c r="D135" s="10">
        <f ca="1"/>
        <v>45589</v>
      </c>
      <c r="E135" s="10">
        <f ca="1"/>
        <v>45590</v>
      </c>
      <c r="F135" s="10">
        <f ca="1"/>
        <v>45591</v>
      </c>
      <c r="G135" s="11">
        <f ca="1"/>
        <v>45592</v>
      </c>
    </row>
    <row r="136" spans="1:7" x14ac:dyDescent="0.3">
      <c r="A136" s="6"/>
      <c r="B136" s="6"/>
      <c r="C136" s="6"/>
      <c r="D136" s="6"/>
      <c r="E136" s="6"/>
      <c r="F136" s="6"/>
      <c r="G136" s="7"/>
    </row>
    <row r="137" spans="1:7" ht="21" x14ac:dyDescent="0.3">
      <c r="A137" s="10">
        <f t="array" aca="1" ref="A137:G137" ca="1">Días+29+DATE(Calendario10Año,Calendario10MesOpción,1)-WEEKDAY(DATE(Calendario10Año,Calendario10MesOpción,1),DíaDeLaSemanaOpción)</f>
        <v>45593</v>
      </c>
      <c r="B137" s="10">
        <f ca="1"/>
        <v>45594</v>
      </c>
      <c r="C137" s="10">
        <f ca="1"/>
        <v>45595</v>
      </c>
      <c r="D137" s="10">
        <f ca="1"/>
        <v>45596</v>
      </c>
      <c r="E137" s="10">
        <f ca="1"/>
        <v>45597</v>
      </c>
      <c r="F137" s="10">
        <f ca="1"/>
        <v>45598</v>
      </c>
      <c r="G137" s="11">
        <f ca="1"/>
        <v>45599</v>
      </c>
    </row>
    <row r="138" spans="1:7" x14ac:dyDescent="0.3">
      <c r="A138" s="6"/>
      <c r="B138" s="6"/>
      <c r="C138" s="6"/>
      <c r="D138" s="6"/>
      <c r="E138" s="6"/>
      <c r="F138" s="6"/>
      <c r="G138" s="8"/>
    </row>
    <row r="139" spans="1:7" ht="21" x14ac:dyDescent="0.3">
      <c r="A139" s="10">
        <f t="array" aca="1" ref="A139:B139" ca="1">Días+36+DATE(Calendario10Año,Calendario10MesOpción,1)-WEEKDAY(DATE(Calendario10Año,Calendario10MesOpción,1),DíaDeLaSemanaOpción)</f>
        <v>45600</v>
      </c>
      <c r="B139" s="10">
        <f ca="1"/>
        <v>45601</v>
      </c>
      <c r="C139" s="61" t="s">
        <v>1</v>
      </c>
      <c r="D139" s="62"/>
      <c r="E139" s="62"/>
      <c r="F139" s="62"/>
      <c r="G139" s="62"/>
    </row>
    <row r="140" spans="1:7" x14ac:dyDescent="0.3">
      <c r="A140" s="6"/>
      <c r="B140" s="6"/>
      <c r="C140" s="63"/>
      <c r="D140" s="63"/>
      <c r="E140" s="63"/>
      <c r="F140" s="63"/>
      <c r="G140" s="63"/>
    </row>
    <row r="141" spans="1:7" ht="46.5" x14ac:dyDescent="0.7">
      <c r="A141" s="1">
        <f ca="1">YEAR(DATE(Calendario10Año,Calendario10MesOpción+1,1))</f>
        <v>2024</v>
      </c>
      <c r="B141" s="64" t="str">
        <f ca="1">TEXT(DATE(Calendario10Año,Calendario10MesOpción+1,1),"mmmm")</f>
        <v>noviembre</v>
      </c>
      <c r="C141" s="64"/>
      <c r="D141" s="64"/>
      <c r="E141" s="2"/>
      <c r="F141" s="2"/>
      <c r="G141" s="2"/>
    </row>
    <row r="142" spans="1:7" x14ac:dyDescent="0.3">
      <c r="A142" s="4" t="str">
        <f ca="1">UPPER(TEXT(A143,"dddd"))</f>
        <v>LUNES</v>
      </c>
      <c r="B142" s="5" t="str">
        <f t="shared" ref="B142:G142" ca="1" si="10">UPPER(TEXT(B143,"dddd"))</f>
        <v>MARTES</v>
      </c>
      <c r="C142" s="4" t="str">
        <f t="shared" ca="1" si="10"/>
        <v>MIÉRCOLES</v>
      </c>
      <c r="D142" s="5" t="str">
        <f t="shared" ca="1" si="10"/>
        <v>JUEVES</v>
      </c>
      <c r="E142" s="4" t="str">
        <f t="shared" ca="1" si="10"/>
        <v>VIERNES</v>
      </c>
      <c r="F142" s="5" t="str">
        <f t="shared" ca="1" si="10"/>
        <v>SÁBADO</v>
      </c>
      <c r="G142" s="4" t="str">
        <f t="shared" ca="1" si="10"/>
        <v>DOMINGO</v>
      </c>
    </row>
    <row r="143" spans="1:7" ht="21" x14ac:dyDescent="0.3">
      <c r="A143" s="10">
        <f t="array" aca="1" ref="A143:G143" ca="1">Días+1+DATE(Calendario11Año,Calendario11MesOpción,1)-WEEKDAY(DATE(Calendario11Año,Calendario11MesOpción,1),DíaDeLaSemanaOpción)</f>
        <v>45593</v>
      </c>
      <c r="B143" s="10">
        <f ca="1"/>
        <v>45594</v>
      </c>
      <c r="C143" s="10">
        <f ca="1"/>
        <v>45595</v>
      </c>
      <c r="D143" s="10">
        <f ca="1"/>
        <v>45596</v>
      </c>
      <c r="E143" s="10">
        <f ca="1"/>
        <v>45597</v>
      </c>
      <c r="F143" s="10">
        <f ca="1"/>
        <v>45598</v>
      </c>
      <c r="G143" s="11">
        <f ca="1"/>
        <v>45599</v>
      </c>
    </row>
    <row r="144" spans="1:7" x14ac:dyDescent="0.3">
      <c r="A144" s="6"/>
      <c r="B144" s="6"/>
      <c r="C144" s="6"/>
      <c r="D144" s="6"/>
      <c r="E144" s="6"/>
      <c r="F144" s="6"/>
      <c r="G144" s="7"/>
    </row>
    <row r="145" spans="1:7" ht="21" x14ac:dyDescent="0.3">
      <c r="A145" s="10">
        <f t="array" aca="1" ref="A145:G145" ca="1">Días+8+DATE(Calendario11Año,Calendario11MesOpción,1)-WEEKDAY(DATE(Calendario11Año,Calendario11MesOpción,1),DíaDeLaSemanaOpción)</f>
        <v>45600</v>
      </c>
      <c r="B145" s="10">
        <f ca="1"/>
        <v>45601</v>
      </c>
      <c r="C145" s="10">
        <f ca="1"/>
        <v>45602</v>
      </c>
      <c r="D145" s="10">
        <f ca="1"/>
        <v>45603</v>
      </c>
      <c r="E145" s="10">
        <f ca="1"/>
        <v>45604</v>
      </c>
      <c r="F145" s="10">
        <f ca="1"/>
        <v>45605</v>
      </c>
      <c r="G145" s="11">
        <f ca="1"/>
        <v>45606</v>
      </c>
    </row>
    <row r="146" spans="1:7" x14ac:dyDescent="0.3">
      <c r="A146" s="6"/>
      <c r="B146" s="6"/>
      <c r="C146" s="6"/>
      <c r="D146" s="6"/>
      <c r="E146" s="6"/>
      <c r="F146" s="6"/>
      <c r="G146" s="7"/>
    </row>
    <row r="147" spans="1:7" ht="21" x14ac:dyDescent="0.3">
      <c r="A147" s="10">
        <f t="array" aca="1" ref="A147:G147" ca="1">Días+15+DATE(Calendario11Año,Calendario11MesOpción,1)-WEEKDAY(DATE(Calendario11Año,Calendario11MesOpción,1),DíaDeLaSemanaOpción)</f>
        <v>45607</v>
      </c>
      <c r="B147" s="10">
        <f ca="1"/>
        <v>45608</v>
      </c>
      <c r="C147" s="10">
        <f ca="1"/>
        <v>45609</v>
      </c>
      <c r="D147" s="10">
        <f ca="1"/>
        <v>45610</v>
      </c>
      <c r="E147" s="10">
        <f ca="1"/>
        <v>45611</v>
      </c>
      <c r="F147" s="10">
        <f ca="1"/>
        <v>45612</v>
      </c>
      <c r="G147" s="11">
        <f ca="1"/>
        <v>45613</v>
      </c>
    </row>
    <row r="148" spans="1:7" x14ac:dyDescent="0.3">
      <c r="A148" s="6"/>
      <c r="B148" s="6"/>
      <c r="C148" s="6"/>
      <c r="D148" s="6"/>
      <c r="E148" s="6"/>
      <c r="F148" s="6"/>
      <c r="G148" s="7"/>
    </row>
    <row r="149" spans="1:7" ht="21" x14ac:dyDescent="0.3">
      <c r="A149" s="10">
        <f t="array" aca="1" ref="A149:G149" ca="1">Días+22+DATE(Calendario11Año,Calendario11MesOpción,1)-WEEKDAY(DATE(Calendario11Año,Calendario11MesOpción,1),DíaDeLaSemanaOpción)</f>
        <v>45614</v>
      </c>
      <c r="B149" s="10">
        <f ca="1"/>
        <v>45615</v>
      </c>
      <c r="C149" s="10">
        <f ca="1"/>
        <v>45616</v>
      </c>
      <c r="D149" s="10">
        <f ca="1"/>
        <v>45617</v>
      </c>
      <c r="E149" s="10">
        <f ca="1"/>
        <v>45618</v>
      </c>
      <c r="F149" s="10">
        <f ca="1"/>
        <v>45619</v>
      </c>
      <c r="G149" s="11">
        <f ca="1"/>
        <v>45620</v>
      </c>
    </row>
    <row r="150" spans="1:7" x14ac:dyDescent="0.3">
      <c r="A150" s="6"/>
      <c r="B150" s="6"/>
      <c r="C150" s="6"/>
      <c r="D150" s="6"/>
      <c r="E150" s="6"/>
      <c r="F150" s="6"/>
      <c r="G150" s="7"/>
    </row>
    <row r="151" spans="1:7" ht="21" x14ac:dyDescent="0.3">
      <c r="A151" s="10">
        <f t="array" aca="1" ref="A151:G151" ca="1">Días+29+DATE(Calendario11Año,Calendario11MesOpción,1)-WEEKDAY(DATE(Calendario11Año,Calendario11MesOpción,1),DíaDeLaSemanaOpción)</f>
        <v>45621</v>
      </c>
      <c r="B151" s="10">
        <f ca="1"/>
        <v>45622</v>
      </c>
      <c r="C151" s="10">
        <f ca="1"/>
        <v>45623</v>
      </c>
      <c r="D151" s="10">
        <f ca="1"/>
        <v>45624</v>
      </c>
      <c r="E151" s="10">
        <f ca="1"/>
        <v>45625</v>
      </c>
      <c r="F151" s="10">
        <f ca="1"/>
        <v>45626</v>
      </c>
      <c r="G151" s="11">
        <f ca="1"/>
        <v>45627</v>
      </c>
    </row>
    <row r="152" spans="1:7" x14ac:dyDescent="0.3">
      <c r="A152" s="6"/>
      <c r="B152" s="6"/>
      <c r="C152" s="6"/>
      <c r="D152" s="6"/>
      <c r="E152" s="6"/>
      <c r="F152" s="6"/>
      <c r="G152" s="8"/>
    </row>
    <row r="153" spans="1:7" ht="21" x14ac:dyDescent="0.3">
      <c r="A153" s="10">
        <f t="array" aca="1" ref="A153:B153" ca="1">Días+36+DATE(Calendario11Año,Calendario11MesOpción,1)-WEEKDAY(DATE(Calendario11Año,Calendario11MesOpción,1),DíaDeLaSemanaOpción)</f>
        <v>45628</v>
      </c>
      <c r="B153" s="10">
        <f ca="1"/>
        <v>45629</v>
      </c>
      <c r="C153" s="61" t="s">
        <v>1</v>
      </c>
      <c r="D153" s="62"/>
      <c r="E153" s="62"/>
      <c r="F153" s="62"/>
      <c r="G153" s="62"/>
    </row>
    <row r="154" spans="1:7" x14ac:dyDescent="0.3">
      <c r="A154" s="6"/>
      <c r="B154" s="6"/>
      <c r="C154" s="63"/>
      <c r="D154" s="63"/>
      <c r="E154" s="63"/>
      <c r="F154" s="63"/>
      <c r="G154" s="63"/>
    </row>
    <row r="155" spans="1:7" ht="46.5" x14ac:dyDescent="0.7">
      <c r="A155" s="1">
        <f ca="1">YEAR(DATE(Calendario11Año,Calendario11MesOpción+1,1))</f>
        <v>2024</v>
      </c>
      <c r="B155" s="64" t="str">
        <f ca="1">TEXT(DATE(Calendario11Año,Calendario11MesOpción+1,1),"mmmm")</f>
        <v>diciembre</v>
      </c>
      <c r="C155" s="64"/>
      <c r="D155" s="64"/>
      <c r="E155" s="2"/>
      <c r="F155" s="2"/>
      <c r="G155" s="2"/>
    </row>
    <row r="156" spans="1:7" x14ac:dyDescent="0.3">
      <c r="A156" s="4" t="str">
        <f ca="1">UPPER(TEXT(A157,"dddd"))</f>
        <v>LUNES</v>
      </c>
      <c r="B156" s="5" t="str">
        <f t="shared" ref="B156:G156" ca="1" si="11">UPPER(TEXT(B157,"dddd"))</f>
        <v>MARTES</v>
      </c>
      <c r="C156" s="4" t="str">
        <f t="shared" ca="1" si="11"/>
        <v>MIÉRCOLES</v>
      </c>
      <c r="D156" s="5" t="str">
        <f t="shared" ca="1" si="11"/>
        <v>JUEVES</v>
      </c>
      <c r="E156" s="4" t="str">
        <f t="shared" ca="1" si="11"/>
        <v>VIERNES</v>
      </c>
      <c r="F156" s="5" t="str">
        <f t="shared" ca="1" si="11"/>
        <v>SÁBADO</v>
      </c>
      <c r="G156" s="4" t="str">
        <f t="shared" ca="1" si="11"/>
        <v>DOMINGO</v>
      </c>
    </row>
    <row r="157" spans="1:7" ht="21" x14ac:dyDescent="0.3">
      <c r="A157" s="10">
        <f t="array" aca="1" ref="A157:G157" ca="1">Días+1+DATE(Calendario12Año,Calendario12MesOpción,1)-WEEKDAY(DATE(Calendario12Año,Calendario12MesOpción,1),DíaDeLaSemanaOpción)</f>
        <v>45621</v>
      </c>
      <c r="B157" s="10">
        <f ca="1"/>
        <v>45622</v>
      </c>
      <c r="C157" s="10">
        <f ca="1"/>
        <v>45623</v>
      </c>
      <c r="D157" s="10">
        <f ca="1"/>
        <v>45624</v>
      </c>
      <c r="E157" s="10">
        <f ca="1"/>
        <v>45625</v>
      </c>
      <c r="F157" s="10">
        <f ca="1"/>
        <v>45626</v>
      </c>
      <c r="G157" s="11">
        <f ca="1"/>
        <v>45627</v>
      </c>
    </row>
    <row r="158" spans="1:7" x14ac:dyDescent="0.3">
      <c r="A158" s="6"/>
      <c r="B158" s="6"/>
      <c r="C158" s="6"/>
      <c r="D158" s="6"/>
      <c r="E158" s="6"/>
      <c r="F158" s="6"/>
      <c r="G158" s="7"/>
    </row>
    <row r="159" spans="1:7" ht="21" x14ac:dyDescent="0.3">
      <c r="A159" s="10">
        <f t="array" aca="1" ref="A159:G159" ca="1">Días+8+DATE(Calendario12Año,Calendario12MesOpción,1)-WEEKDAY(DATE(Calendario12Año,Calendario12MesOpción,1),DíaDeLaSemanaOpción)</f>
        <v>45628</v>
      </c>
      <c r="B159" s="10">
        <f ca="1"/>
        <v>45629</v>
      </c>
      <c r="C159" s="10">
        <f ca="1"/>
        <v>45630</v>
      </c>
      <c r="D159" s="10">
        <f ca="1"/>
        <v>45631</v>
      </c>
      <c r="E159" s="10">
        <f ca="1"/>
        <v>45632</v>
      </c>
      <c r="F159" s="10">
        <f ca="1"/>
        <v>45633</v>
      </c>
      <c r="G159" s="11">
        <f ca="1"/>
        <v>45634</v>
      </c>
    </row>
    <row r="160" spans="1:7" x14ac:dyDescent="0.3">
      <c r="A160" s="6"/>
      <c r="B160" s="6"/>
      <c r="C160" s="6"/>
      <c r="D160" s="6"/>
      <c r="E160" s="6"/>
      <c r="F160" s="6"/>
      <c r="G160" s="7"/>
    </row>
    <row r="161" spans="1:7" ht="21" x14ac:dyDescent="0.3">
      <c r="A161" s="10">
        <f t="array" aca="1" ref="A161:G161" ca="1">Días+15+DATE(Calendario12Año,Calendario12MesOpción,1)-WEEKDAY(DATE(Calendario12Año,Calendario12MesOpción,1),DíaDeLaSemanaOpción)</f>
        <v>45635</v>
      </c>
      <c r="B161" s="10">
        <f ca="1"/>
        <v>45636</v>
      </c>
      <c r="C161" s="10">
        <f ca="1"/>
        <v>45637</v>
      </c>
      <c r="D161" s="10">
        <f ca="1"/>
        <v>45638</v>
      </c>
      <c r="E161" s="10">
        <f ca="1"/>
        <v>45639</v>
      </c>
      <c r="F161" s="10">
        <f ca="1"/>
        <v>45640</v>
      </c>
      <c r="G161" s="11">
        <f ca="1"/>
        <v>45641</v>
      </c>
    </row>
    <row r="162" spans="1:7" x14ac:dyDescent="0.3">
      <c r="A162" s="6"/>
      <c r="B162" s="6"/>
      <c r="C162" s="6"/>
      <c r="D162" s="6"/>
      <c r="E162" s="6"/>
      <c r="F162" s="6"/>
      <c r="G162" s="7"/>
    </row>
    <row r="163" spans="1:7" ht="21" x14ac:dyDescent="0.3">
      <c r="A163" s="10">
        <f t="array" aca="1" ref="A163:G163" ca="1">Días+22+DATE(Calendario12Año,Calendario12MesOpción,1)-WEEKDAY(DATE(Calendario12Año,Calendario12MesOpción,1),DíaDeLaSemanaOpción)</f>
        <v>45642</v>
      </c>
      <c r="B163" s="10">
        <f ca="1"/>
        <v>45643</v>
      </c>
      <c r="C163" s="10">
        <f ca="1"/>
        <v>45644</v>
      </c>
      <c r="D163" s="10">
        <f ca="1"/>
        <v>45645</v>
      </c>
      <c r="E163" s="10">
        <f ca="1"/>
        <v>45646</v>
      </c>
      <c r="F163" s="10">
        <f ca="1"/>
        <v>45647</v>
      </c>
      <c r="G163" s="11">
        <f ca="1"/>
        <v>45648</v>
      </c>
    </row>
    <row r="164" spans="1:7" x14ac:dyDescent="0.3">
      <c r="A164" s="6"/>
      <c r="B164" s="6"/>
      <c r="C164" s="6"/>
      <c r="D164" s="6"/>
      <c r="E164" s="6"/>
      <c r="F164" s="6"/>
      <c r="G164" s="7"/>
    </row>
    <row r="165" spans="1:7" ht="21" x14ac:dyDescent="0.3">
      <c r="A165" s="10">
        <f t="array" aca="1" ref="A165:G165" ca="1">Días+29+DATE(Calendario12Año,Calendario12MesOpción,1)-WEEKDAY(DATE(Calendario12Año,Calendario12MesOpción,1),DíaDeLaSemanaOpción)</f>
        <v>45649</v>
      </c>
      <c r="B165" s="10">
        <f ca="1"/>
        <v>45650</v>
      </c>
      <c r="C165" s="10">
        <f ca="1"/>
        <v>45651</v>
      </c>
      <c r="D165" s="10">
        <f ca="1"/>
        <v>45652</v>
      </c>
      <c r="E165" s="10">
        <f ca="1"/>
        <v>45653</v>
      </c>
      <c r="F165" s="10">
        <f ca="1"/>
        <v>45654</v>
      </c>
      <c r="G165" s="11">
        <f ca="1"/>
        <v>45655</v>
      </c>
    </row>
    <row r="166" spans="1:7" x14ac:dyDescent="0.3">
      <c r="A166" s="6"/>
      <c r="B166" s="6"/>
      <c r="C166" s="6"/>
      <c r="D166" s="6"/>
      <c r="E166" s="6"/>
      <c r="F166" s="6"/>
      <c r="G166" s="8"/>
    </row>
    <row r="167" spans="1:7" ht="21" x14ac:dyDescent="0.3">
      <c r="A167" s="10">
        <f t="array" aca="1" ref="A167:B167" ca="1">Días+36+DATE(Calendario12Año,Calendario12MesOpción,1)-WEEKDAY(DATE(Calendario12Año,Calendario12MesOpción,1),DíaDeLaSemanaOpción)</f>
        <v>45656</v>
      </c>
      <c r="B167" s="10">
        <f ca="1"/>
        <v>45657</v>
      </c>
      <c r="C167" s="61" t="s">
        <v>1</v>
      </c>
      <c r="D167" s="62"/>
      <c r="E167" s="62"/>
      <c r="F167" s="62"/>
      <c r="G167" s="62"/>
    </row>
    <row r="168" spans="1:7" x14ac:dyDescent="0.3">
      <c r="A168" s="6"/>
      <c r="B168" s="6"/>
      <c r="C168" s="63"/>
      <c r="D168" s="63"/>
      <c r="E168" s="63"/>
      <c r="F168" s="63"/>
      <c r="G168" s="63"/>
    </row>
  </sheetData>
  <mergeCells count="36">
    <mergeCell ref="B29:D29"/>
    <mergeCell ref="D1:F1"/>
    <mergeCell ref="C13:G13"/>
    <mergeCell ref="C14:G14"/>
    <mergeCell ref="C27:G27"/>
    <mergeCell ref="C28:G28"/>
    <mergeCell ref="D15:F15"/>
    <mergeCell ref="B85:D85"/>
    <mergeCell ref="C41:G41"/>
    <mergeCell ref="C42:G42"/>
    <mergeCell ref="B43:D43"/>
    <mergeCell ref="C55:G55"/>
    <mergeCell ref="C56:G56"/>
    <mergeCell ref="B57:D57"/>
    <mergeCell ref="C69:G69"/>
    <mergeCell ref="C70:G70"/>
    <mergeCell ref="B71:D71"/>
    <mergeCell ref="C83:G83"/>
    <mergeCell ref="C84:G84"/>
    <mergeCell ref="B141:D141"/>
    <mergeCell ref="C97:G97"/>
    <mergeCell ref="C98:G98"/>
    <mergeCell ref="B99:D99"/>
    <mergeCell ref="C111:G111"/>
    <mergeCell ref="C112:G112"/>
    <mergeCell ref="B113:D113"/>
    <mergeCell ref="C125:G125"/>
    <mergeCell ref="C126:G126"/>
    <mergeCell ref="B127:D127"/>
    <mergeCell ref="C139:G139"/>
    <mergeCell ref="C140:G140"/>
    <mergeCell ref="C153:G153"/>
    <mergeCell ref="C154:G154"/>
    <mergeCell ref="B155:D155"/>
    <mergeCell ref="C167:G167"/>
    <mergeCell ref="C168:G168"/>
  </mergeCells>
  <dataValidations count="12">
    <dataValidation allowBlank="1" showInputMessage="1" prompt="Fecha" sqref="A3" xr:uid="{00000000-0002-0000-0800-000000000000}"/>
    <dataValidation allowBlank="1" showInputMessage="1" showErrorMessage="1" prompt="Día laborable determinado automáticamente. Para cambiar los días laborables, seleccione un nuevo día de inicio de semana en la celda B2." sqref="B16:G16 A156:G156 A142:G142 A128:G128 A114:G114 A100:G100 A86:G86 A72:G72 A58:G58 A44:G44 A30:G30" xr:uid="{00000000-0002-0000-0800-000001000000}"/>
    <dataValidation allowBlank="1" showInputMessage="1" showErrorMessage="1" prompt="El mes natural se actualiza automáticamente según el mes seleccionado en la celda C1" sqref="B141:D141 B155:D155 B127:D127 B113:D113 B99:D99 B85:D85 B71:D71 B57:D57 B43:D43 B29:D29" xr:uid="{00000000-0002-0000-0800-00000C000000}"/>
    <dataValidation allowBlank="1" showInputMessage="1" showErrorMessage="1" prompt="El año natural se actualiza automáticamente según el año seleccionado en la celda B1" sqref="A29 A155 A141 A127 A113 A99 A85 A71 A57 A43" xr:uid="{00000000-0002-0000-0800-000016000000}"/>
    <dataValidation allowBlank="1" showInputMessage="1" prompt="Escriba las notas del mes en esta celda" sqref="C14:G14" xr:uid="{00000000-0002-0000-0800-000020000000}"/>
    <dataValidation allowBlank="1" showInputMessage="1" prompt="Escriba las notas del mes en la siguiente celda" sqref="C13:G13" xr:uid="{00000000-0002-0000-0800-000021000000}"/>
    <dataValidation allowBlank="1" showInputMessage="1" prompt="El mes natural se actualiza automáticamente según el mes seleccionado en la celda C1" sqref="B15:C15" xr:uid="{00000000-0002-0000-0800-000022000000}"/>
    <dataValidation allowBlank="1" showInputMessage="1" prompt="El año natural se actualiza automáticamente según el año seleccionado en la celda B1" sqref="A15" xr:uid="{00000000-0002-0000-0800-000023000000}"/>
    <dataValidation allowBlank="1" showInputMessage="1" prompt="Día laborable determinado automáticamente. Para cambiar los días laborables, seleccione un nuevo día de inicio de semana en la celda B2." sqref="B2:G2 A16" xr:uid="{00000000-0002-0000-0800-000024000000}"/>
    <dataValidation allowBlank="1" showInputMessage="1" showErrorMessage="1" prompt="Escriba el año en esta celda" sqref="A1" xr:uid="{00000000-0002-0000-0800-000026000000}"/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B1:D1 D15" xr:uid="{00000000-0002-0000-0800-000027000000}">
      <formula1>"enero,febrero,marzo,abril,mayo,junio,julio,agosto,septiembre,octubre,noviembre,diciembre"</formula1>
    </dataValidation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A2" xr:uid="{00000000-0002-0000-0800-000029000000}">
      <formula1>"DOMINGO,LUNES,MARTES,MIÉRCOLES,JUEVES,VIERNES,SÁBADO"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CE4A3B75-9770-48A5-B5ED-A26021333C40}">
            <xm:f>MONTH(JoMa!A3)&lt;&gt;Calendario1MesOpción</xm:f>
            <x14:dxf>
              <font>
                <color rgb="FF747474"/>
              </font>
            </x14:dxf>
          </x14:cfRule>
          <xm:sqref>A3:G3 A5:G5 A7:G7 A9:G9 A11:G11 A13:B13</xm:sqref>
        </x14:conditionalFormatting>
        <x14:conditionalFormatting xmlns:xm="http://schemas.microsoft.com/office/excel/2006/main">
          <x14:cfRule type="expression" priority="11" id="{D90F543A-70C8-4A93-8C83-72CD3270BBAA}">
            <xm:f>MONTH(JoMa!A17)&lt;&gt;Calendario2MesOpción</xm:f>
            <x14:dxf>
              <font>
                <color rgb="FF747474"/>
              </font>
            </x14:dxf>
          </x14:cfRule>
          <xm:sqref>A17:G17 A19:G19 A21:G21 A23:G23 A25:G25 A27:B27</xm:sqref>
        </x14:conditionalFormatting>
        <x14:conditionalFormatting xmlns:xm="http://schemas.microsoft.com/office/excel/2006/main">
          <x14:cfRule type="expression" priority="10" id="{D4A6E20B-0835-4231-ADBA-18E05F76D479}">
            <xm:f>MONTH(JoMa!A31)&lt;&gt;Calendario3MesOpción</xm:f>
            <x14:dxf>
              <font>
                <color rgb="FF747474"/>
              </font>
            </x14:dxf>
          </x14:cfRule>
          <xm:sqref>A31:G31 A33:G33 A35:G35 A37:G37 A39:G39 A41:B41</xm:sqref>
        </x14:conditionalFormatting>
        <x14:conditionalFormatting xmlns:xm="http://schemas.microsoft.com/office/excel/2006/main">
          <x14:cfRule type="expression" priority="9" id="{62D2550B-B804-489F-8FCA-585312DD44AC}">
            <xm:f>MONTH(JoMa!A45)&lt;&gt;Calendario4MesOpción</xm:f>
            <x14:dxf>
              <font>
                <color rgb="FF747474"/>
              </font>
            </x14:dxf>
          </x14:cfRule>
          <xm:sqref>A45:G45 A47:G47 A49:G49 A51:G51 A53:G53 A55:B55</xm:sqref>
        </x14:conditionalFormatting>
        <x14:conditionalFormatting xmlns:xm="http://schemas.microsoft.com/office/excel/2006/main">
          <x14:cfRule type="expression" priority="8" id="{63564234-2129-4893-A82E-B120E4F93F0E}">
            <xm:f>MONTH(JoMa!A59)&lt;&gt;Calendario5MesOpción</xm:f>
            <x14:dxf>
              <font>
                <color rgb="FF747474"/>
              </font>
            </x14:dxf>
          </x14:cfRule>
          <xm:sqref>A59:G59 A61:G61 A63:G63 A65:G65 A67:G67 A69:B69</xm:sqref>
        </x14:conditionalFormatting>
        <x14:conditionalFormatting xmlns:xm="http://schemas.microsoft.com/office/excel/2006/main">
          <x14:cfRule type="expression" priority="7" id="{26284433-AE5A-492F-8A18-A75CEC313BD9}">
            <xm:f>MONTH(JoMa!A73)&lt;&gt;Calendario6MesOpción</xm:f>
            <x14:dxf>
              <font>
                <color rgb="FF747474"/>
              </font>
            </x14:dxf>
          </x14:cfRule>
          <xm:sqref>A73:G73 A75:G75 A77:G77 A79:G79 A81:G81 A83:B83</xm:sqref>
        </x14:conditionalFormatting>
        <x14:conditionalFormatting xmlns:xm="http://schemas.microsoft.com/office/excel/2006/main">
          <x14:cfRule type="expression" priority="6" id="{A7956848-C8BF-45E0-944F-D1790B47CA3A}">
            <xm:f>MONTH(JoMa!A87)&lt;&gt;Calendario7MesOpción</xm:f>
            <x14:dxf>
              <font>
                <color rgb="FF747474"/>
              </font>
            </x14:dxf>
          </x14:cfRule>
          <xm:sqref>A87:G87 A89:G89 A91:G91 A93:G93 A95:G95 A97:B97</xm:sqref>
        </x14:conditionalFormatting>
        <x14:conditionalFormatting xmlns:xm="http://schemas.microsoft.com/office/excel/2006/main">
          <x14:cfRule type="expression" priority="5" id="{2F8B1C92-58D6-46F5-858B-2844A5FF1C91}">
            <xm:f>MONTH(JoMa!A101)&lt;&gt;Calendario8MesOpción</xm:f>
            <x14:dxf>
              <font>
                <color rgb="FF747474"/>
              </font>
            </x14:dxf>
          </x14:cfRule>
          <xm:sqref>A101:G101 A103:G103 A105:G105 A107:G107 A109:G109 A111:B111</xm:sqref>
        </x14:conditionalFormatting>
        <x14:conditionalFormatting xmlns:xm="http://schemas.microsoft.com/office/excel/2006/main">
          <x14:cfRule type="expression" priority="4" id="{B08648FE-7AA3-406E-AA5E-5A49961FB923}">
            <xm:f>MONTH(JoMa!A115)&lt;&gt;Calendario9MesOpción</xm:f>
            <x14:dxf>
              <font>
                <color rgb="FF747474"/>
              </font>
            </x14:dxf>
          </x14:cfRule>
          <xm:sqref>A115:G115 A117:G117 A119:G119 A121:G121 A123:G123 A125:B125</xm:sqref>
        </x14:conditionalFormatting>
        <x14:conditionalFormatting xmlns:xm="http://schemas.microsoft.com/office/excel/2006/main">
          <x14:cfRule type="expression" priority="3" id="{79D8A859-702B-42F1-AFA9-AED82528E4D4}">
            <xm:f>MONTH(JoMa!A129)&lt;&gt;Calendario10MesOpción</xm:f>
            <x14:dxf>
              <font>
                <color rgb="FF747474"/>
              </font>
            </x14:dxf>
          </x14:cfRule>
          <xm:sqref>A129:G129 A131:G131 A133:G133 A135:G135 A137:G137 A139:B139</xm:sqref>
        </x14:conditionalFormatting>
        <x14:conditionalFormatting xmlns:xm="http://schemas.microsoft.com/office/excel/2006/main">
          <x14:cfRule type="expression" priority="2" id="{87E6EDC8-D0E5-46AD-95AB-21F05A07EC69}">
            <xm:f>MONTH(JoMa!A143)&lt;&gt;Calendario11MesOpción</xm:f>
            <x14:dxf>
              <font>
                <color rgb="FF747474"/>
              </font>
            </x14:dxf>
          </x14:cfRule>
          <xm:sqref>A143:G143 A145:G145 A147:G147 A149:G149 A151:G151 A153:B153</xm:sqref>
        </x14:conditionalFormatting>
        <x14:conditionalFormatting xmlns:xm="http://schemas.microsoft.com/office/excel/2006/main">
          <x14:cfRule type="expression" priority="1" id="{094121D9-12E4-4078-999D-1FF96BF94AD6}">
            <xm:f>MONTH(JoMa!A157)&lt;&gt;Calendario12MesOpción</xm:f>
            <x14:dxf>
              <font>
                <color rgb="FF747474"/>
              </font>
            </x14:dxf>
          </x14:cfRule>
          <xm:sqref>A157:G157 A159:G159 A161:G161 A163:G163 A165:G165 A167:B167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I168"/>
  <sheetViews>
    <sheetView topLeftCell="A4" workbookViewId="0">
      <selection activeCell="E12" sqref="E12"/>
    </sheetView>
  </sheetViews>
  <sheetFormatPr baseColWidth="10" defaultRowHeight="16.5" x14ac:dyDescent="0.3"/>
  <cols>
    <col min="1" max="1" width="18.25" customWidth="1"/>
    <col min="2" max="7" width="17.625" customWidth="1"/>
    <col min="8" max="8" width="2.5" customWidth="1"/>
  </cols>
  <sheetData>
    <row r="1" spans="1:9" ht="46.5" x14ac:dyDescent="0.7">
      <c r="A1" s="1">
        <f ca="1">YEAR(TODAY())</f>
        <v>2024</v>
      </c>
      <c r="B1" s="18" t="s">
        <v>2</v>
      </c>
      <c r="C1" s="13"/>
      <c r="D1" s="65"/>
      <c r="E1" s="65"/>
      <c r="F1" s="65"/>
      <c r="G1" s="19"/>
      <c r="I1" s="20"/>
    </row>
    <row r="2" spans="1:9" x14ac:dyDescent="0.3">
      <c r="A2" s="4" t="s">
        <v>0</v>
      </c>
      <c r="B2" s="5" t="str">
        <f ca="1">UPPER(TEXT(B3,"dddd"))</f>
        <v>MARTES</v>
      </c>
      <c r="C2" s="4" t="str">
        <f t="shared" ref="C2:G2" ca="1" si="0">UPPER(TEXT(C3,"dddd"))</f>
        <v>MIÉRCOLES</v>
      </c>
      <c r="D2" s="5" t="str">
        <f t="shared" ca="1" si="0"/>
        <v>JUEVES</v>
      </c>
      <c r="E2" s="4" t="str">
        <f t="shared" ca="1" si="0"/>
        <v>VIERNES</v>
      </c>
      <c r="F2" s="5" t="str">
        <f t="shared" ca="1" si="0"/>
        <v>SÁBADO</v>
      </c>
      <c r="G2" s="4" t="str">
        <f t="shared" ca="1" si="0"/>
        <v>DOMINGO</v>
      </c>
    </row>
    <row r="3" spans="1:9" ht="21" x14ac:dyDescent="0.3">
      <c r="A3" s="10">
        <f t="array" aca="1" ref="A3:G3" ca="1">Días+1+DATE(Calendario1Año,Calendario1MesOpción,1)-WEEKDAY(DATE(Calendario1Año,Calendario1MesOpción,1),DíaDeLaSemanaOpción)</f>
        <v>45292</v>
      </c>
      <c r="B3" s="10">
        <f ca="1"/>
        <v>45293</v>
      </c>
      <c r="C3" s="10">
        <f ca="1"/>
        <v>45294</v>
      </c>
      <c r="D3" s="10">
        <f ca="1"/>
        <v>45295</v>
      </c>
      <c r="E3" s="10">
        <f ca="1"/>
        <v>45296</v>
      </c>
      <c r="F3" s="10">
        <f ca="1"/>
        <v>45297</v>
      </c>
      <c r="G3" s="11">
        <f ca="1"/>
        <v>45298</v>
      </c>
    </row>
    <row r="4" spans="1:9" x14ac:dyDescent="0.3">
      <c r="A4" s="6"/>
      <c r="B4" s="6"/>
      <c r="C4" s="6"/>
      <c r="D4" s="6"/>
      <c r="E4" s="7"/>
      <c r="F4" s="6"/>
      <c r="G4" s="7"/>
    </row>
    <row r="5" spans="1:9" ht="21" x14ac:dyDescent="0.3">
      <c r="A5" s="10">
        <f t="array" aca="1" ref="A5:G5" ca="1">Días+8+DATE(Calendario1Año,Calendario1MesOpción,1)-WEEKDAY(DATE(Calendario1Año,Calendario1MesOpción,1),DíaDeLaSemanaOpción)</f>
        <v>45299</v>
      </c>
      <c r="B5" s="10">
        <f ca="1"/>
        <v>45300</v>
      </c>
      <c r="C5" s="10">
        <f ca="1"/>
        <v>45301</v>
      </c>
      <c r="D5" s="10">
        <f ca="1"/>
        <v>45302</v>
      </c>
      <c r="E5" s="10">
        <f ca="1"/>
        <v>45303</v>
      </c>
      <c r="F5" s="10">
        <f ca="1"/>
        <v>45304</v>
      </c>
      <c r="G5" s="11">
        <f ca="1"/>
        <v>45305</v>
      </c>
    </row>
    <row r="6" spans="1:9" x14ac:dyDescent="0.3">
      <c r="A6" s="6"/>
      <c r="C6" s="6"/>
      <c r="D6" s="7"/>
      <c r="E6" s="6"/>
      <c r="F6" s="6"/>
      <c r="G6" s="7"/>
    </row>
    <row r="7" spans="1:9" ht="21" x14ac:dyDescent="0.3">
      <c r="A7" s="10">
        <f t="array" aca="1" ref="A7:G7" ca="1">Días+15+DATE(Calendario1Año,Calendario1MesOpción,1)-WEEKDAY(DATE(Calendario1Año,Calendario1MesOpción,1),DíaDeLaSemanaOpción)</f>
        <v>45306</v>
      </c>
      <c r="B7" s="10">
        <f ca="1"/>
        <v>45307</v>
      </c>
      <c r="C7" s="10">
        <f ca="1"/>
        <v>45308</v>
      </c>
      <c r="D7" s="10">
        <f ca="1"/>
        <v>45309</v>
      </c>
      <c r="E7" s="10">
        <f ca="1"/>
        <v>45310</v>
      </c>
      <c r="F7" s="10">
        <f ca="1"/>
        <v>45311</v>
      </c>
      <c r="G7" s="11">
        <f ca="1"/>
        <v>45312</v>
      </c>
    </row>
    <row r="8" spans="1:9" x14ac:dyDescent="0.3">
      <c r="A8" s="43"/>
      <c r="B8" s="6"/>
      <c r="C8" s="6"/>
      <c r="D8" s="6"/>
      <c r="E8" s="24"/>
      <c r="F8" s="24"/>
      <c r="G8" s="24"/>
    </row>
    <row r="9" spans="1:9" ht="21" x14ac:dyDescent="0.3">
      <c r="A9" s="10">
        <f t="array" aca="1" ref="A9:G9" ca="1">Días+22+DATE(Calendario1Año,Calendario1MesOpción,1)-WEEKDAY(DATE(Calendario1Año,Calendario1MesOpción,1),DíaDeLaSemanaOpción)</f>
        <v>45313</v>
      </c>
      <c r="B9" s="10">
        <f ca="1"/>
        <v>45314</v>
      </c>
      <c r="C9" s="10">
        <f ca="1"/>
        <v>45315</v>
      </c>
      <c r="D9" s="10">
        <f ca="1"/>
        <v>45316</v>
      </c>
      <c r="E9" s="10">
        <f ca="1"/>
        <v>45317</v>
      </c>
      <c r="F9" s="10">
        <f ca="1"/>
        <v>45318</v>
      </c>
      <c r="G9" s="11">
        <f ca="1"/>
        <v>45319</v>
      </c>
    </row>
    <row r="10" spans="1:9" ht="28.5" x14ac:dyDescent="0.3">
      <c r="A10" s="6"/>
      <c r="B10" s="6"/>
      <c r="C10" s="31" t="s">
        <v>181</v>
      </c>
      <c r="D10" s="31" t="s">
        <v>181</v>
      </c>
      <c r="E10" s="6"/>
      <c r="F10" s="6"/>
      <c r="G10" s="7"/>
    </row>
    <row r="11" spans="1:9" ht="21" x14ac:dyDescent="0.3">
      <c r="A11" s="10">
        <f t="array" aca="1" ref="A11:G11" ca="1">Días+29+DATE(Calendario1Año,Calendario1MesOpción,1)-WEEKDAY(DATE(Calendario1Año,Calendario1MesOpción,1),DíaDeLaSemanaOpción)</f>
        <v>45320</v>
      </c>
      <c r="B11" s="10">
        <f ca="1"/>
        <v>45321</v>
      </c>
      <c r="C11" s="10">
        <f ca="1"/>
        <v>45322</v>
      </c>
      <c r="D11" s="10">
        <f ca="1"/>
        <v>45323</v>
      </c>
      <c r="E11" s="10">
        <f ca="1"/>
        <v>45324</v>
      </c>
      <c r="F11" s="10">
        <f ca="1"/>
        <v>45325</v>
      </c>
      <c r="G11" s="11">
        <f ca="1"/>
        <v>45326</v>
      </c>
    </row>
    <row r="12" spans="1:9" x14ac:dyDescent="0.3">
      <c r="A12" s="6"/>
      <c r="B12" s="6"/>
      <c r="C12" s="6"/>
      <c r="D12" s="51"/>
      <c r="E12" s="51"/>
      <c r="F12" s="51"/>
      <c r="G12" s="52"/>
    </row>
    <row r="13" spans="1:9" ht="21" x14ac:dyDescent="0.3">
      <c r="A13" s="10">
        <f t="array" aca="1" ref="A13:B13" ca="1">Días+36+DATE(Calendario1Año,Calendario1MesOpción,1)-WEEKDAY(DATE(Calendario1Año,Calendario1MesOpción,1),DíaDeLaSemanaOpción)</f>
        <v>45327</v>
      </c>
      <c r="B13" s="10">
        <f ca="1"/>
        <v>45328</v>
      </c>
      <c r="C13" s="62" t="s">
        <v>1</v>
      </c>
      <c r="D13" s="62"/>
      <c r="E13" s="62"/>
      <c r="F13" s="62"/>
      <c r="G13" s="62"/>
    </row>
    <row r="14" spans="1:9" x14ac:dyDescent="0.3">
      <c r="A14" s="51"/>
      <c r="B14" s="51"/>
      <c r="C14" s="68"/>
      <c r="D14" s="68"/>
      <c r="E14" s="68"/>
      <c r="F14" s="68"/>
      <c r="G14" s="68"/>
    </row>
    <row r="15" spans="1:9" ht="46.5" x14ac:dyDescent="0.7">
      <c r="A15" s="1">
        <f ca="1">YEAR(DATE(Calendario1Año,Calendario1MesOpción+1,1))</f>
        <v>2024</v>
      </c>
      <c r="B15" s="17" t="str">
        <f ca="1">TEXT(DATE(Calendario1Año,Calendario1MesOpción+1,1),"mmmm")</f>
        <v>febrero</v>
      </c>
      <c r="C15" s="13"/>
      <c r="D15" s="65" t="s">
        <v>179</v>
      </c>
      <c r="E15" s="65"/>
      <c r="F15" s="65"/>
      <c r="G15" s="19" t="s">
        <v>180</v>
      </c>
      <c r="I15" s="20"/>
    </row>
    <row r="16" spans="1:9" x14ac:dyDescent="0.3">
      <c r="A16" s="4" t="str">
        <f ca="1">UPPER(TEXT(A17,"dddd"))</f>
        <v>LUNES</v>
      </c>
      <c r="B16" s="5" t="str">
        <f t="shared" ref="B16:G16" ca="1" si="1">UPPER(TEXT(B17,"dddd"))</f>
        <v>MARTES</v>
      </c>
      <c r="C16" s="4" t="str">
        <f t="shared" ca="1" si="1"/>
        <v>MIÉRCOLES</v>
      </c>
      <c r="D16" s="5" t="str">
        <f t="shared" ca="1" si="1"/>
        <v>JUEVES</v>
      </c>
      <c r="E16" s="4" t="str">
        <f t="shared" ca="1" si="1"/>
        <v>VIERNES</v>
      </c>
      <c r="F16" s="5" t="str">
        <f t="shared" ca="1" si="1"/>
        <v>SÁBADO</v>
      </c>
      <c r="G16" s="4" t="str">
        <f t="shared" ca="1" si="1"/>
        <v>DOMINGO</v>
      </c>
    </row>
    <row r="17" spans="1:7" ht="21" x14ac:dyDescent="0.3">
      <c r="A17" s="10">
        <f t="array" aca="1" ref="A17:G17" ca="1">Días+1+DATE(Calendario2Año,Calendario2MesOpción,1)-WEEKDAY(DATE(Calendario2Año,Calendario2MesOpción,1),DíaDeLaSemanaOpción)</f>
        <v>45320</v>
      </c>
      <c r="B17" s="10">
        <f ca="1"/>
        <v>45321</v>
      </c>
      <c r="C17" s="10">
        <f ca="1"/>
        <v>45322</v>
      </c>
      <c r="D17" s="10">
        <f ca="1"/>
        <v>45323</v>
      </c>
      <c r="E17" s="10">
        <f ca="1"/>
        <v>45324</v>
      </c>
      <c r="F17" s="10">
        <f ca="1"/>
        <v>45325</v>
      </c>
      <c r="G17" s="11">
        <f ca="1"/>
        <v>45326</v>
      </c>
    </row>
    <row r="18" spans="1:7" x14ac:dyDescent="0.3">
      <c r="A18" s="51"/>
      <c r="B18" s="51"/>
      <c r="C18" s="51"/>
      <c r="D18" s="6"/>
      <c r="E18" s="6"/>
      <c r="F18" s="6"/>
      <c r="G18" s="7"/>
    </row>
    <row r="19" spans="1:7" ht="21" x14ac:dyDescent="0.3">
      <c r="A19" s="10">
        <f t="array" aca="1" ref="A19:G19" ca="1">Días+8+DATE(Calendario2Año,Calendario2MesOpción,1)-WEEKDAY(DATE(Calendario2Año,Calendario2MesOpción,1),DíaDeLaSemanaOpción)</f>
        <v>45327</v>
      </c>
      <c r="B19" s="10">
        <f ca="1"/>
        <v>45328</v>
      </c>
      <c r="C19" s="10">
        <f ca="1"/>
        <v>45329</v>
      </c>
      <c r="D19" s="10">
        <f ca="1"/>
        <v>45330</v>
      </c>
      <c r="E19" s="10">
        <f ca="1"/>
        <v>45331</v>
      </c>
      <c r="F19" s="10">
        <f ca="1"/>
        <v>45332</v>
      </c>
      <c r="G19" s="11">
        <f ca="1"/>
        <v>45333</v>
      </c>
    </row>
    <row r="20" spans="1:7" x14ac:dyDescent="0.3">
      <c r="A20" s="24"/>
      <c r="D20" s="6"/>
      <c r="E20" s="6"/>
      <c r="F20" s="6"/>
      <c r="G20" s="7"/>
    </row>
    <row r="21" spans="1:7" ht="21" x14ac:dyDescent="0.3">
      <c r="A21" s="10">
        <f t="array" aca="1" ref="A21:G21" ca="1">Días+15+DATE(Calendario2Año,Calendario2MesOpción,1)-WEEKDAY(DATE(Calendario2Año,Calendario2MesOpción,1),DíaDeLaSemanaOpción)</f>
        <v>45334</v>
      </c>
      <c r="B21" s="10">
        <f ca="1"/>
        <v>45335</v>
      </c>
      <c r="C21" s="10">
        <f ca="1"/>
        <v>45336</v>
      </c>
      <c r="D21" s="10">
        <f ca="1"/>
        <v>45337</v>
      </c>
      <c r="E21" s="10">
        <f ca="1"/>
        <v>45338</v>
      </c>
      <c r="F21" s="10">
        <f ca="1"/>
        <v>45339</v>
      </c>
      <c r="G21" s="11">
        <f ca="1"/>
        <v>45340</v>
      </c>
    </row>
    <row r="22" spans="1:7" x14ac:dyDescent="0.3">
      <c r="A22" s="6"/>
      <c r="B22" s="6"/>
      <c r="C22" s="6"/>
      <c r="D22" s="6"/>
      <c r="E22" s="6"/>
      <c r="F22" s="6"/>
      <c r="G22" s="7"/>
    </row>
    <row r="23" spans="1:7" ht="21" x14ac:dyDescent="0.3">
      <c r="A23" s="10">
        <f t="array" aca="1" ref="A23:G23" ca="1">Días+22+DATE(Calendario2Año,Calendario2MesOpción,1)-WEEKDAY(DATE(Calendario2Año,Calendario2MesOpción,1),DíaDeLaSemanaOpción)</f>
        <v>45341</v>
      </c>
      <c r="B23" s="10">
        <f ca="1"/>
        <v>45342</v>
      </c>
      <c r="C23" s="10">
        <f ca="1"/>
        <v>45343</v>
      </c>
      <c r="D23" s="10">
        <f ca="1"/>
        <v>45344</v>
      </c>
      <c r="E23" s="10">
        <f ca="1"/>
        <v>45345</v>
      </c>
      <c r="F23" s="10">
        <f ca="1"/>
        <v>45346</v>
      </c>
      <c r="G23" s="11">
        <f ca="1"/>
        <v>45347</v>
      </c>
    </row>
    <row r="24" spans="1:7" x14ac:dyDescent="0.3">
      <c r="A24" s="6"/>
      <c r="B24" s="6"/>
      <c r="C24" s="6"/>
      <c r="D24" s="6"/>
      <c r="E24" s="6"/>
      <c r="F24" s="6"/>
      <c r="G24" s="7"/>
    </row>
    <row r="25" spans="1:7" ht="21" x14ac:dyDescent="0.3">
      <c r="A25" s="10">
        <f t="array" aca="1" ref="A25:G25" ca="1">Días+29+DATE(Calendario2Año,Calendario2MesOpción,1)-WEEKDAY(DATE(Calendario2Año,Calendario2MesOpción,1),DíaDeLaSemanaOpción)</f>
        <v>45348</v>
      </c>
      <c r="B25" s="10">
        <f ca="1"/>
        <v>45349</v>
      </c>
      <c r="C25" s="10">
        <f ca="1"/>
        <v>45350</v>
      </c>
      <c r="D25" s="10">
        <f ca="1"/>
        <v>45351</v>
      </c>
      <c r="E25" s="10">
        <f ca="1"/>
        <v>45352</v>
      </c>
      <c r="F25" s="10">
        <f ca="1"/>
        <v>45353</v>
      </c>
      <c r="G25" s="11">
        <f ca="1"/>
        <v>45354</v>
      </c>
    </row>
    <row r="26" spans="1:7" x14ac:dyDescent="0.3">
      <c r="A26" s="6"/>
      <c r="B26" s="6"/>
      <c r="C26" s="6"/>
      <c r="D26" s="6"/>
      <c r="E26" s="6"/>
      <c r="F26" s="6"/>
      <c r="G26" s="8"/>
    </row>
    <row r="27" spans="1:7" ht="21" x14ac:dyDescent="0.3">
      <c r="A27" s="10">
        <f t="array" aca="1" ref="A27:B27" ca="1">Días+36+DATE(Calendario2Año,Calendario2MesOpción,1)-WEEKDAY(DATE(Calendario2Año,Calendario2MesOpción,1),DíaDeLaSemanaOpción)</f>
        <v>45355</v>
      </c>
      <c r="B27" s="10">
        <f ca="1"/>
        <v>45356</v>
      </c>
      <c r="C27" s="62" t="s">
        <v>1</v>
      </c>
      <c r="D27" s="62"/>
      <c r="E27" s="62"/>
      <c r="F27" s="62"/>
      <c r="G27" s="62"/>
    </row>
    <row r="28" spans="1:7" x14ac:dyDescent="0.3">
      <c r="A28" s="6"/>
      <c r="B28" s="6"/>
      <c r="C28" s="63"/>
      <c r="D28" s="63"/>
      <c r="E28" s="63"/>
      <c r="F28" s="63"/>
      <c r="G28" s="63"/>
    </row>
    <row r="29" spans="1:7" ht="46.5" x14ac:dyDescent="0.7">
      <c r="A29" s="1">
        <f ca="1">YEAR(DATE(Calendario2Año,Calendario2MesOpción+1,1))</f>
        <v>2024</v>
      </c>
      <c r="B29" s="64" t="str">
        <f ca="1">TEXT(DATE(Calendario2Año,Calendario2MesOpción+1,1),"mmmm")</f>
        <v>marzo</v>
      </c>
      <c r="C29" s="64"/>
      <c r="D29" s="64"/>
      <c r="E29" s="2"/>
      <c r="F29" s="2"/>
      <c r="G29" s="2"/>
    </row>
    <row r="30" spans="1:7" x14ac:dyDescent="0.3">
      <c r="A30" s="4" t="str">
        <f ca="1">UPPER(TEXT(A31,"dddd"))</f>
        <v>LUNES</v>
      </c>
      <c r="B30" s="5" t="str">
        <f t="shared" ref="B30:G30" ca="1" si="2">UPPER(TEXT(B31,"dddd"))</f>
        <v>MARTES</v>
      </c>
      <c r="C30" s="4" t="str">
        <f t="shared" ca="1" si="2"/>
        <v>MIÉRCOLES</v>
      </c>
      <c r="D30" s="5" t="str">
        <f t="shared" ca="1" si="2"/>
        <v>JUEVES</v>
      </c>
      <c r="E30" s="4" t="str">
        <f t="shared" ca="1" si="2"/>
        <v>VIERNES</v>
      </c>
      <c r="F30" s="5" t="str">
        <f t="shared" ca="1" si="2"/>
        <v>SÁBADO</v>
      </c>
      <c r="G30" s="4" t="str">
        <f t="shared" ca="1" si="2"/>
        <v>DOMINGO</v>
      </c>
    </row>
    <row r="31" spans="1:7" ht="21" x14ac:dyDescent="0.3">
      <c r="A31" s="10">
        <f t="array" aca="1" ref="A31:G31" ca="1">Días+1+DATE(Calendario3Año,Calendario3MesOpción,1)-WEEKDAY(DATE(Calendario3Año,Calendario3MesOpción,1),DíaDeLaSemanaOpción)</f>
        <v>45348</v>
      </c>
      <c r="B31" s="10">
        <f ca="1"/>
        <v>45349</v>
      </c>
      <c r="C31" s="10">
        <f ca="1"/>
        <v>45350</v>
      </c>
      <c r="D31" s="10">
        <f ca="1"/>
        <v>45351</v>
      </c>
      <c r="E31" s="10">
        <f ca="1"/>
        <v>45352</v>
      </c>
      <c r="F31" s="10">
        <f ca="1"/>
        <v>45353</v>
      </c>
      <c r="G31" s="11">
        <f ca="1"/>
        <v>45354</v>
      </c>
    </row>
    <row r="32" spans="1:7" x14ac:dyDescent="0.3">
      <c r="A32" s="6"/>
      <c r="B32" s="6"/>
      <c r="C32" s="6"/>
      <c r="D32" s="6"/>
      <c r="E32" s="6"/>
      <c r="F32" s="6"/>
      <c r="G32" s="7"/>
    </row>
    <row r="33" spans="1:7" ht="21" x14ac:dyDescent="0.3">
      <c r="A33" s="10">
        <f t="array" aca="1" ref="A33:G33" ca="1">Días+8+DATE(Calendario3Año,Calendario3MesOpción,1)-WEEKDAY(DATE(Calendario3Año,Calendario3MesOpción,1),DíaDeLaSemanaOpción)</f>
        <v>45355</v>
      </c>
      <c r="B33" s="10">
        <f ca="1"/>
        <v>45356</v>
      </c>
      <c r="C33" s="10">
        <f ca="1"/>
        <v>45357</v>
      </c>
      <c r="D33" s="10">
        <f ca="1"/>
        <v>45358</v>
      </c>
      <c r="E33" s="10">
        <f ca="1"/>
        <v>45359</v>
      </c>
      <c r="F33" s="10">
        <f ca="1"/>
        <v>45360</v>
      </c>
      <c r="G33" s="11">
        <f ca="1"/>
        <v>45361</v>
      </c>
    </row>
    <row r="34" spans="1:7" x14ac:dyDescent="0.3">
      <c r="A34" s="6"/>
      <c r="B34" s="6"/>
      <c r="C34" s="6"/>
      <c r="D34" s="6"/>
      <c r="E34" s="6"/>
      <c r="F34" s="6"/>
      <c r="G34" s="7"/>
    </row>
    <row r="35" spans="1:7" ht="21" x14ac:dyDescent="0.3">
      <c r="A35" s="10">
        <f t="array" aca="1" ref="A35:G35" ca="1">Días+15+DATE(Calendario3Año,Calendario3MesOpción,1)-WEEKDAY(DATE(Calendario3Año,Calendario3MesOpción,1),DíaDeLaSemanaOpción)</f>
        <v>45362</v>
      </c>
      <c r="B35" s="10">
        <f ca="1"/>
        <v>45363</v>
      </c>
      <c r="C35" s="10">
        <f ca="1"/>
        <v>45364</v>
      </c>
      <c r="D35" s="10">
        <f ca="1"/>
        <v>45365</v>
      </c>
      <c r="E35" s="10">
        <f ca="1"/>
        <v>45366</v>
      </c>
      <c r="F35" s="10">
        <f ca="1"/>
        <v>45367</v>
      </c>
      <c r="G35" s="11">
        <f ca="1"/>
        <v>45368</v>
      </c>
    </row>
    <row r="36" spans="1:7" x14ac:dyDescent="0.3">
      <c r="A36" s="6"/>
      <c r="B36" s="6"/>
      <c r="C36" s="6"/>
      <c r="D36" s="6"/>
      <c r="E36" s="6"/>
      <c r="F36" s="6"/>
      <c r="G36" s="7"/>
    </row>
    <row r="37" spans="1:7" ht="21" x14ac:dyDescent="0.3">
      <c r="A37" s="10">
        <f t="array" aca="1" ref="A37:G37" ca="1">Días+22+DATE(Calendario3Año,Calendario3MesOpción,1)-WEEKDAY(DATE(Calendario3Año,Calendario3MesOpción,1),DíaDeLaSemanaOpción)</f>
        <v>45369</v>
      </c>
      <c r="B37" s="10">
        <f ca="1"/>
        <v>45370</v>
      </c>
      <c r="C37" s="10">
        <f ca="1"/>
        <v>45371</v>
      </c>
      <c r="D37" s="10">
        <f ca="1"/>
        <v>45372</v>
      </c>
      <c r="E37" s="10">
        <f ca="1"/>
        <v>45373</v>
      </c>
      <c r="F37" s="10">
        <f ca="1"/>
        <v>45374</v>
      </c>
      <c r="G37" s="11">
        <f ca="1"/>
        <v>45375</v>
      </c>
    </row>
    <row r="38" spans="1:7" x14ac:dyDescent="0.3">
      <c r="A38" s="6"/>
      <c r="B38" s="6"/>
      <c r="C38" s="6"/>
      <c r="D38" s="6"/>
      <c r="E38" s="6"/>
      <c r="F38" s="6"/>
      <c r="G38" s="7"/>
    </row>
    <row r="39" spans="1:7" ht="21" x14ac:dyDescent="0.3">
      <c r="A39" s="10">
        <f t="array" aca="1" ref="A39:G39" ca="1">Días+29+DATE(Calendario3Año,Calendario3MesOpción,1)-WEEKDAY(DATE(Calendario3Año,Calendario3MesOpción,1),DíaDeLaSemanaOpción)</f>
        <v>45376</v>
      </c>
      <c r="B39" s="10">
        <f ca="1"/>
        <v>45377</v>
      </c>
      <c r="C39" s="10">
        <f ca="1"/>
        <v>45378</v>
      </c>
      <c r="D39" s="10">
        <f ca="1"/>
        <v>45379</v>
      </c>
      <c r="E39" s="10">
        <f ca="1"/>
        <v>45380</v>
      </c>
      <c r="F39" s="10">
        <f ca="1"/>
        <v>45381</v>
      </c>
      <c r="G39" s="11">
        <f ca="1"/>
        <v>45382</v>
      </c>
    </row>
    <row r="40" spans="1:7" x14ac:dyDescent="0.3">
      <c r="A40" s="6"/>
      <c r="B40" s="6"/>
      <c r="C40" s="6"/>
      <c r="D40" s="6"/>
      <c r="E40" s="6"/>
      <c r="F40" s="6"/>
      <c r="G40" s="8"/>
    </row>
    <row r="41" spans="1:7" ht="21" x14ac:dyDescent="0.3">
      <c r="A41" s="10">
        <f t="array" aca="1" ref="A41:B41" ca="1">Días+36+DATE(Calendario3Año,Calendario3MesOpción,1)-WEEKDAY(DATE(Calendario3Año,Calendario3MesOpción,1),DíaDeLaSemanaOpción)</f>
        <v>45383</v>
      </c>
      <c r="B41" s="10">
        <f ca="1"/>
        <v>45384</v>
      </c>
      <c r="C41" s="62" t="s">
        <v>1</v>
      </c>
      <c r="D41" s="62"/>
      <c r="E41" s="62"/>
      <c r="F41" s="62"/>
      <c r="G41" s="62"/>
    </row>
    <row r="42" spans="1:7" x14ac:dyDescent="0.3">
      <c r="A42" s="6"/>
      <c r="B42" s="6"/>
      <c r="C42" s="63"/>
      <c r="D42" s="63"/>
      <c r="E42" s="63"/>
      <c r="F42" s="63"/>
      <c r="G42" s="63"/>
    </row>
    <row r="43" spans="1:7" ht="46.5" x14ac:dyDescent="0.7">
      <c r="A43" s="1">
        <f ca="1">YEAR(DATE(Calendario3Año,Calendario3MesOpción+1,1))</f>
        <v>2024</v>
      </c>
      <c r="B43" s="64" t="str">
        <f ca="1">TEXT(DATE(Calendario3Año,Calendario3MesOpción+1,1),"mmmm")</f>
        <v>abril</v>
      </c>
      <c r="C43" s="64"/>
      <c r="D43" s="64"/>
      <c r="E43" s="2"/>
      <c r="F43" s="2"/>
      <c r="G43" s="2"/>
    </row>
    <row r="44" spans="1:7" x14ac:dyDescent="0.3">
      <c r="A44" s="4" t="str">
        <f ca="1">UPPER(TEXT(A45,"dddd"))</f>
        <v>LUNES</v>
      </c>
      <c r="B44" s="5" t="str">
        <f t="shared" ref="B44:G44" ca="1" si="3">UPPER(TEXT(B45,"dddd"))</f>
        <v>MARTES</v>
      </c>
      <c r="C44" s="4" t="str">
        <f t="shared" ca="1" si="3"/>
        <v>MIÉRCOLES</v>
      </c>
      <c r="D44" s="5" t="str">
        <f t="shared" ca="1" si="3"/>
        <v>JUEVES</v>
      </c>
      <c r="E44" s="4" t="str">
        <f t="shared" ca="1" si="3"/>
        <v>VIERNES</v>
      </c>
      <c r="F44" s="5" t="str">
        <f t="shared" ca="1" si="3"/>
        <v>SÁBADO</v>
      </c>
      <c r="G44" s="4" t="str">
        <f t="shared" ca="1" si="3"/>
        <v>DOMINGO</v>
      </c>
    </row>
    <row r="45" spans="1:7" ht="21" x14ac:dyDescent="0.3">
      <c r="A45" s="10">
        <f t="array" aca="1" ref="A45:G45" ca="1">Días+1+DATE(Calendario4Año,Calendario4MesOpción,1)-WEEKDAY(DATE(Calendario4Año,Calendario4MesOpción,1),DíaDeLaSemanaOpción)</f>
        <v>45383</v>
      </c>
      <c r="B45" s="10">
        <f ca="1"/>
        <v>45384</v>
      </c>
      <c r="C45" s="10">
        <f ca="1"/>
        <v>45385</v>
      </c>
      <c r="D45" s="10">
        <f ca="1"/>
        <v>45386</v>
      </c>
      <c r="E45" s="10">
        <f ca="1"/>
        <v>45387</v>
      </c>
      <c r="F45" s="10">
        <f ca="1"/>
        <v>45388</v>
      </c>
      <c r="G45" s="11">
        <f ca="1"/>
        <v>45389</v>
      </c>
    </row>
    <row r="46" spans="1:7" x14ac:dyDescent="0.3">
      <c r="A46" s="6"/>
      <c r="B46" s="6"/>
      <c r="C46" s="6"/>
      <c r="D46" s="6"/>
      <c r="E46" s="6"/>
      <c r="F46" s="6"/>
      <c r="G46" s="7"/>
    </row>
    <row r="47" spans="1:7" ht="21" x14ac:dyDescent="0.3">
      <c r="A47" s="10">
        <f t="array" aca="1" ref="A47:G47" ca="1">Días+8+DATE(Calendario4Año,Calendario4MesOpción,1)-WEEKDAY(DATE(Calendario4Año,Calendario4MesOpción,1),DíaDeLaSemanaOpción)</f>
        <v>45390</v>
      </c>
      <c r="B47" s="10">
        <f ca="1"/>
        <v>45391</v>
      </c>
      <c r="C47" s="10">
        <f ca="1"/>
        <v>45392</v>
      </c>
      <c r="D47" s="10">
        <f ca="1"/>
        <v>45393</v>
      </c>
      <c r="E47" s="10">
        <f ca="1"/>
        <v>45394</v>
      </c>
      <c r="F47" s="10">
        <f ca="1"/>
        <v>45395</v>
      </c>
      <c r="G47" s="11">
        <f ca="1"/>
        <v>45396</v>
      </c>
    </row>
    <row r="48" spans="1:7" x14ac:dyDescent="0.3">
      <c r="A48" s="6"/>
      <c r="B48" s="6"/>
      <c r="C48" s="6"/>
      <c r="D48" s="6"/>
      <c r="E48" s="6"/>
      <c r="F48" s="6"/>
      <c r="G48" s="7"/>
    </row>
    <row r="49" spans="1:7" ht="21" x14ac:dyDescent="0.3">
      <c r="A49" s="10">
        <f t="array" aca="1" ref="A49:G49" ca="1">Días+15+DATE(Calendario4Año,Calendario4MesOpción,1)-WEEKDAY(DATE(Calendario4Año,Calendario4MesOpción,1),DíaDeLaSemanaOpción)</f>
        <v>45397</v>
      </c>
      <c r="B49" s="10">
        <f ca="1"/>
        <v>45398</v>
      </c>
      <c r="C49" s="10">
        <f ca="1"/>
        <v>45399</v>
      </c>
      <c r="D49" s="10">
        <f ca="1"/>
        <v>45400</v>
      </c>
      <c r="E49" s="10">
        <f ca="1"/>
        <v>45401</v>
      </c>
      <c r="F49" s="10">
        <f ca="1"/>
        <v>45402</v>
      </c>
      <c r="G49" s="11">
        <f ca="1"/>
        <v>45403</v>
      </c>
    </row>
    <row r="50" spans="1:7" x14ac:dyDescent="0.3">
      <c r="A50" s="6"/>
      <c r="B50" s="6"/>
      <c r="C50" s="6"/>
      <c r="D50" s="6"/>
      <c r="E50" s="6"/>
      <c r="F50" s="6"/>
      <c r="G50" s="7"/>
    </row>
    <row r="51" spans="1:7" ht="21" x14ac:dyDescent="0.3">
      <c r="A51" s="10">
        <f t="array" aca="1" ref="A51:G51" ca="1">Días+22+DATE(Calendario4Año,Calendario4MesOpción,1)-WEEKDAY(DATE(Calendario4Año,Calendario4MesOpción,1),DíaDeLaSemanaOpción)</f>
        <v>45404</v>
      </c>
      <c r="B51" s="10">
        <f ca="1"/>
        <v>45405</v>
      </c>
      <c r="C51" s="10">
        <f ca="1"/>
        <v>45406</v>
      </c>
      <c r="D51" s="10">
        <f ca="1"/>
        <v>45407</v>
      </c>
      <c r="E51" s="10">
        <f ca="1"/>
        <v>45408</v>
      </c>
      <c r="F51" s="10">
        <f ca="1"/>
        <v>45409</v>
      </c>
      <c r="G51" s="11">
        <f ca="1"/>
        <v>45410</v>
      </c>
    </row>
    <row r="52" spans="1:7" x14ac:dyDescent="0.3">
      <c r="A52" s="6"/>
      <c r="B52" s="6"/>
      <c r="C52" s="6"/>
      <c r="D52" s="6"/>
      <c r="E52" s="6"/>
      <c r="F52" s="6"/>
      <c r="G52" s="7"/>
    </row>
    <row r="53" spans="1:7" ht="21" x14ac:dyDescent="0.3">
      <c r="A53" s="10">
        <f t="array" aca="1" ref="A53:G53" ca="1">Días+29+DATE(Calendario4Año,Calendario4MesOpción,1)-WEEKDAY(DATE(Calendario4Año,Calendario4MesOpción,1),DíaDeLaSemanaOpción)</f>
        <v>45411</v>
      </c>
      <c r="B53" s="10">
        <f ca="1"/>
        <v>45412</v>
      </c>
      <c r="C53" s="10">
        <f ca="1"/>
        <v>45413</v>
      </c>
      <c r="D53" s="10">
        <f ca="1"/>
        <v>45414</v>
      </c>
      <c r="E53" s="10">
        <f ca="1"/>
        <v>45415</v>
      </c>
      <c r="F53" s="10">
        <f ca="1"/>
        <v>45416</v>
      </c>
      <c r="G53" s="11">
        <f ca="1"/>
        <v>45417</v>
      </c>
    </row>
    <row r="54" spans="1:7" x14ac:dyDescent="0.3">
      <c r="A54" s="6"/>
      <c r="B54" s="6"/>
      <c r="C54" s="6"/>
      <c r="D54" s="6"/>
      <c r="E54" s="6"/>
      <c r="F54" s="6"/>
      <c r="G54" s="8"/>
    </row>
    <row r="55" spans="1:7" ht="21" x14ac:dyDescent="0.3">
      <c r="A55" s="10">
        <f t="array" aca="1" ref="A55:B55" ca="1">Días+36+DATE(Calendario4Año,Calendario4MesOpción,1)-WEEKDAY(DATE(Calendario4Año,Calendario4MesOpción,1),DíaDeLaSemanaOpción)</f>
        <v>45418</v>
      </c>
      <c r="B55" s="10">
        <f ca="1"/>
        <v>45419</v>
      </c>
      <c r="C55" s="61" t="s">
        <v>1</v>
      </c>
      <c r="D55" s="62"/>
      <c r="E55" s="62"/>
      <c r="F55" s="62"/>
      <c r="G55" s="62"/>
    </row>
    <row r="56" spans="1:7" x14ac:dyDescent="0.3">
      <c r="A56" s="6"/>
      <c r="B56" s="6"/>
      <c r="C56" s="63"/>
      <c r="D56" s="63"/>
      <c r="E56" s="63"/>
      <c r="F56" s="63"/>
      <c r="G56" s="63"/>
    </row>
    <row r="57" spans="1:7" ht="46.5" x14ac:dyDescent="0.7">
      <c r="A57" s="1">
        <f ca="1">YEAR(DATE(Calendario4Año,Calendario4MesOpción+1,1))</f>
        <v>2024</v>
      </c>
      <c r="B57" s="64" t="str">
        <f ca="1">TEXT(DATE(Calendario4Año,Calendario4MesOpción+1,1),"mmmm")</f>
        <v>mayo</v>
      </c>
      <c r="C57" s="64"/>
      <c r="D57" s="64"/>
      <c r="E57" s="2"/>
      <c r="F57" s="2"/>
      <c r="G57" s="2"/>
    </row>
    <row r="58" spans="1:7" x14ac:dyDescent="0.3">
      <c r="A58" s="4" t="str">
        <f ca="1">UPPER(TEXT(A59,"dddd"))</f>
        <v>LUNES</v>
      </c>
      <c r="B58" s="5" t="str">
        <f t="shared" ref="B58:G58" ca="1" si="4">UPPER(TEXT(B59,"dddd"))</f>
        <v>MARTES</v>
      </c>
      <c r="C58" s="4" t="str">
        <f t="shared" ca="1" si="4"/>
        <v>MIÉRCOLES</v>
      </c>
      <c r="D58" s="5" t="str">
        <f t="shared" ca="1" si="4"/>
        <v>JUEVES</v>
      </c>
      <c r="E58" s="4" t="str">
        <f t="shared" ca="1" si="4"/>
        <v>VIERNES</v>
      </c>
      <c r="F58" s="5" t="str">
        <f t="shared" ca="1" si="4"/>
        <v>SÁBADO</v>
      </c>
      <c r="G58" s="4" t="str">
        <f t="shared" ca="1" si="4"/>
        <v>DOMINGO</v>
      </c>
    </row>
    <row r="59" spans="1:7" ht="21" x14ac:dyDescent="0.3">
      <c r="A59" s="10">
        <f t="array" aca="1" ref="A59:G59" ca="1">Días+1+DATE(Calendario5Año,Calendario5MesOpción,1)-WEEKDAY(DATE(Calendario5Año,Calendario5MesOpción,1),DíaDeLaSemanaOpción)</f>
        <v>45411</v>
      </c>
      <c r="B59" s="10">
        <f ca="1"/>
        <v>45412</v>
      </c>
      <c r="C59" s="10">
        <f ca="1"/>
        <v>45413</v>
      </c>
      <c r="D59" s="10">
        <f ca="1"/>
        <v>45414</v>
      </c>
      <c r="E59" s="10">
        <f ca="1"/>
        <v>45415</v>
      </c>
      <c r="F59" s="10">
        <f ca="1"/>
        <v>45416</v>
      </c>
      <c r="G59" s="11">
        <f ca="1"/>
        <v>45417</v>
      </c>
    </row>
    <row r="60" spans="1:7" x14ac:dyDescent="0.3">
      <c r="A60" s="6"/>
      <c r="B60" s="6"/>
      <c r="C60" s="6"/>
      <c r="D60" s="6"/>
      <c r="E60" s="6"/>
      <c r="F60" s="6"/>
      <c r="G60" s="7"/>
    </row>
    <row r="61" spans="1:7" ht="21" x14ac:dyDescent="0.3">
      <c r="A61" s="10">
        <f t="array" aca="1" ref="A61:G61" ca="1">Días+8+DATE(Calendario5Año,Calendario5MesOpción,1)-WEEKDAY(DATE(Calendario5Año,Calendario5MesOpción,1),DíaDeLaSemanaOpción)</f>
        <v>45418</v>
      </c>
      <c r="B61" s="10">
        <f ca="1"/>
        <v>45419</v>
      </c>
      <c r="C61" s="10">
        <f ca="1"/>
        <v>45420</v>
      </c>
      <c r="D61" s="10">
        <f ca="1"/>
        <v>45421</v>
      </c>
      <c r="E61" s="10">
        <f ca="1"/>
        <v>45422</v>
      </c>
      <c r="F61" s="10">
        <f ca="1"/>
        <v>45423</v>
      </c>
      <c r="G61" s="11">
        <f ca="1"/>
        <v>45424</v>
      </c>
    </row>
    <row r="62" spans="1:7" x14ac:dyDescent="0.3">
      <c r="A62" s="6"/>
      <c r="B62" s="6"/>
      <c r="C62" s="6"/>
      <c r="D62" s="6"/>
      <c r="E62" s="6"/>
      <c r="F62" s="6"/>
      <c r="G62" s="7"/>
    </row>
    <row r="63" spans="1:7" ht="21" x14ac:dyDescent="0.3">
      <c r="A63" s="10">
        <f t="array" aca="1" ref="A63:G63" ca="1">Días+15+DATE(Calendario5Año,Calendario5MesOpción,1)-WEEKDAY(DATE(Calendario5Año,Calendario5MesOpción,1),DíaDeLaSemanaOpción)</f>
        <v>45425</v>
      </c>
      <c r="B63" s="10">
        <f ca="1"/>
        <v>45426</v>
      </c>
      <c r="C63" s="10">
        <f ca="1"/>
        <v>45427</v>
      </c>
      <c r="D63" s="10">
        <f ca="1"/>
        <v>45428</v>
      </c>
      <c r="E63" s="10">
        <f ca="1"/>
        <v>45429</v>
      </c>
      <c r="F63" s="10">
        <f ca="1"/>
        <v>45430</v>
      </c>
      <c r="G63" s="11">
        <f ca="1"/>
        <v>45431</v>
      </c>
    </row>
    <row r="64" spans="1:7" x14ac:dyDescent="0.3">
      <c r="A64" s="6"/>
      <c r="B64" s="6"/>
      <c r="C64" s="6"/>
      <c r="D64" s="6"/>
      <c r="E64" s="6"/>
      <c r="F64" s="6"/>
      <c r="G64" s="7"/>
    </row>
    <row r="65" spans="1:7" ht="21" x14ac:dyDescent="0.3">
      <c r="A65" s="10">
        <f t="array" aca="1" ref="A65:G65" ca="1">Días+22+DATE(Calendario5Año,Calendario5MesOpción,1)-WEEKDAY(DATE(Calendario5Año,Calendario5MesOpción,1),DíaDeLaSemanaOpción)</f>
        <v>45432</v>
      </c>
      <c r="B65" s="10">
        <f ca="1"/>
        <v>45433</v>
      </c>
      <c r="C65" s="10">
        <f ca="1"/>
        <v>45434</v>
      </c>
      <c r="D65" s="10">
        <f ca="1"/>
        <v>45435</v>
      </c>
      <c r="E65" s="10">
        <f ca="1"/>
        <v>45436</v>
      </c>
      <c r="F65" s="10">
        <f ca="1"/>
        <v>45437</v>
      </c>
      <c r="G65" s="11">
        <f ca="1"/>
        <v>45438</v>
      </c>
    </row>
    <row r="66" spans="1:7" x14ac:dyDescent="0.3">
      <c r="A66" s="6"/>
      <c r="B66" s="6"/>
      <c r="C66" s="6"/>
      <c r="D66" s="6"/>
      <c r="E66" s="6"/>
      <c r="F66" s="6"/>
      <c r="G66" s="7"/>
    </row>
    <row r="67" spans="1:7" ht="21" x14ac:dyDescent="0.3">
      <c r="A67" s="10">
        <f t="array" aca="1" ref="A67:G67" ca="1">Días+29+DATE(Calendario5Año,Calendario5MesOpción,1)-WEEKDAY(DATE(Calendario5Año,Calendario5MesOpción,1),DíaDeLaSemanaOpción)</f>
        <v>45439</v>
      </c>
      <c r="B67" s="10">
        <f ca="1"/>
        <v>45440</v>
      </c>
      <c r="C67" s="10">
        <f ca="1"/>
        <v>45441</v>
      </c>
      <c r="D67" s="10">
        <f ca="1"/>
        <v>45442</v>
      </c>
      <c r="E67" s="10">
        <f ca="1"/>
        <v>45443</v>
      </c>
      <c r="F67" s="10">
        <f ca="1"/>
        <v>45444</v>
      </c>
      <c r="G67" s="11">
        <f ca="1"/>
        <v>45445</v>
      </c>
    </row>
    <row r="68" spans="1:7" x14ac:dyDescent="0.3">
      <c r="A68" s="6"/>
      <c r="B68" s="6"/>
      <c r="C68" s="6"/>
      <c r="D68" s="6"/>
      <c r="E68" s="6"/>
      <c r="F68" s="6"/>
      <c r="G68" s="8"/>
    </row>
    <row r="69" spans="1:7" ht="21" x14ac:dyDescent="0.3">
      <c r="A69" s="10">
        <f t="array" aca="1" ref="A69:B69" ca="1">Días+36+DATE(Calendario5Año,Calendario5MesOpción,1)-WEEKDAY(DATE(Calendario5Año,Calendario5MesOpción,1),DíaDeLaSemanaOpción)</f>
        <v>45446</v>
      </c>
      <c r="B69" s="10">
        <f ca="1"/>
        <v>45447</v>
      </c>
      <c r="C69" s="61" t="s">
        <v>1</v>
      </c>
      <c r="D69" s="62"/>
      <c r="E69" s="62"/>
      <c r="F69" s="62"/>
      <c r="G69" s="62"/>
    </row>
    <row r="70" spans="1:7" x14ac:dyDescent="0.3">
      <c r="A70" s="6"/>
      <c r="B70" s="6"/>
      <c r="C70" s="63"/>
      <c r="D70" s="63"/>
      <c r="E70" s="63"/>
      <c r="F70" s="63"/>
      <c r="G70" s="63"/>
    </row>
    <row r="71" spans="1:7" ht="46.5" x14ac:dyDescent="0.7">
      <c r="A71" s="1">
        <f ca="1">YEAR(DATE(Calendario5Año,Calendario5MesOpción+1,1))</f>
        <v>2024</v>
      </c>
      <c r="B71" s="64" t="str">
        <f ca="1">TEXT(DATE(Calendario5Año,Calendario5MesOpción+1,1),"mmmm")</f>
        <v>junio</v>
      </c>
      <c r="C71" s="64"/>
      <c r="D71" s="64"/>
      <c r="E71" s="2"/>
      <c r="F71" s="2"/>
      <c r="G71" s="2"/>
    </row>
    <row r="72" spans="1:7" x14ac:dyDescent="0.3">
      <c r="A72" s="4" t="str">
        <f ca="1">UPPER(TEXT(A73,"dddd"))</f>
        <v>LUNES</v>
      </c>
      <c r="B72" s="5" t="str">
        <f t="shared" ref="B72:G72" ca="1" si="5">UPPER(TEXT(B73,"dddd"))</f>
        <v>MARTES</v>
      </c>
      <c r="C72" s="4" t="str">
        <f t="shared" ca="1" si="5"/>
        <v>MIÉRCOLES</v>
      </c>
      <c r="D72" s="5" t="str">
        <f t="shared" ca="1" si="5"/>
        <v>JUEVES</v>
      </c>
      <c r="E72" s="4" t="str">
        <f t="shared" ca="1" si="5"/>
        <v>VIERNES</v>
      </c>
      <c r="F72" s="5" t="str">
        <f t="shared" ca="1" si="5"/>
        <v>SÁBADO</v>
      </c>
      <c r="G72" s="4" t="str">
        <f t="shared" ca="1" si="5"/>
        <v>DOMINGO</v>
      </c>
    </row>
    <row r="73" spans="1:7" ht="21" x14ac:dyDescent="0.3">
      <c r="A73" s="10">
        <f t="array" aca="1" ref="A73:G73" ca="1">Días+1+DATE(Calendario6Año,Calendario6MesOpción,1)-WEEKDAY(DATE(Calendario6Año,Calendario6MesOpción,1),DíaDeLaSemanaOpción)</f>
        <v>45439</v>
      </c>
      <c r="B73" s="10">
        <f ca="1"/>
        <v>45440</v>
      </c>
      <c r="C73" s="10">
        <f ca="1"/>
        <v>45441</v>
      </c>
      <c r="D73" s="10">
        <f ca="1"/>
        <v>45442</v>
      </c>
      <c r="E73" s="10">
        <f ca="1"/>
        <v>45443</v>
      </c>
      <c r="F73" s="10">
        <f ca="1"/>
        <v>45444</v>
      </c>
      <c r="G73" s="11">
        <f ca="1"/>
        <v>45445</v>
      </c>
    </row>
    <row r="74" spans="1:7" x14ac:dyDescent="0.3">
      <c r="A74" s="6"/>
      <c r="B74" s="6"/>
      <c r="C74" s="6"/>
      <c r="D74" s="6"/>
      <c r="E74" s="6"/>
      <c r="F74" s="6"/>
      <c r="G74" s="7"/>
    </row>
    <row r="75" spans="1:7" ht="21" x14ac:dyDescent="0.3">
      <c r="A75" s="10">
        <f t="array" aca="1" ref="A75:G75" ca="1">Días+8+DATE(Calendario6Año,Calendario6MesOpción,1)-WEEKDAY(DATE(Calendario6Año,Calendario6MesOpción,1),DíaDeLaSemanaOpción)</f>
        <v>45446</v>
      </c>
      <c r="B75" s="10">
        <f ca="1"/>
        <v>45447</v>
      </c>
      <c r="C75" s="10">
        <f ca="1"/>
        <v>45448</v>
      </c>
      <c r="D75" s="10">
        <f ca="1"/>
        <v>45449</v>
      </c>
      <c r="E75" s="10">
        <f ca="1"/>
        <v>45450</v>
      </c>
      <c r="F75" s="10">
        <f ca="1"/>
        <v>45451</v>
      </c>
      <c r="G75" s="11">
        <f ca="1"/>
        <v>45452</v>
      </c>
    </row>
    <row r="76" spans="1:7" x14ac:dyDescent="0.3">
      <c r="A76" s="6"/>
      <c r="B76" s="6"/>
      <c r="C76" s="6"/>
      <c r="D76" s="6"/>
      <c r="E76" s="6"/>
      <c r="F76" s="6"/>
      <c r="G76" s="7"/>
    </row>
    <row r="77" spans="1:7" ht="21" x14ac:dyDescent="0.3">
      <c r="A77" s="10">
        <f t="array" aca="1" ref="A77:G77" ca="1">Días+15+DATE(Calendario6Año,Calendario6MesOpción,1)-WEEKDAY(DATE(Calendario6Año,Calendario6MesOpción,1),DíaDeLaSemanaOpción)</f>
        <v>45453</v>
      </c>
      <c r="B77" s="10">
        <f ca="1"/>
        <v>45454</v>
      </c>
      <c r="C77" s="10">
        <f ca="1"/>
        <v>45455</v>
      </c>
      <c r="D77" s="10">
        <f ca="1"/>
        <v>45456</v>
      </c>
      <c r="E77" s="10">
        <f ca="1"/>
        <v>45457</v>
      </c>
      <c r="F77" s="10">
        <f ca="1"/>
        <v>45458</v>
      </c>
      <c r="G77" s="11">
        <f ca="1"/>
        <v>45459</v>
      </c>
    </row>
    <row r="78" spans="1:7" x14ac:dyDescent="0.3">
      <c r="A78" s="6"/>
      <c r="B78" s="6"/>
      <c r="C78" s="6"/>
      <c r="D78" s="6"/>
      <c r="E78" s="6"/>
      <c r="F78" s="6"/>
      <c r="G78" s="7"/>
    </row>
    <row r="79" spans="1:7" ht="21" x14ac:dyDescent="0.3">
      <c r="A79" s="10">
        <f t="array" aca="1" ref="A79:G79" ca="1">Días+22+DATE(Calendario6Año,Calendario6MesOpción,1)-WEEKDAY(DATE(Calendario6Año,Calendario6MesOpción,1),DíaDeLaSemanaOpción)</f>
        <v>45460</v>
      </c>
      <c r="B79" s="10">
        <f ca="1"/>
        <v>45461</v>
      </c>
      <c r="C79" s="10">
        <f ca="1"/>
        <v>45462</v>
      </c>
      <c r="D79" s="10">
        <f ca="1"/>
        <v>45463</v>
      </c>
      <c r="E79" s="10">
        <f ca="1"/>
        <v>45464</v>
      </c>
      <c r="F79" s="10">
        <f ca="1"/>
        <v>45465</v>
      </c>
      <c r="G79" s="11">
        <f ca="1"/>
        <v>45466</v>
      </c>
    </row>
    <row r="80" spans="1:7" x14ac:dyDescent="0.3">
      <c r="A80" s="6"/>
      <c r="B80" s="6"/>
      <c r="C80" s="6"/>
      <c r="D80" s="6"/>
      <c r="E80" s="6"/>
      <c r="F80" s="6"/>
      <c r="G80" s="7"/>
    </row>
    <row r="81" spans="1:7" ht="21" x14ac:dyDescent="0.3">
      <c r="A81" s="10">
        <f t="array" aca="1" ref="A81:G81" ca="1">Días+29+DATE(Calendario6Año,Calendario6MesOpción,1)-WEEKDAY(DATE(Calendario6Año,Calendario6MesOpción,1),DíaDeLaSemanaOpción)</f>
        <v>45467</v>
      </c>
      <c r="B81" s="10">
        <f ca="1"/>
        <v>45468</v>
      </c>
      <c r="C81" s="10">
        <f ca="1"/>
        <v>45469</v>
      </c>
      <c r="D81" s="10">
        <f ca="1"/>
        <v>45470</v>
      </c>
      <c r="E81" s="10">
        <f ca="1"/>
        <v>45471</v>
      </c>
      <c r="F81" s="10">
        <f ca="1"/>
        <v>45472</v>
      </c>
      <c r="G81" s="11">
        <f ca="1"/>
        <v>45473</v>
      </c>
    </row>
    <row r="82" spans="1:7" x14ac:dyDescent="0.3">
      <c r="A82" s="6"/>
      <c r="B82" s="6"/>
      <c r="C82" s="6"/>
      <c r="D82" s="6"/>
      <c r="E82" s="6"/>
      <c r="F82" s="6"/>
      <c r="G82" s="8"/>
    </row>
    <row r="83" spans="1:7" ht="21" x14ac:dyDescent="0.3">
      <c r="A83" s="10">
        <f t="array" aca="1" ref="A83:B83" ca="1">Días+36+DATE(Calendario6Año,Calendario6MesOpción,1)-WEEKDAY(DATE(Calendario6Año,Calendario6MesOpción,1),DíaDeLaSemanaOpción)</f>
        <v>45474</v>
      </c>
      <c r="B83" s="10">
        <f ca="1"/>
        <v>45475</v>
      </c>
      <c r="C83" s="61" t="s">
        <v>1</v>
      </c>
      <c r="D83" s="62"/>
      <c r="E83" s="62"/>
      <c r="F83" s="62"/>
      <c r="G83" s="62"/>
    </row>
    <row r="84" spans="1:7" x14ac:dyDescent="0.3">
      <c r="A84" s="6"/>
      <c r="B84" s="6"/>
      <c r="C84" s="63"/>
      <c r="D84" s="63"/>
      <c r="E84" s="63"/>
      <c r="F84" s="63"/>
      <c r="G84" s="63"/>
    </row>
    <row r="85" spans="1:7" ht="46.5" x14ac:dyDescent="0.7">
      <c r="A85" s="1">
        <f ca="1">YEAR(DATE(Calendario6Año,Calendario6MesOpción+1,1))</f>
        <v>2024</v>
      </c>
      <c r="B85" s="64" t="str">
        <f ca="1">TEXT(DATE(Calendario6Año,Calendario6MesOpción+1,1),"mmmm")</f>
        <v>julio</v>
      </c>
      <c r="C85" s="64"/>
      <c r="D85" s="64"/>
      <c r="E85" s="2"/>
      <c r="F85" s="2"/>
      <c r="G85" s="2"/>
    </row>
    <row r="86" spans="1:7" x14ac:dyDescent="0.3">
      <c r="A86" s="4" t="str">
        <f ca="1">UPPER(TEXT(A87,"dddd"))</f>
        <v>LUNES</v>
      </c>
      <c r="B86" s="5" t="str">
        <f t="shared" ref="B86:G86" ca="1" si="6">UPPER(TEXT(B87,"dddd"))</f>
        <v>MARTES</v>
      </c>
      <c r="C86" s="4" t="str">
        <f t="shared" ca="1" si="6"/>
        <v>MIÉRCOLES</v>
      </c>
      <c r="D86" s="5" t="str">
        <f t="shared" ca="1" si="6"/>
        <v>JUEVES</v>
      </c>
      <c r="E86" s="4" t="str">
        <f t="shared" ca="1" si="6"/>
        <v>VIERNES</v>
      </c>
      <c r="F86" s="5" t="str">
        <f t="shared" ca="1" si="6"/>
        <v>SÁBADO</v>
      </c>
      <c r="G86" s="4" t="str">
        <f t="shared" ca="1" si="6"/>
        <v>DOMINGO</v>
      </c>
    </row>
    <row r="87" spans="1:7" ht="21" x14ac:dyDescent="0.3">
      <c r="A87" s="10">
        <f t="array" aca="1" ref="A87:G87" ca="1">Días+1+DATE(Calendario7Año,Calendario7MesOpción,1)-WEEKDAY(DATE(Calendario7Año,Calendario7MesOpción,1),DíaDeLaSemanaOpción)</f>
        <v>45474</v>
      </c>
      <c r="B87" s="10">
        <f ca="1"/>
        <v>45475</v>
      </c>
      <c r="C87" s="10">
        <f ca="1"/>
        <v>45476</v>
      </c>
      <c r="D87" s="10">
        <f ca="1"/>
        <v>45477</v>
      </c>
      <c r="E87" s="10">
        <f ca="1"/>
        <v>45478</v>
      </c>
      <c r="F87" s="10">
        <f ca="1"/>
        <v>45479</v>
      </c>
      <c r="G87" s="11">
        <f ca="1"/>
        <v>45480</v>
      </c>
    </row>
    <row r="88" spans="1:7" x14ac:dyDescent="0.3">
      <c r="A88" s="6"/>
      <c r="B88" s="6"/>
      <c r="C88" s="6"/>
      <c r="D88" s="6"/>
      <c r="E88" s="6"/>
      <c r="F88" s="6"/>
      <c r="G88" s="7"/>
    </row>
    <row r="89" spans="1:7" ht="21" x14ac:dyDescent="0.3">
      <c r="A89" s="10">
        <f t="array" aca="1" ref="A89:G89" ca="1">Días+8+DATE(Calendario7Año,Calendario7MesOpción,1)-WEEKDAY(DATE(Calendario7Año,Calendario7MesOpción,1),DíaDeLaSemanaOpción)</f>
        <v>45481</v>
      </c>
      <c r="B89" s="10">
        <f ca="1"/>
        <v>45482</v>
      </c>
      <c r="C89" s="10">
        <f ca="1"/>
        <v>45483</v>
      </c>
      <c r="D89" s="10">
        <f ca="1"/>
        <v>45484</v>
      </c>
      <c r="E89" s="10">
        <f ca="1"/>
        <v>45485</v>
      </c>
      <c r="F89" s="10">
        <f ca="1"/>
        <v>45486</v>
      </c>
      <c r="G89" s="11">
        <f ca="1"/>
        <v>45487</v>
      </c>
    </row>
    <row r="90" spans="1:7" x14ac:dyDescent="0.3">
      <c r="A90" s="6"/>
      <c r="B90" s="6"/>
      <c r="C90" s="6"/>
      <c r="D90" s="6"/>
      <c r="E90" s="6"/>
      <c r="F90" s="6"/>
      <c r="G90" s="7"/>
    </row>
    <row r="91" spans="1:7" ht="21" x14ac:dyDescent="0.3">
      <c r="A91" s="10">
        <f t="array" aca="1" ref="A91:G91" ca="1">Días+15+DATE(Calendario7Año,Calendario7MesOpción,1)-WEEKDAY(DATE(Calendario7Año,Calendario7MesOpción,1),DíaDeLaSemanaOpción)</f>
        <v>45488</v>
      </c>
      <c r="B91" s="10">
        <f ca="1"/>
        <v>45489</v>
      </c>
      <c r="C91" s="10">
        <f ca="1"/>
        <v>45490</v>
      </c>
      <c r="D91" s="10">
        <f ca="1"/>
        <v>45491</v>
      </c>
      <c r="E91" s="10">
        <f ca="1"/>
        <v>45492</v>
      </c>
      <c r="F91" s="10">
        <f ca="1"/>
        <v>45493</v>
      </c>
      <c r="G91" s="11">
        <f ca="1"/>
        <v>45494</v>
      </c>
    </row>
    <row r="92" spans="1:7" x14ac:dyDescent="0.3">
      <c r="A92" s="6"/>
      <c r="B92" s="6"/>
      <c r="C92" s="6"/>
      <c r="D92" s="6"/>
      <c r="E92" s="6"/>
      <c r="F92" s="6"/>
      <c r="G92" s="7"/>
    </row>
    <row r="93" spans="1:7" ht="21" x14ac:dyDescent="0.3">
      <c r="A93" s="10">
        <f t="array" aca="1" ref="A93:G93" ca="1">Días+22+DATE(Calendario7Año,Calendario7MesOpción,1)-WEEKDAY(DATE(Calendario7Año,Calendario7MesOpción,1),DíaDeLaSemanaOpción)</f>
        <v>45495</v>
      </c>
      <c r="B93" s="10">
        <f ca="1"/>
        <v>45496</v>
      </c>
      <c r="C93" s="10">
        <f ca="1"/>
        <v>45497</v>
      </c>
      <c r="D93" s="10">
        <f ca="1"/>
        <v>45498</v>
      </c>
      <c r="E93" s="10">
        <f ca="1"/>
        <v>45499</v>
      </c>
      <c r="F93" s="10">
        <f ca="1"/>
        <v>45500</v>
      </c>
      <c r="G93" s="11">
        <f ca="1"/>
        <v>45501</v>
      </c>
    </row>
    <row r="94" spans="1:7" x14ac:dyDescent="0.3">
      <c r="A94" s="6"/>
      <c r="B94" s="6"/>
      <c r="C94" s="6"/>
      <c r="D94" s="6"/>
      <c r="E94" s="6"/>
      <c r="F94" s="6"/>
      <c r="G94" s="7"/>
    </row>
    <row r="95" spans="1:7" ht="21" x14ac:dyDescent="0.3">
      <c r="A95" s="10">
        <f t="array" aca="1" ref="A95:G95" ca="1">Días+29+DATE(Calendario7Año,Calendario7MesOpción,1)-WEEKDAY(DATE(Calendario7Año,Calendario7MesOpción,1),DíaDeLaSemanaOpción)</f>
        <v>45502</v>
      </c>
      <c r="B95" s="10">
        <f ca="1"/>
        <v>45503</v>
      </c>
      <c r="C95" s="10">
        <f ca="1"/>
        <v>45504</v>
      </c>
      <c r="D95" s="10">
        <f ca="1"/>
        <v>45505</v>
      </c>
      <c r="E95" s="10">
        <f ca="1"/>
        <v>45506</v>
      </c>
      <c r="F95" s="10">
        <f ca="1"/>
        <v>45507</v>
      </c>
      <c r="G95" s="11">
        <f ca="1"/>
        <v>45508</v>
      </c>
    </row>
    <row r="96" spans="1:7" x14ac:dyDescent="0.3">
      <c r="A96" s="6"/>
      <c r="B96" s="6"/>
      <c r="C96" s="6"/>
      <c r="D96" s="6"/>
      <c r="E96" s="6"/>
      <c r="F96" s="6"/>
      <c r="G96" s="8"/>
    </row>
    <row r="97" spans="1:7" ht="21" x14ac:dyDescent="0.3">
      <c r="A97" s="10">
        <f t="array" aca="1" ref="A97:B97" ca="1">Días+36+DATE(Calendario7Año,Calendario7MesOpción,1)-WEEKDAY(DATE(Calendario7Año,Calendario7MesOpción,1),DíaDeLaSemanaOpción)</f>
        <v>45509</v>
      </c>
      <c r="B97" s="10">
        <f ca="1"/>
        <v>45510</v>
      </c>
      <c r="C97" s="61" t="s">
        <v>1</v>
      </c>
      <c r="D97" s="62"/>
      <c r="E97" s="62"/>
      <c r="F97" s="62"/>
      <c r="G97" s="62"/>
    </row>
    <row r="98" spans="1:7" x14ac:dyDescent="0.3">
      <c r="A98" s="6"/>
      <c r="B98" s="6"/>
      <c r="C98" s="63"/>
      <c r="D98" s="63"/>
      <c r="E98" s="63"/>
      <c r="F98" s="63"/>
      <c r="G98" s="63"/>
    </row>
    <row r="99" spans="1:7" ht="46.5" x14ac:dyDescent="0.7">
      <c r="A99" s="1">
        <f ca="1">YEAR(DATE(Calendario7Año,Calendario7MesOpción+1,1))</f>
        <v>2024</v>
      </c>
      <c r="B99" s="64" t="str">
        <f ca="1">TEXT(DATE(Calendario7Año,Calendario7MesOpción+1,1),"mmmm")</f>
        <v>agosto</v>
      </c>
      <c r="C99" s="64"/>
      <c r="D99" s="64"/>
      <c r="E99" s="2"/>
      <c r="F99" s="2"/>
      <c r="G99" s="2"/>
    </row>
    <row r="100" spans="1:7" x14ac:dyDescent="0.3">
      <c r="A100" s="4" t="str">
        <f ca="1">UPPER(TEXT(A101,"dddd"))</f>
        <v>LUNES</v>
      </c>
      <c r="B100" s="5" t="str">
        <f t="shared" ref="B100:G100" ca="1" si="7">UPPER(TEXT(B101,"dddd"))</f>
        <v>MARTES</v>
      </c>
      <c r="C100" s="4" t="str">
        <f t="shared" ca="1" si="7"/>
        <v>MIÉRCOLES</v>
      </c>
      <c r="D100" s="5" t="str">
        <f t="shared" ca="1" si="7"/>
        <v>JUEVES</v>
      </c>
      <c r="E100" s="4" t="str">
        <f t="shared" ca="1" si="7"/>
        <v>VIERNES</v>
      </c>
      <c r="F100" s="5" t="str">
        <f t="shared" ca="1" si="7"/>
        <v>SÁBADO</v>
      </c>
      <c r="G100" s="4" t="str">
        <f t="shared" ca="1" si="7"/>
        <v>DOMINGO</v>
      </c>
    </row>
    <row r="101" spans="1:7" ht="21" x14ac:dyDescent="0.3">
      <c r="A101" s="10">
        <f t="array" aca="1" ref="A101:G101" ca="1">Días+1+DATE(Calendario8Año,Calendario8MesOpción,1)-WEEKDAY(DATE(Calendario8Año,Calendario8MesOpción,1),DíaDeLaSemanaOpción)</f>
        <v>45502</v>
      </c>
      <c r="B101" s="10">
        <f ca="1"/>
        <v>45503</v>
      </c>
      <c r="C101" s="10">
        <f ca="1"/>
        <v>45504</v>
      </c>
      <c r="D101" s="10">
        <f ca="1"/>
        <v>45505</v>
      </c>
      <c r="E101" s="10">
        <f ca="1"/>
        <v>45506</v>
      </c>
      <c r="F101" s="10">
        <f ca="1"/>
        <v>45507</v>
      </c>
      <c r="G101" s="11">
        <f ca="1"/>
        <v>45508</v>
      </c>
    </row>
    <row r="102" spans="1:7" x14ac:dyDescent="0.3">
      <c r="A102" s="6"/>
      <c r="B102" s="6"/>
      <c r="C102" s="6"/>
      <c r="D102" s="6"/>
      <c r="E102" s="6"/>
      <c r="F102" s="6"/>
      <c r="G102" s="7"/>
    </row>
    <row r="103" spans="1:7" ht="21" x14ac:dyDescent="0.3">
      <c r="A103" s="10">
        <f t="array" aca="1" ref="A103:G103" ca="1">Días+8+DATE(Calendario8Año,Calendario8MesOpción,1)-WEEKDAY(DATE(Calendario8Año,Calendario8MesOpción,1),DíaDeLaSemanaOpción)</f>
        <v>45509</v>
      </c>
      <c r="B103" s="10">
        <f ca="1"/>
        <v>45510</v>
      </c>
      <c r="C103" s="10">
        <f ca="1"/>
        <v>45511</v>
      </c>
      <c r="D103" s="10">
        <f ca="1"/>
        <v>45512</v>
      </c>
      <c r="E103" s="10">
        <f ca="1"/>
        <v>45513</v>
      </c>
      <c r="F103" s="10">
        <f ca="1"/>
        <v>45514</v>
      </c>
      <c r="G103" s="11">
        <f ca="1"/>
        <v>45515</v>
      </c>
    </row>
    <row r="104" spans="1:7" x14ac:dyDescent="0.3">
      <c r="A104" s="6"/>
      <c r="B104" s="6"/>
      <c r="C104" s="6"/>
      <c r="D104" s="6"/>
      <c r="E104" s="6"/>
      <c r="F104" s="6"/>
      <c r="G104" s="7"/>
    </row>
    <row r="105" spans="1:7" ht="21" x14ac:dyDescent="0.3">
      <c r="A105" s="10">
        <f t="array" aca="1" ref="A105:G105" ca="1">Días+15+DATE(Calendario8Año,Calendario8MesOpción,1)-WEEKDAY(DATE(Calendario8Año,Calendario8MesOpción,1),DíaDeLaSemanaOpción)</f>
        <v>45516</v>
      </c>
      <c r="B105" s="10">
        <f ca="1"/>
        <v>45517</v>
      </c>
      <c r="C105" s="10">
        <f ca="1"/>
        <v>45518</v>
      </c>
      <c r="D105" s="10">
        <f ca="1"/>
        <v>45519</v>
      </c>
      <c r="E105" s="10">
        <f ca="1"/>
        <v>45520</v>
      </c>
      <c r="F105" s="10">
        <f ca="1"/>
        <v>45521</v>
      </c>
      <c r="G105" s="11">
        <f ca="1"/>
        <v>45522</v>
      </c>
    </row>
    <row r="106" spans="1:7" x14ac:dyDescent="0.3">
      <c r="A106" s="6"/>
      <c r="B106" s="6"/>
      <c r="C106" s="6"/>
      <c r="D106" s="6"/>
      <c r="E106" s="6"/>
      <c r="F106" s="6"/>
      <c r="G106" s="7"/>
    </row>
    <row r="107" spans="1:7" ht="21" x14ac:dyDescent="0.3">
      <c r="A107" s="10">
        <f t="array" aca="1" ref="A107:G107" ca="1">Días+22+DATE(Calendario8Año,Calendario8MesOpción,1)-WEEKDAY(DATE(Calendario8Año,Calendario8MesOpción,1),DíaDeLaSemanaOpción)</f>
        <v>45523</v>
      </c>
      <c r="B107" s="10">
        <f ca="1"/>
        <v>45524</v>
      </c>
      <c r="C107" s="10">
        <f ca="1"/>
        <v>45525</v>
      </c>
      <c r="D107" s="10">
        <f ca="1"/>
        <v>45526</v>
      </c>
      <c r="E107" s="10">
        <f ca="1"/>
        <v>45527</v>
      </c>
      <c r="F107" s="10">
        <f ca="1"/>
        <v>45528</v>
      </c>
      <c r="G107" s="11">
        <f ca="1"/>
        <v>45529</v>
      </c>
    </row>
    <row r="108" spans="1:7" x14ac:dyDescent="0.3">
      <c r="A108" s="6"/>
      <c r="B108" s="6"/>
      <c r="C108" s="6"/>
      <c r="D108" s="6"/>
      <c r="E108" s="6"/>
      <c r="F108" s="6"/>
      <c r="G108" s="7"/>
    </row>
    <row r="109" spans="1:7" ht="21" x14ac:dyDescent="0.3">
      <c r="A109" s="10">
        <f t="array" aca="1" ref="A109:G109" ca="1">Días+29+DATE(Calendario8Año,Calendario8MesOpción,1)-WEEKDAY(DATE(Calendario8Año,Calendario8MesOpción,1),DíaDeLaSemanaOpción)</f>
        <v>45530</v>
      </c>
      <c r="B109" s="10">
        <f ca="1"/>
        <v>45531</v>
      </c>
      <c r="C109" s="10">
        <f ca="1"/>
        <v>45532</v>
      </c>
      <c r="D109" s="10">
        <f ca="1"/>
        <v>45533</v>
      </c>
      <c r="E109" s="10">
        <f ca="1"/>
        <v>45534</v>
      </c>
      <c r="F109" s="10">
        <f ca="1"/>
        <v>45535</v>
      </c>
      <c r="G109" s="11">
        <f ca="1"/>
        <v>45536</v>
      </c>
    </row>
    <row r="110" spans="1:7" x14ac:dyDescent="0.3">
      <c r="A110" s="6"/>
      <c r="B110" s="6"/>
      <c r="C110" s="6"/>
      <c r="D110" s="6"/>
      <c r="E110" s="6"/>
      <c r="F110" s="6"/>
      <c r="G110" s="8"/>
    </row>
    <row r="111" spans="1:7" ht="21" x14ac:dyDescent="0.3">
      <c r="A111" s="10">
        <f t="array" aca="1" ref="A111:B111" ca="1">Días+36+DATE(Calendario8Año,Calendario8MesOpción,1)-WEEKDAY(DATE(Calendario8Año,Calendario8MesOpción,1),DíaDeLaSemanaOpción)</f>
        <v>45537</v>
      </c>
      <c r="B111" s="10">
        <f ca="1"/>
        <v>45538</v>
      </c>
      <c r="C111" s="61" t="s">
        <v>1</v>
      </c>
      <c r="D111" s="62"/>
      <c r="E111" s="62"/>
      <c r="F111" s="62"/>
      <c r="G111" s="62"/>
    </row>
    <row r="112" spans="1:7" x14ac:dyDescent="0.3">
      <c r="A112" s="6"/>
      <c r="B112" s="6"/>
      <c r="C112" s="63"/>
      <c r="D112" s="63"/>
      <c r="E112" s="63"/>
      <c r="F112" s="63"/>
      <c r="G112" s="63"/>
    </row>
    <row r="113" spans="1:7" ht="46.5" x14ac:dyDescent="0.7">
      <c r="A113" s="1">
        <f ca="1">YEAR(DATE(Calendario8Año,Calendario8MesOpción+1,1))</f>
        <v>2024</v>
      </c>
      <c r="B113" s="64" t="str">
        <f ca="1">TEXT(DATE(Calendario8Año,Calendario8MesOpción+1,1),"mmmm")</f>
        <v>septiembre</v>
      </c>
      <c r="C113" s="64"/>
      <c r="D113" s="64"/>
      <c r="E113" s="2"/>
      <c r="F113" s="2"/>
      <c r="G113" s="2"/>
    </row>
    <row r="114" spans="1:7" x14ac:dyDescent="0.3">
      <c r="A114" s="4" t="str">
        <f ca="1">UPPER(TEXT(A115,"dddd"))</f>
        <v>LUNES</v>
      </c>
      <c r="B114" s="5" t="str">
        <f t="shared" ref="B114:G114" ca="1" si="8">UPPER(TEXT(B115,"dddd"))</f>
        <v>MARTES</v>
      </c>
      <c r="C114" s="4" t="str">
        <f t="shared" ca="1" si="8"/>
        <v>MIÉRCOLES</v>
      </c>
      <c r="D114" s="5" t="str">
        <f t="shared" ca="1" si="8"/>
        <v>JUEVES</v>
      </c>
      <c r="E114" s="4" t="str">
        <f t="shared" ca="1" si="8"/>
        <v>VIERNES</v>
      </c>
      <c r="F114" s="5" t="str">
        <f t="shared" ca="1" si="8"/>
        <v>SÁBADO</v>
      </c>
      <c r="G114" s="4" t="str">
        <f t="shared" ca="1" si="8"/>
        <v>DOMINGO</v>
      </c>
    </row>
    <row r="115" spans="1:7" ht="21" x14ac:dyDescent="0.3">
      <c r="A115" s="10">
        <f t="array" aca="1" ref="A115:G115" ca="1">Días+1+DATE(Calendario9Año,Calendario9MesOpción,1)-WEEKDAY(DATE(Calendario9Año,Calendario9MesOpción,1),DíaDeLaSemanaOpción)</f>
        <v>45530</v>
      </c>
      <c r="B115" s="10">
        <f ca="1"/>
        <v>45531</v>
      </c>
      <c r="C115" s="10">
        <f ca="1"/>
        <v>45532</v>
      </c>
      <c r="D115" s="10">
        <f ca="1"/>
        <v>45533</v>
      </c>
      <c r="E115" s="10">
        <f ca="1"/>
        <v>45534</v>
      </c>
      <c r="F115" s="10">
        <f ca="1"/>
        <v>45535</v>
      </c>
      <c r="G115" s="11">
        <f ca="1"/>
        <v>45536</v>
      </c>
    </row>
    <row r="116" spans="1:7" x14ac:dyDescent="0.3">
      <c r="A116" s="6"/>
      <c r="B116" s="6"/>
      <c r="C116" s="6"/>
      <c r="D116" s="6"/>
      <c r="E116" s="6"/>
      <c r="F116" s="6"/>
      <c r="G116" s="7"/>
    </row>
    <row r="117" spans="1:7" ht="21" x14ac:dyDescent="0.3">
      <c r="A117" s="10">
        <f t="array" aca="1" ref="A117:G117" ca="1">Días+8+DATE(Calendario9Año,Calendario9MesOpción,1)-WEEKDAY(DATE(Calendario9Año,Calendario9MesOpción,1),DíaDeLaSemanaOpción)</f>
        <v>45537</v>
      </c>
      <c r="B117" s="10">
        <f ca="1"/>
        <v>45538</v>
      </c>
      <c r="C117" s="10">
        <f ca="1"/>
        <v>45539</v>
      </c>
      <c r="D117" s="10">
        <f ca="1"/>
        <v>45540</v>
      </c>
      <c r="E117" s="10">
        <f ca="1"/>
        <v>45541</v>
      </c>
      <c r="F117" s="10">
        <f ca="1"/>
        <v>45542</v>
      </c>
      <c r="G117" s="11">
        <f ca="1"/>
        <v>45543</v>
      </c>
    </row>
    <row r="118" spans="1:7" x14ac:dyDescent="0.3">
      <c r="A118" s="6"/>
      <c r="B118" s="6"/>
      <c r="C118" s="6"/>
      <c r="D118" s="6"/>
      <c r="E118" s="6"/>
      <c r="F118" s="6"/>
      <c r="G118" s="7"/>
    </row>
    <row r="119" spans="1:7" ht="21" x14ac:dyDescent="0.3">
      <c r="A119" s="10">
        <f t="array" aca="1" ref="A119:G119" ca="1">Días+15+DATE(Calendario9Año,Calendario9MesOpción,1)-WEEKDAY(DATE(Calendario9Año,Calendario9MesOpción,1),DíaDeLaSemanaOpción)</f>
        <v>45544</v>
      </c>
      <c r="B119" s="10">
        <f ca="1"/>
        <v>45545</v>
      </c>
      <c r="C119" s="10">
        <f ca="1"/>
        <v>45546</v>
      </c>
      <c r="D119" s="10">
        <f ca="1"/>
        <v>45547</v>
      </c>
      <c r="E119" s="10">
        <f ca="1"/>
        <v>45548</v>
      </c>
      <c r="F119" s="10">
        <f ca="1"/>
        <v>45549</v>
      </c>
      <c r="G119" s="11">
        <f ca="1"/>
        <v>45550</v>
      </c>
    </row>
    <row r="120" spans="1:7" x14ac:dyDescent="0.3">
      <c r="A120" s="6"/>
      <c r="B120" s="6"/>
      <c r="C120" s="6"/>
      <c r="D120" s="6"/>
      <c r="E120" s="6"/>
      <c r="F120" s="6"/>
      <c r="G120" s="7"/>
    </row>
    <row r="121" spans="1:7" ht="21" x14ac:dyDescent="0.3">
      <c r="A121" s="10">
        <f t="array" aca="1" ref="A121:G121" ca="1">Días+22+DATE(Calendario9Año,Calendario9MesOpción,1)-WEEKDAY(DATE(Calendario9Año,Calendario9MesOpción,1),DíaDeLaSemanaOpción)</f>
        <v>45551</v>
      </c>
      <c r="B121" s="10">
        <f ca="1"/>
        <v>45552</v>
      </c>
      <c r="C121" s="10">
        <f ca="1"/>
        <v>45553</v>
      </c>
      <c r="D121" s="10">
        <f ca="1"/>
        <v>45554</v>
      </c>
      <c r="E121" s="10">
        <f ca="1"/>
        <v>45555</v>
      </c>
      <c r="F121" s="10">
        <f ca="1"/>
        <v>45556</v>
      </c>
      <c r="G121" s="11">
        <f ca="1"/>
        <v>45557</v>
      </c>
    </row>
    <row r="122" spans="1:7" x14ac:dyDescent="0.3">
      <c r="A122" s="6"/>
      <c r="B122" s="6"/>
      <c r="C122" s="6"/>
      <c r="D122" s="6"/>
      <c r="E122" s="6"/>
      <c r="F122" s="6"/>
      <c r="G122" s="7"/>
    </row>
    <row r="123" spans="1:7" ht="21" x14ac:dyDescent="0.3">
      <c r="A123" s="10">
        <f t="array" aca="1" ref="A123:G123" ca="1">Días+29+DATE(Calendario9Año,Calendario9MesOpción,1)-WEEKDAY(DATE(Calendario9Año,Calendario9MesOpción,1),DíaDeLaSemanaOpción)</f>
        <v>45558</v>
      </c>
      <c r="B123" s="10">
        <f ca="1"/>
        <v>45559</v>
      </c>
      <c r="C123" s="10">
        <f ca="1"/>
        <v>45560</v>
      </c>
      <c r="D123" s="10">
        <f ca="1"/>
        <v>45561</v>
      </c>
      <c r="E123" s="10">
        <f ca="1"/>
        <v>45562</v>
      </c>
      <c r="F123" s="10">
        <f ca="1"/>
        <v>45563</v>
      </c>
      <c r="G123" s="11">
        <f ca="1"/>
        <v>45564</v>
      </c>
    </row>
    <row r="124" spans="1:7" x14ac:dyDescent="0.3">
      <c r="A124" s="6"/>
      <c r="B124" s="6"/>
      <c r="C124" s="6"/>
      <c r="D124" s="6"/>
      <c r="E124" s="6"/>
      <c r="F124" s="6"/>
      <c r="G124" s="8"/>
    </row>
    <row r="125" spans="1:7" ht="21" x14ac:dyDescent="0.3">
      <c r="A125" s="10">
        <f t="array" aca="1" ref="A125:B125" ca="1">Días+36+DATE(Calendario9Año,Calendario9MesOpción,1)-WEEKDAY(DATE(Calendario9Año,Calendario9MesOpción,1),DíaDeLaSemanaOpción)</f>
        <v>45565</v>
      </c>
      <c r="B125" s="10">
        <f ca="1"/>
        <v>45566</v>
      </c>
      <c r="C125" s="61" t="s">
        <v>1</v>
      </c>
      <c r="D125" s="62"/>
      <c r="E125" s="62"/>
      <c r="F125" s="62"/>
      <c r="G125" s="62"/>
    </row>
    <row r="126" spans="1:7" x14ac:dyDescent="0.3">
      <c r="A126" s="6"/>
      <c r="B126" s="6"/>
      <c r="C126" s="63"/>
      <c r="D126" s="63"/>
      <c r="E126" s="63"/>
      <c r="F126" s="63"/>
      <c r="G126" s="63"/>
    </row>
    <row r="127" spans="1:7" ht="46.5" x14ac:dyDescent="0.7">
      <c r="A127" s="12">
        <f ca="1">YEAR(DATE(Calendario9Año,Calendario9MesOpción+1,1))</f>
        <v>2024</v>
      </c>
      <c r="B127" s="64" t="str">
        <f ca="1">TEXT(DATE(Calendario9Año,Calendario9MesOpción+1,1),"mmmm")</f>
        <v>octubre</v>
      </c>
      <c r="C127" s="64"/>
      <c r="D127" s="64"/>
      <c r="E127" s="2"/>
      <c r="F127" s="2"/>
      <c r="G127" s="2"/>
    </row>
    <row r="128" spans="1:7" x14ac:dyDescent="0.3">
      <c r="A128" s="4" t="str">
        <f ca="1">UPPER(TEXT(A129,"dddd"))</f>
        <v>LUNES</v>
      </c>
      <c r="B128" s="5" t="str">
        <f t="shared" ref="B128:G128" ca="1" si="9">UPPER(TEXT(B129,"dddd"))</f>
        <v>MARTES</v>
      </c>
      <c r="C128" s="4" t="str">
        <f t="shared" ca="1" si="9"/>
        <v>MIÉRCOLES</v>
      </c>
      <c r="D128" s="5" t="str">
        <f t="shared" ca="1" si="9"/>
        <v>JUEVES</v>
      </c>
      <c r="E128" s="4" t="str">
        <f t="shared" ca="1" si="9"/>
        <v>VIERNES</v>
      </c>
      <c r="F128" s="5" t="str">
        <f t="shared" ca="1" si="9"/>
        <v>SÁBADO</v>
      </c>
      <c r="G128" s="4" t="str">
        <f t="shared" ca="1" si="9"/>
        <v>DOMINGO</v>
      </c>
    </row>
    <row r="129" spans="1:7" ht="21" x14ac:dyDescent="0.3">
      <c r="A129" s="10">
        <f t="array" aca="1" ref="A129:G129" ca="1">Días+1+DATE(Calendario10Año,Calendario10MesOpción,1)-WEEKDAY(DATE(Calendario10Año,Calendario10MesOpción,1),DíaDeLaSemanaOpción)</f>
        <v>45565</v>
      </c>
      <c r="B129" s="10">
        <f ca="1"/>
        <v>45566</v>
      </c>
      <c r="C129" s="10">
        <f ca="1"/>
        <v>45567</v>
      </c>
      <c r="D129" s="10">
        <f ca="1"/>
        <v>45568</v>
      </c>
      <c r="E129" s="10">
        <f ca="1"/>
        <v>45569</v>
      </c>
      <c r="F129" s="10">
        <f ca="1"/>
        <v>45570</v>
      </c>
      <c r="G129" s="11">
        <f ca="1"/>
        <v>45571</v>
      </c>
    </row>
    <row r="130" spans="1:7" x14ac:dyDescent="0.3">
      <c r="A130" s="6"/>
      <c r="B130" s="6"/>
      <c r="C130" s="6"/>
      <c r="D130" s="6"/>
      <c r="E130" s="6"/>
      <c r="F130" s="6"/>
      <c r="G130" s="7"/>
    </row>
    <row r="131" spans="1:7" ht="21" x14ac:dyDescent="0.3">
      <c r="A131" s="10">
        <f t="array" aca="1" ref="A131:G131" ca="1">Días+8+DATE(Calendario10Año,Calendario10MesOpción,1)-WEEKDAY(DATE(Calendario10Año,Calendario10MesOpción,1),DíaDeLaSemanaOpción)</f>
        <v>45572</v>
      </c>
      <c r="B131" s="10">
        <f ca="1"/>
        <v>45573</v>
      </c>
      <c r="C131" s="10">
        <f ca="1"/>
        <v>45574</v>
      </c>
      <c r="D131" s="10">
        <f ca="1"/>
        <v>45575</v>
      </c>
      <c r="E131" s="10">
        <f ca="1"/>
        <v>45576</v>
      </c>
      <c r="F131" s="10">
        <f ca="1"/>
        <v>45577</v>
      </c>
      <c r="G131" s="11">
        <f ca="1"/>
        <v>45578</v>
      </c>
    </row>
    <row r="132" spans="1:7" x14ac:dyDescent="0.3">
      <c r="A132" s="6"/>
      <c r="B132" s="6"/>
      <c r="C132" s="6"/>
      <c r="D132" s="6"/>
      <c r="E132" s="6"/>
      <c r="F132" s="6"/>
      <c r="G132" s="7"/>
    </row>
    <row r="133" spans="1:7" ht="21" x14ac:dyDescent="0.3">
      <c r="A133" s="10">
        <f t="array" aca="1" ref="A133:G133" ca="1">Días+15+DATE(Calendario10Año,Calendario10MesOpción,1)-WEEKDAY(DATE(Calendario10Año,Calendario10MesOpción,1),DíaDeLaSemanaOpción)</f>
        <v>45579</v>
      </c>
      <c r="B133" s="10">
        <f ca="1"/>
        <v>45580</v>
      </c>
      <c r="C133" s="10">
        <f ca="1"/>
        <v>45581</v>
      </c>
      <c r="D133" s="10">
        <f ca="1"/>
        <v>45582</v>
      </c>
      <c r="E133" s="10">
        <f ca="1"/>
        <v>45583</v>
      </c>
      <c r="F133" s="10">
        <f ca="1"/>
        <v>45584</v>
      </c>
      <c r="G133" s="11">
        <f ca="1"/>
        <v>45585</v>
      </c>
    </row>
    <row r="134" spans="1:7" x14ac:dyDescent="0.3">
      <c r="A134" s="6"/>
      <c r="B134" s="6"/>
      <c r="C134" s="6"/>
      <c r="D134" s="6"/>
      <c r="E134" s="6"/>
      <c r="F134" s="6"/>
      <c r="G134" s="7"/>
    </row>
    <row r="135" spans="1:7" ht="21" x14ac:dyDescent="0.3">
      <c r="A135" s="10">
        <f t="array" aca="1" ref="A135:G135" ca="1">Días+22+DATE(Calendario10Año,Calendario10MesOpción,1)-WEEKDAY(DATE(Calendario10Año,Calendario10MesOpción,1),DíaDeLaSemanaOpción)</f>
        <v>45586</v>
      </c>
      <c r="B135" s="10">
        <f ca="1"/>
        <v>45587</v>
      </c>
      <c r="C135" s="10">
        <f ca="1"/>
        <v>45588</v>
      </c>
      <c r="D135" s="10">
        <f ca="1"/>
        <v>45589</v>
      </c>
      <c r="E135" s="10">
        <f ca="1"/>
        <v>45590</v>
      </c>
      <c r="F135" s="10">
        <f ca="1"/>
        <v>45591</v>
      </c>
      <c r="G135" s="11">
        <f ca="1"/>
        <v>45592</v>
      </c>
    </row>
    <row r="136" spans="1:7" x14ac:dyDescent="0.3">
      <c r="A136" s="6"/>
      <c r="B136" s="6"/>
      <c r="C136" s="6"/>
      <c r="D136" s="6"/>
      <c r="E136" s="6"/>
      <c r="F136" s="6"/>
      <c r="G136" s="7"/>
    </row>
    <row r="137" spans="1:7" ht="21" x14ac:dyDescent="0.3">
      <c r="A137" s="10">
        <f t="array" aca="1" ref="A137:G137" ca="1">Días+29+DATE(Calendario10Año,Calendario10MesOpción,1)-WEEKDAY(DATE(Calendario10Año,Calendario10MesOpción,1),DíaDeLaSemanaOpción)</f>
        <v>45593</v>
      </c>
      <c r="B137" s="10">
        <f ca="1"/>
        <v>45594</v>
      </c>
      <c r="C137" s="10">
        <f ca="1"/>
        <v>45595</v>
      </c>
      <c r="D137" s="10">
        <f ca="1"/>
        <v>45596</v>
      </c>
      <c r="E137" s="10">
        <f ca="1"/>
        <v>45597</v>
      </c>
      <c r="F137" s="10">
        <f ca="1"/>
        <v>45598</v>
      </c>
      <c r="G137" s="11">
        <f ca="1"/>
        <v>45599</v>
      </c>
    </row>
    <row r="138" spans="1:7" x14ac:dyDescent="0.3">
      <c r="A138" s="6"/>
      <c r="B138" s="6"/>
      <c r="C138" s="6"/>
      <c r="D138" s="6"/>
      <c r="E138" s="6"/>
      <c r="F138" s="6"/>
      <c r="G138" s="8"/>
    </row>
    <row r="139" spans="1:7" ht="21" x14ac:dyDescent="0.3">
      <c r="A139" s="10">
        <f t="array" aca="1" ref="A139:B139" ca="1">Días+36+DATE(Calendario10Año,Calendario10MesOpción,1)-WEEKDAY(DATE(Calendario10Año,Calendario10MesOpción,1),DíaDeLaSemanaOpción)</f>
        <v>45600</v>
      </c>
      <c r="B139" s="10">
        <f ca="1"/>
        <v>45601</v>
      </c>
      <c r="C139" s="61" t="s">
        <v>1</v>
      </c>
      <c r="D139" s="62"/>
      <c r="E139" s="62"/>
      <c r="F139" s="62"/>
      <c r="G139" s="62"/>
    </row>
    <row r="140" spans="1:7" x14ac:dyDescent="0.3">
      <c r="A140" s="6"/>
      <c r="B140" s="6"/>
      <c r="C140" s="63"/>
      <c r="D140" s="63"/>
      <c r="E140" s="63"/>
      <c r="F140" s="63"/>
      <c r="G140" s="63"/>
    </row>
    <row r="141" spans="1:7" ht="46.5" x14ac:dyDescent="0.7">
      <c r="A141" s="1">
        <f ca="1">YEAR(DATE(Calendario10Año,Calendario10MesOpción+1,1))</f>
        <v>2024</v>
      </c>
      <c r="B141" s="64" t="str">
        <f ca="1">TEXT(DATE(Calendario10Año,Calendario10MesOpción+1,1),"mmmm")</f>
        <v>noviembre</v>
      </c>
      <c r="C141" s="64"/>
      <c r="D141" s="64"/>
      <c r="E141" s="2"/>
      <c r="F141" s="2"/>
      <c r="G141" s="2"/>
    </row>
    <row r="142" spans="1:7" x14ac:dyDescent="0.3">
      <c r="A142" s="4" t="str">
        <f ca="1">UPPER(TEXT(A143,"dddd"))</f>
        <v>LUNES</v>
      </c>
      <c r="B142" s="5" t="str">
        <f t="shared" ref="B142:G142" ca="1" si="10">UPPER(TEXT(B143,"dddd"))</f>
        <v>MARTES</v>
      </c>
      <c r="C142" s="4" t="str">
        <f t="shared" ca="1" si="10"/>
        <v>MIÉRCOLES</v>
      </c>
      <c r="D142" s="5" t="str">
        <f t="shared" ca="1" si="10"/>
        <v>JUEVES</v>
      </c>
      <c r="E142" s="4" t="str">
        <f t="shared" ca="1" si="10"/>
        <v>VIERNES</v>
      </c>
      <c r="F142" s="5" t="str">
        <f t="shared" ca="1" si="10"/>
        <v>SÁBADO</v>
      </c>
      <c r="G142" s="4" t="str">
        <f t="shared" ca="1" si="10"/>
        <v>DOMINGO</v>
      </c>
    </row>
    <row r="143" spans="1:7" ht="21" x14ac:dyDescent="0.3">
      <c r="A143" s="10">
        <f t="array" aca="1" ref="A143:G143" ca="1">Días+1+DATE(Calendario11Año,Calendario11MesOpción,1)-WEEKDAY(DATE(Calendario11Año,Calendario11MesOpción,1),DíaDeLaSemanaOpción)</f>
        <v>45593</v>
      </c>
      <c r="B143" s="10">
        <f ca="1"/>
        <v>45594</v>
      </c>
      <c r="C143" s="10">
        <f ca="1"/>
        <v>45595</v>
      </c>
      <c r="D143" s="10">
        <f ca="1"/>
        <v>45596</v>
      </c>
      <c r="E143" s="10">
        <f ca="1"/>
        <v>45597</v>
      </c>
      <c r="F143" s="10">
        <f ca="1"/>
        <v>45598</v>
      </c>
      <c r="G143" s="11">
        <f ca="1"/>
        <v>45599</v>
      </c>
    </row>
    <row r="144" spans="1:7" x14ac:dyDescent="0.3">
      <c r="A144" s="6"/>
      <c r="B144" s="6"/>
      <c r="C144" s="6"/>
      <c r="D144" s="6"/>
      <c r="E144" s="6"/>
      <c r="F144" s="6"/>
      <c r="G144" s="7"/>
    </row>
    <row r="145" spans="1:7" ht="21" x14ac:dyDescent="0.3">
      <c r="A145" s="10">
        <f t="array" aca="1" ref="A145:G145" ca="1">Días+8+DATE(Calendario11Año,Calendario11MesOpción,1)-WEEKDAY(DATE(Calendario11Año,Calendario11MesOpción,1),DíaDeLaSemanaOpción)</f>
        <v>45600</v>
      </c>
      <c r="B145" s="10">
        <f ca="1"/>
        <v>45601</v>
      </c>
      <c r="C145" s="10">
        <f ca="1"/>
        <v>45602</v>
      </c>
      <c r="D145" s="10">
        <f ca="1"/>
        <v>45603</v>
      </c>
      <c r="E145" s="10">
        <f ca="1"/>
        <v>45604</v>
      </c>
      <c r="F145" s="10">
        <f ca="1"/>
        <v>45605</v>
      </c>
      <c r="G145" s="11">
        <f ca="1"/>
        <v>45606</v>
      </c>
    </row>
    <row r="146" spans="1:7" x14ac:dyDescent="0.3">
      <c r="A146" s="6"/>
      <c r="B146" s="6"/>
      <c r="C146" s="6"/>
      <c r="D146" s="6"/>
      <c r="E146" s="6"/>
      <c r="F146" s="6"/>
      <c r="G146" s="7"/>
    </row>
    <row r="147" spans="1:7" ht="21" x14ac:dyDescent="0.3">
      <c r="A147" s="10">
        <f t="array" aca="1" ref="A147:G147" ca="1">Días+15+DATE(Calendario11Año,Calendario11MesOpción,1)-WEEKDAY(DATE(Calendario11Año,Calendario11MesOpción,1),DíaDeLaSemanaOpción)</f>
        <v>45607</v>
      </c>
      <c r="B147" s="10">
        <f ca="1"/>
        <v>45608</v>
      </c>
      <c r="C147" s="10">
        <f ca="1"/>
        <v>45609</v>
      </c>
      <c r="D147" s="10">
        <f ca="1"/>
        <v>45610</v>
      </c>
      <c r="E147" s="10">
        <f ca="1"/>
        <v>45611</v>
      </c>
      <c r="F147" s="10">
        <f ca="1"/>
        <v>45612</v>
      </c>
      <c r="G147" s="11">
        <f ca="1"/>
        <v>45613</v>
      </c>
    </row>
    <row r="148" spans="1:7" x14ac:dyDescent="0.3">
      <c r="A148" s="6"/>
      <c r="B148" s="6"/>
      <c r="C148" s="6"/>
      <c r="D148" s="6"/>
      <c r="E148" s="6"/>
      <c r="F148" s="6"/>
      <c r="G148" s="7"/>
    </row>
    <row r="149" spans="1:7" ht="21" x14ac:dyDescent="0.3">
      <c r="A149" s="10">
        <f t="array" aca="1" ref="A149:G149" ca="1">Días+22+DATE(Calendario11Año,Calendario11MesOpción,1)-WEEKDAY(DATE(Calendario11Año,Calendario11MesOpción,1),DíaDeLaSemanaOpción)</f>
        <v>45614</v>
      </c>
      <c r="B149" s="10">
        <f ca="1"/>
        <v>45615</v>
      </c>
      <c r="C149" s="10">
        <f ca="1"/>
        <v>45616</v>
      </c>
      <c r="D149" s="10">
        <f ca="1"/>
        <v>45617</v>
      </c>
      <c r="E149" s="10">
        <f ca="1"/>
        <v>45618</v>
      </c>
      <c r="F149" s="10">
        <f ca="1"/>
        <v>45619</v>
      </c>
      <c r="G149" s="11">
        <f ca="1"/>
        <v>45620</v>
      </c>
    </row>
    <row r="150" spans="1:7" x14ac:dyDescent="0.3">
      <c r="A150" s="6"/>
      <c r="B150" s="6"/>
      <c r="C150" s="6"/>
      <c r="D150" s="6"/>
      <c r="E150" s="6"/>
      <c r="F150" s="6"/>
      <c r="G150" s="7"/>
    </row>
    <row r="151" spans="1:7" ht="21" x14ac:dyDescent="0.3">
      <c r="A151" s="10">
        <f t="array" aca="1" ref="A151:G151" ca="1">Días+29+DATE(Calendario11Año,Calendario11MesOpción,1)-WEEKDAY(DATE(Calendario11Año,Calendario11MesOpción,1),DíaDeLaSemanaOpción)</f>
        <v>45621</v>
      </c>
      <c r="B151" s="10">
        <f ca="1"/>
        <v>45622</v>
      </c>
      <c r="C151" s="10">
        <f ca="1"/>
        <v>45623</v>
      </c>
      <c r="D151" s="10">
        <f ca="1"/>
        <v>45624</v>
      </c>
      <c r="E151" s="10">
        <f ca="1"/>
        <v>45625</v>
      </c>
      <c r="F151" s="10">
        <f ca="1"/>
        <v>45626</v>
      </c>
      <c r="G151" s="11">
        <f ca="1"/>
        <v>45627</v>
      </c>
    </row>
    <row r="152" spans="1:7" x14ac:dyDescent="0.3">
      <c r="A152" s="6"/>
      <c r="B152" s="6"/>
      <c r="C152" s="6"/>
      <c r="D152" s="6"/>
      <c r="E152" s="6"/>
      <c r="F152" s="6"/>
      <c r="G152" s="8"/>
    </row>
    <row r="153" spans="1:7" ht="21" x14ac:dyDescent="0.3">
      <c r="A153" s="10">
        <f t="array" aca="1" ref="A153:B153" ca="1">Días+36+DATE(Calendario11Año,Calendario11MesOpción,1)-WEEKDAY(DATE(Calendario11Año,Calendario11MesOpción,1),DíaDeLaSemanaOpción)</f>
        <v>45628</v>
      </c>
      <c r="B153" s="10">
        <f ca="1"/>
        <v>45629</v>
      </c>
      <c r="C153" s="61" t="s">
        <v>1</v>
      </c>
      <c r="D153" s="62"/>
      <c r="E153" s="62"/>
      <c r="F153" s="62"/>
      <c r="G153" s="62"/>
    </row>
    <row r="154" spans="1:7" x14ac:dyDescent="0.3">
      <c r="A154" s="6"/>
      <c r="B154" s="6"/>
      <c r="C154" s="63"/>
      <c r="D154" s="63"/>
      <c r="E154" s="63"/>
      <c r="F154" s="63"/>
      <c r="G154" s="63"/>
    </row>
    <row r="155" spans="1:7" ht="46.5" x14ac:dyDescent="0.7">
      <c r="A155" s="1">
        <f ca="1">YEAR(DATE(Calendario11Año,Calendario11MesOpción+1,1))</f>
        <v>2024</v>
      </c>
      <c r="B155" s="64" t="str">
        <f ca="1">TEXT(DATE(Calendario11Año,Calendario11MesOpción+1,1),"mmmm")</f>
        <v>diciembre</v>
      </c>
      <c r="C155" s="64"/>
      <c r="D155" s="64"/>
      <c r="E155" s="2"/>
      <c r="F155" s="2"/>
      <c r="G155" s="2"/>
    </row>
    <row r="156" spans="1:7" x14ac:dyDescent="0.3">
      <c r="A156" s="4" t="str">
        <f ca="1">UPPER(TEXT(A157,"dddd"))</f>
        <v>LUNES</v>
      </c>
      <c r="B156" s="5" t="str">
        <f t="shared" ref="B156:G156" ca="1" si="11">UPPER(TEXT(B157,"dddd"))</f>
        <v>MARTES</v>
      </c>
      <c r="C156" s="4" t="str">
        <f t="shared" ca="1" si="11"/>
        <v>MIÉRCOLES</v>
      </c>
      <c r="D156" s="5" t="str">
        <f t="shared" ca="1" si="11"/>
        <v>JUEVES</v>
      </c>
      <c r="E156" s="4" t="str">
        <f t="shared" ca="1" si="11"/>
        <v>VIERNES</v>
      </c>
      <c r="F156" s="5" t="str">
        <f t="shared" ca="1" si="11"/>
        <v>SÁBADO</v>
      </c>
      <c r="G156" s="4" t="str">
        <f t="shared" ca="1" si="11"/>
        <v>DOMINGO</v>
      </c>
    </row>
    <row r="157" spans="1:7" ht="21" x14ac:dyDescent="0.3">
      <c r="A157" s="10">
        <f t="array" aca="1" ref="A157:G157" ca="1">Días+1+DATE(Calendario12Año,Calendario12MesOpción,1)-WEEKDAY(DATE(Calendario12Año,Calendario12MesOpción,1),DíaDeLaSemanaOpción)</f>
        <v>45621</v>
      </c>
      <c r="B157" s="10">
        <f ca="1"/>
        <v>45622</v>
      </c>
      <c r="C157" s="10">
        <f ca="1"/>
        <v>45623</v>
      </c>
      <c r="D157" s="10">
        <f ca="1"/>
        <v>45624</v>
      </c>
      <c r="E157" s="10">
        <f ca="1"/>
        <v>45625</v>
      </c>
      <c r="F157" s="10">
        <f ca="1"/>
        <v>45626</v>
      </c>
      <c r="G157" s="11">
        <f ca="1"/>
        <v>45627</v>
      </c>
    </row>
    <row r="158" spans="1:7" x14ac:dyDescent="0.3">
      <c r="A158" s="6"/>
      <c r="B158" s="6"/>
      <c r="C158" s="6"/>
      <c r="D158" s="6"/>
      <c r="E158" s="6"/>
      <c r="F158" s="6"/>
      <c r="G158" s="7"/>
    </row>
    <row r="159" spans="1:7" ht="21" x14ac:dyDescent="0.3">
      <c r="A159" s="10">
        <f t="array" aca="1" ref="A159:G159" ca="1">Días+8+DATE(Calendario12Año,Calendario12MesOpción,1)-WEEKDAY(DATE(Calendario12Año,Calendario12MesOpción,1),DíaDeLaSemanaOpción)</f>
        <v>45628</v>
      </c>
      <c r="B159" s="10">
        <f ca="1"/>
        <v>45629</v>
      </c>
      <c r="C159" s="10">
        <f ca="1"/>
        <v>45630</v>
      </c>
      <c r="D159" s="10">
        <f ca="1"/>
        <v>45631</v>
      </c>
      <c r="E159" s="10">
        <f ca="1"/>
        <v>45632</v>
      </c>
      <c r="F159" s="10">
        <f ca="1"/>
        <v>45633</v>
      </c>
      <c r="G159" s="11">
        <f ca="1"/>
        <v>45634</v>
      </c>
    </row>
    <row r="160" spans="1:7" x14ac:dyDescent="0.3">
      <c r="A160" s="6"/>
      <c r="B160" s="6"/>
      <c r="C160" s="6"/>
      <c r="D160" s="6"/>
      <c r="E160" s="6"/>
      <c r="F160" s="6"/>
      <c r="G160" s="7"/>
    </row>
    <row r="161" spans="1:7" ht="21" x14ac:dyDescent="0.3">
      <c r="A161" s="10">
        <f t="array" aca="1" ref="A161:G161" ca="1">Días+15+DATE(Calendario12Año,Calendario12MesOpción,1)-WEEKDAY(DATE(Calendario12Año,Calendario12MesOpción,1),DíaDeLaSemanaOpción)</f>
        <v>45635</v>
      </c>
      <c r="B161" s="10">
        <f ca="1"/>
        <v>45636</v>
      </c>
      <c r="C161" s="10">
        <f ca="1"/>
        <v>45637</v>
      </c>
      <c r="D161" s="10">
        <f ca="1"/>
        <v>45638</v>
      </c>
      <c r="E161" s="10">
        <f ca="1"/>
        <v>45639</v>
      </c>
      <c r="F161" s="10">
        <f ca="1"/>
        <v>45640</v>
      </c>
      <c r="G161" s="11">
        <f ca="1"/>
        <v>45641</v>
      </c>
    </row>
    <row r="162" spans="1:7" x14ac:dyDescent="0.3">
      <c r="A162" s="6"/>
      <c r="B162" s="6"/>
      <c r="C162" s="6"/>
      <c r="D162" s="6"/>
      <c r="E162" s="6"/>
      <c r="F162" s="6"/>
      <c r="G162" s="7"/>
    </row>
    <row r="163" spans="1:7" ht="21" x14ac:dyDescent="0.3">
      <c r="A163" s="10">
        <f t="array" aca="1" ref="A163:G163" ca="1">Días+22+DATE(Calendario12Año,Calendario12MesOpción,1)-WEEKDAY(DATE(Calendario12Año,Calendario12MesOpción,1),DíaDeLaSemanaOpción)</f>
        <v>45642</v>
      </c>
      <c r="B163" s="10">
        <f ca="1"/>
        <v>45643</v>
      </c>
      <c r="C163" s="10">
        <f ca="1"/>
        <v>45644</v>
      </c>
      <c r="D163" s="10">
        <f ca="1"/>
        <v>45645</v>
      </c>
      <c r="E163" s="10">
        <f ca="1"/>
        <v>45646</v>
      </c>
      <c r="F163" s="10">
        <f ca="1"/>
        <v>45647</v>
      </c>
      <c r="G163" s="11">
        <f ca="1"/>
        <v>45648</v>
      </c>
    </row>
    <row r="164" spans="1:7" x14ac:dyDescent="0.3">
      <c r="A164" s="6"/>
      <c r="B164" s="6"/>
      <c r="C164" s="6"/>
      <c r="D164" s="6"/>
      <c r="E164" s="6"/>
      <c r="F164" s="6"/>
      <c r="G164" s="7"/>
    </row>
    <row r="165" spans="1:7" ht="21" x14ac:dyDescent="0.3">
      <c r="A165" s="10">
        <f t="array" aca="1" ref="A165:G165" ca="1">Días+29+DATE(Calendario12Año,Calendario12MesOpción,1)-WEEKDAY(DATE(Calendario12Año,Calendario12MesOpción,1),DíaDeLaSemanaOpción)</f>
        <v>45649</v>
      </c>
      <c r="B165" s="10">
        <f ca="1"/>
        <v>45650</v>
      </c>
      <c r="C165" s="10">
        <f ca="1"/>
        <v>45651</v>
      </c>
      <c r="D165" s="10">
        <f ca="1"/>
        <v>45652</v>
      </c>
      <c r="E165" s="10">
        <f ca="1"/>
        <v>45653</v>
      </c>
      <c r="F165" s="10">
        <f ca="1"/>
        <v>45654</v>
      </c>
      <c r="G165" s="11">
        <f ca="1"/>
        <v>45655</v>
      </c>
    </row>
    <row r="166" spans="1:7" x14ac:dyDescent="0.3">
      <c r="A166" s="6"/>
      <c r="B166" s="6"/>
      <c r="C166" s="6"/>
      <c r="D166" s="6"/>
      <c r="E166" s="6"/>
      <c r="F166" s="6"/>
      <c r="G166" s="8"/>
    </row>
    <row r="167" spans="1:7" ht="21" x14ac:dyDescent="0.3">
      <c r="A167" s="10">
        <f t="array" aca="1" ref="A167:B167" ca="1">Días+36+DATE(Calendario12Año,Calendario12MesOpción,1)-WEEKDAY(DATE(Calendario12Año,Calendario12MesOpción,1),DíaDeLaSemanaOpción)</f>
        <v>45656</v>
      </c>
      <c r="B167" s="10">
        <f ca="1"/>
        <v>45657</v>
      </c>
      <c r="C167" s="61" t="s">
        <v>1</v>
      </c>
      <c r="D167" s="62"/>
      <c r="E167" s="62"/>
      <c r="F167" s="62"/>
      <c r="G167" s="62"/>
    </row>
    <row r="168" spans="1:7" x14ac:dyDescent="0.3">
      <c r="A168" s="6"/>
      <c r="B168" s="6"/>
      <c r="C168" s="63"/>
      <c r="D168" s="63"/>
      <c r="E168" s="63"/>
      <c r="F168" s="63"/>
      <c r="G168" s="63"/>
    </row>
  </sheetData>
  <mergeCells count="36">
    <mergeCell ref="C168:G168"/>
    <mergeCell ref="B113:D113"/>
    <mergeCell ref="C125:G125"/>
    <mergeCell ref="C126:G126"/>
    <mergeCell ref="B127:D127"/>
    <mergeCell ref="C139:G139"/>
    <mergeCell ref="C140:G140"/>
    <mergeCell ref="B141:D141"/>
    <mergeCell ref="C153:G153"/>
    <mergeCell ref="C154:G154"/>
    <mergeCell ref="B155:D155"/>
    <mergeCell ref="C167:G167"/>
    <mergeCell ref="C112:G112"/>
    <mergeCell ref="B57:D57"/>
    <mergeCell ref="C69:G69"/>
    <mergeCell ref="C70:G70"/>
    <mergeCell ref="B71:D71"/>
    <mergeCell ref="C83:G83"/>
    <mergeCell ref="C84:G84"/>
    <mergeCell ref="B85:D85"/>
    <mergeCell ref="C97:G97"/>
    <mergeCell ref="C98:G98"/>
    <mergeCell ref="B99:D99"/>
    <mergeCell ref="C111:G111"/>
    <mergeCell ref="C56:G56"/>
    <mergeCell ref="D1:F1"/>
    <mergeCell ref="C13:G13"/>
    <mergeCell ref="C14:G14"/>
    <mergeCell ref="D15:F15"/>
    <mergeCell ref="C27:G27"/>
    <mergeCell ref="C28:G28"/>
    <mergeCell ref="B29:D29"/>
    <mergeCell ref="C41:G41"/>
    <mergeCell ref="C42:G42"/>
    <mergeCell ref="B43:D43"/>
    <mergeCell ref="C55:G55"/>
  </mergeCells>
  <dataValidations count="12">
    <dataValidation allowBlank="1" showInputMessage="1" prompt="Fecha" sqref="A3" xr:uid="{00000000-0002-0000-09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A2" xr:uid="{00000000-0002-0000-09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B1:D1 D15" xr:uid="{00000000-0002-0000-0900-000002000000}">
      <formula1>"enero,febrero,marzo,abril,mayo,junio,julio,agosto,septiembre,octubre,noviembre,diciembre"</formula1>
    </dataValidation>
    <dataValidation allowBlank="1" showInputMessage="1" showErrorMessage="1" prompt="Escriba el año en esta celda" sqref="A1" xr:uid="{00000000-0002-0000-0900-000004000000}"/>
    <dataValidation allowBlank="1" showInputMessage="1" prompt="Día laborable determinado automáticamente. Para cambiar los días laborables, seleccione un nuevo día de inicio de semana en la celda B2." sqref="B2:G2 A16" xr:uid="{00000000-0002-0000-0900-000005000000}"/>
    <dataValidation allowBlank="1" showInputMessage="1" prompt="El año natural se actualiza automáticamente según el año seleccionado en la celda B1" sqref="A15" xr:uid="{00000000-0002-0000-0900-000007000000}"/>
    <dataValidation allowBlank="1" showInputMessage="1" prompt="El mes natural se actualiza automáticamente según el mes seleccionado en la celda C1" sqref="B15:C15" xr:uid="{00000000-0002-0000-0900-000008000000}"/>
    <dataValidation allowBlank="1" showInputMessage="1" prompt="Escriba las notas del mes en la siguiente celda" sqref="C13:G13" xr:uid="{00000000-0002-0000-0900-000009000000}"/>
    <dataValidation allowBlank="1" showInputMessage="1" prompt="Escriba las notas del mes en esta celda" sqref="C14:G14" xr:uid="{00000000-0002-0000-0900-00000A000000}"/>
    <dataValidation allowBlank="1" showInputMessage="1" showErrorMessage="1" prompt="El año natural se actualiza automáticamente según el año seleccionado en la celda B1" sqref="A29 A155 A141 A127 A113 A99 A85 A71 A57 A43" xr:uid="{00000000-0002-0000-0900-00000B000000}"/>
    <dataValidation allowBlank="1" showInputMessage="1" showErrorMessage="1" prompt="El mes natural se actualiza automáticamente según el mes seleccionado en la celda C1" sqref="B141:D141 B155:D155 B127:D127 B113:D113 B99:D99 B85:D85 B71:D71 B57:D57 B43:D43 B29:D29" xr:uid="{00000000-0002-0000-0900-000015000000}"/>
    <dataValidation allowBlank="1" showInputMessage="1" showErrorMessage="1" prompt="Día laborable determinado automáticamente. Para cambiar los días laborables, seleccione un nuevo día de inicio de semana en la celda B2." sqref="B16:G16 A156:G156 A142:G142 A128:G128 A114:G114 A100:G100 A86:G86 A72:G72 A58:G58 A44:G44 A30:G30" xr:uid="{00000000-0002-0000-0900-00001F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5C9A6C60-7A66-48AB-B718-58DC904D8A4D}">
            <xm:f>MONTH(JoMa!A3)&lt;&gt;Calendario1MesOpción</xm:f>
            <x14:dxf>
              <font>
                <color rgb="FF747474"/>
              </font>
            </x14:dxf>
          </x14:cfRule>
          <xm:sqref>A3:G3 A5:G5 A7:G7 A9:G9 A11:G11 A13:B13</xm:sqref>
        </x14:conditionalFormatting>
        <x14:conditionalFormatting xmlns:xm="http://schemas.microsoft.com/office/excel/2006/main">
          <x14:cfRule type="expression" priority="11" id="{1F203F30-D768-41EA-AA41-82ABE0EB14B6}">
            <xm:f>MONTH(JoMa!A17)&lt;&gt;Calendario2MesOpción</xm:f>
            <x14:dxf>
              <font>
                <color rgb="FF747474"/>
              </font>
            </x14:dxf>
          </x14:cfRule>
          <xm:sqref>A17:G17 A19:G19 A21:G21 A23:G23 A25:G25 A27:B27</xm:sqref>
        </x14:conditionalFormatting>
        <x14:conditionalFormatting xmlns:xm="http://schemas.microsoft.com/office/excel/2006/main">
          <x14:cfRule type="expression" priority="10" id="{168D1665-82D5-4F37-82D3-5C8CD1DF8295}">
            <xm:f>MONTH(JoMa!A31)&lt;&gt;Calendario3MesOpción</xm:f>
            <x14:dxf>
              <font>
                <color rgb="FF747474"/>
              </font>
            </x14:dxf>
          </x14:cfRule>
          <xm:sqref>A31:G31 A33:G33 A35:G35 A37:G37 A39:G39 A41:B41</xm:sqref>
        </x14:conditionalFormatting>
        <x14:conditionalFormatting xmlns:xm="http://schemas.microsoft.com/office/excel/2006/main">
          <x14:cfRule type="expression" priority="9" id="{F4413373-13C1-4129-8D7A-F7DFFC86CB90}">
            <xm:f>MONTH(JoMa!A45)&lt;&gt;Calendario4MesOpción</xm:f>
            <x14:dxf>
              <font>
                <color rgb="FF747474"/>
              </font>
            </x14:dxf>
          </x14:cfRule>
          <xm:sqref>A45:G45 A47:G47 A49:G49 A51:G51 A53:G53 A55:B55</xm:sqref>
        </x14:conditionalFormatting>
        <x14:conditionalFormatting xmlns:xm="http://schemas.microsoft.com/office/excel/2006/main">
          <x14:cfRule type="expression" priority="8" id="{38432275-F875-4F68-92C3-611DB4E8BCDF}">
            <xm:f>MONTH(JoMa!A59)&lt;&gt;Calendario5MesOpción</xm:f>
            <x14:dxf>
              <font>
                <color rgb="FF747474"/>
              </font>
            </x14:dxf>
          </x14:cfRule>
          <xm:sqref>A59:G59 A61:G61 A63:G63 A65:G65 A67:G67 A69:B69</xm:sqref>
        </x14:conditionalFormatting>
        <x14:conditionalFormatting xmlns:xm="http://schemas.microsoft.com/office/excel/2006/main">
          <x14:cfRule type="expression" priority="7" id="{3439ED73-260F-489E-98BC-10A7E0BBF369}">
            <xm:f>MONTH(JoMa!A73)&lt;&gt;Calendario6MesOpción</xm:f>
            <x14:dxf>
              <font>
                <color rgb="FF747474"/>
              </font>
            </x14:dxf>
          </x14:cfRule>
          <xm:sqref>A73:G73 A75:G75 A77:G77 A79:G79 A81:G81 A83:B83</xm:sqref>
        </x14:conditionalFormatting>
        <x14:conditionalFormatting xmlns:xm="http://schemas.microsoft.com/office/excel/2006/main">
          <x14:cfRule type="expression" priority="6" id="{060A354B-854E-482A-837A-D53DF60B8FD5}">
            <xm:f>MONTH(JoMa!A87)&lt;&gt;Calendario7MesOpción</xm:f>
            <x14:dxf>
              <font>
                <color rgb="FF747474"/>
              </font>
            </x14:dxf>
          </x14:cfRule>
          <xm:sqref>A87:G87 A89:G89 A91:G91 A93:G93 A95:G95 A97:B97</xm:sqref>
        </x14:conditionalFormatting>
        <x14:conditionalFormatting xmlns:xm="http://schemas.microsoft.com/office/excel/2006/main">
          <x14:cfRule type="expression" priority="5" id="{F53E3A2A-4AA5-484B-A64D-FFEA64C4D8F2}">
            <xm:f>MONTH(JoMa!A101)&lt;&gt;Calendario8MesOpción</xm:f>
            <x14:dxf>
              <font>
                <color rgb="FF747474"/>
              </font>
            </x14:dxf>
          </x14:cfRule>
          <xm:sqref>A101:G101 A103:G103 A105:G105 A107:G107 A109:G109 A111:B111</xm:sqref>
        </x14:conditionalFormatting>
        <x14:conditionalFormatting xmlns:xm="http://schemas.microsoft.com/office/excel/2006/main">
          <x14:cfRule type="expression" priority="4" id="{13D7D179-0F32-4FA7-8EA3-924A64EB55D5}">
            <xm:f>MONTH(JoMa!A115)&lt;&gt;Calendario9MesOpción</xm:f>
            <x14:dxf>
              <font>
                <color rgb="FF747474"/>
              </font>
            </x14:dxf>
          </x14:cfRule>
          <xm:sqref>A115:G115 A117:G117 A119:G119 A121:G121 A123:G123 A125:B125</xm:sqref>
        </x14:conditionalFormatting>
        <x14:conditionalFormatting xmlns:xm="http://schemas.microsoft.com/office/excel/2006/main">
          <x14:cfRule type="expression" priority="3" id="{6F2D523E-A4AD-4695-B4C4-BDC39A552068}">
            <xm:f>MONTH(JoMa!A129)&lt;&gt;Calendario10MesOpción</xm:f>
            <x14:dxf>
              <font>
                <color rgb="FF747474"/>
              </font>
            </x14:dxf>
          </x14:cfRule>
          <xm:sqref>A129:G129 A131:G131 A133:G133 A135:G135 A137:G137 A139:B139</xm:sqref>
        </x14:conditionalFormatting>
        <x14:conditionalFormatting xmlns:xm="http://schemas.microsoft.com/office/excel/2006/main">
          <x14:cfRule type="expression" priority="2" id="{7D19630E-9340-4E66-A342-C6243A1DB8F9}">
            <xm:f>MONTH(JoMa!A143)&lt;&gt;Calendario11MesOpción</xm:f>
            <x14:dxf>
              <font>
                <color rgb="FF747474"/>
              </font>
            </x14:dxf>
          </x14:cfRule>
          <xm:sqref>A143:G143 A145:G145 A147:G147 A149:G149 A151:G151 A153:B153</xm:sqref>
        </x14:conditionalFormatting>
        <x14:conditionalFormatting xmlns:xm="http://schemas.microsoft.com/office/excel/2006/main">
          <x14:cfRule type="expression" priority="1" id="{71667EEE-C58A-4126-95BB-9C56B8F7D15B}">
            <xm:f>MONTH(JoMa!A157)&lt;&gt;Calendario12MesOpción</xm:f>
            <x14:dxf>
              <font>
                <color rgb="FF747474"/>
              </font>
            </x14:dxf>
          </x14:cfRule>
          <xm:sqref>A157:G157 A159:G159 A161:G161 A163:G163 A165:G165 A167:B167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I168"/>
  <sheetViews>
    <sheetView topLeftCell="A7" workbookViewId="0">
      <selection activeCell="I25" sqref="I25"/>
    </sheetView>
  </sheetViews>
  <sheetFormatPr baseColWidth="10" defaultRowHeight="16.5" x14ac:dyDescent="0.3"/>
  <cols>
    <col min="1" max="1" width="18.25" customWidth="1"/>
    <col min="2" max="7" width="17.625" customWidth="1"/>
    <col min="8" max="8" width="2.5" customWidth="1"/>
  </cols>
  <sheetData>
    <row r="1" spans="1:9" ht="46.5" x14ac:dyDescent="0.7">
      <c r="A1" s="1">
        <f ca="1">YEAR(TODAY())</f>
        <v>2024</v>
      </c>
      <c r="B1" s="18" t="s">
        <v>2</v>
      </c>
      <c r="C1" s="13"/>
      <c r="D1" s="65" t="s">
        <v>117</v>
      </c>
      <c r="E1" s="65"/>
      <c r="F1" s="65"/>
      <c r="G1" s="19" t="s">
        <v>118</v>
      </c>
      <c r="I1" s="20">
        <v>36</v>
      </c>
    </row>
    <row r="2" spans="1:9" x14ac:dyDescent="0.3">
      <c r="A2" s="4" t="s">
        <v>0</v>
      </c>
      <c r="B2" s="5" t="str">
        <f ca="1">UPPER(TEXT(B3,"dddd"))</f>
        <v>MARTES</v>
      </c>
      <c r="C2" s="4" t="str">
        <f t="shared" ref="C2:G2" ca="1" si="0">UPPER(TEXT(C3,"dddd"))</f>
        <v>MIÉRCOLES</v>
      </c>
      <c r="D2" s="5" t="str">
        <f t="shared" ca="1" si="0"/>
        <v>JUEVES</v>
      </c>
      <c r="E2" s="4" t="str">
        <f t="shared" ca="1" si="0"/>
        <v>VIERNES</v>
      </c>
      <c r="F2" s="5" t="str">
        <f t="shared" ca="1" si="0"/>
        <v>SÁBADO</v>
      </c>
      <c r="G2" s="4" t="str">
        <f t="shared" ca="1" si="0"/>
        <v>DOMINGO</v>
      </c>
    </row>
    <row r="3" spans="1:9" ht="21" x14ac:dyDescent="0.3">
      <c r="A3" s="10">
        <f t="array" aca="1" ref="A3:G3" ca="1">Días+1+DATE(Calendario1Año,Calendario1MesOpción,1)-WEEKDAY(DATE(Calendario1Año,Calendario1MesOpción,1),DíaDeLaSemanaOpción)</f>
        <v>45292</v>
      </c>
      <c r="B3" s="10">
        <f ca="1"/>
        <v>45293</v>
      </c>
      <c r="C3" s="10">
        <f ca="1"/>
        <v>45294</v>
      </c>
      <c r="D3" s="10">
        <f ca="1"/>
        <v>45295</v>
      </c>
      <c r="E3" s="10">
        <f ca="1"/>
        <v>45296</v>
      </c>
      <c r="F3" s="10">
        <f ca="1"/>
        <v>45297</v>
      </c>
      <c r="G3" s="11">
        <f ca="1"/>
        <v>45298</v>
      </c>
    </row>
    <row r="4" spans="1:9" x14ac:dyDescent="0.3">
      <c r="A4" s="6"/>
      <c r="B4" s="6"/>
      <c r="C4" s="6"/>
      <c r="D4" s="6"/>
      <c r="E4" s="7"/>
      <c r="F4" s="6"/>
      <c r="G4" s="7"/>
    </row>
    <row r="5" spans="1:9" ht="21" x14ac:dyDescent="0.3">
      <c r="A5" s="10">
        <f t="array" aca="1" ref="A5:G5" ca="1">Días+8+DATE(Calendario1Año,Calendario1MesOpción,1)-WEEKDAY(DATE(Calendario1Año,Calendario1MesOpción,1),DíaDeLaSemanaOpción)</f>
        <v>45299</v>
      </c>
      <c r="B5" s="10">
        <f ca="1"/>
        <v>45300</v>
      </c>
      <c r="C5" s="10">
        <f ca="1"/>
        <v>45301</v>
      </c>
      <c r="D5" s="10">
        <f ca="1"/>
        <v>45302</v>
      </c>
      <c r="E5" s="10">
        <f ca="1"/>
        <v>45303</v>
      </c>
      <c r="F5" s="10">
        <f ca="1"/>
        <v>45304</v>
      </c>
      <c r="G5" s="11">
        <f ca="1"/>
        <v>45305</v>
      </c>
    </row>
    <row r="6" spans="1:9" ht="28.5" x14ac:dyDescent="0.3">
      <c r="A6" s="6"/>
      <c r="C6" s="6"/>
      <c r="D6" s="7"/>
      <c r="E6" s="6"/>
      <c r="F6" s="31" t="s">
        <v>127</v>
      </c>
      <c r="G6" s="7"/>
    </row>
    <row r="7" spans="1:9" ht="21" x14ac:dyDescent="0.3">
      <c r="A7" s="10">
        <f t="array" aca="1" ref="A7:G7" ca="1">Días+15+DATE(Calendario1Año,Calendario1MesOpción,1)-WEEKDAY(DATE(Calendario1Año,Calendario1MesOpción,1),DíaDeLaSemanaOpción)</f>
        <v>45306</v>
      </c>
      <c r="B7" s="10">
        <f ca="1"/>
        <v>45307</v>
      </c>
      <c r="C7" s="10">
        <f ca="1"/>
        <v>45308</v>
      </c>
      <c r="D7" s="10">
        <f ca="1"/>
        <v>45309</v>
      </c>
      <c r="E7" s="10">
        <f ca="1"/>
        <v>45310</v>
      </c>
      <c r="F7" s="10">
        <f ca="1"/>
        <v>45311</v>
      </c>
      <c r="G7" s="11">
        <f ca="1"/>
        <v>45312</v>
      </c>
    </row>
    <row r="8" spans="1:9" x14ac:dyDescent="0.3">
      <c r="A8" s="24"/>
      <c r="B8" s="6"/>
      <c r="C8" s="6"/>
      <c r="D8" s="6"/>
      <c r="E8" s="6"/>
      <c r="F8" s="6"/>
      <c r="G8" s="7"/>
    </row>
    <row r="9" spans="1:9" ht="21" x14ac:dyDescent="0.3">
      <c r="A9" s="10">
        <f t="array" aca="1" ref="A9:G9" ca="1">Días+22+DATE(Calendario1Año,Calendario1MesOpción,1)-WEEKDAY(DATE(Calendario1Año,Calendario1MesOpción,1),DíaDeLaSemanaOpción)</f>
        <v>45313</v>
      </c>
      <c r="B9" s="10">
        <f ca="1"/>
        <v>45314</v>
      </c>
      <c r="C9" s="10">
        <f ca="1"/>
        <v>45315</v>
      </c>
      <c r="D9" s="10">
        <f ca="1"/>
        <v>45316</v>
      </c>
      <c r="E9" s="10">
        <f ca="1"/>
        <v>45317</v>
      </c>
      <c r="F9" s="10">
        <f ca="1"/>
        <v>45318</v>
      </c>
      <c r="G9" s="11">
        <f ca="1"/>
        <v>45319</v>
      </c>
    </row>
    <row r="10" spans="1:9" ht="28.5" x14ac:dyDescent="0.3">
      <c r="A10" s="6"/>
      <c r="B10" s="6"/>
      <c r="C10" s="6"/>
      <c r="D10" s="31" t="s">
        <v>136</v>
      </c>
      <c r="E10" s="6"/>
      <c r="F10" s="6"/>
      <c r="G10" s="7"/>
    </row>
    <row r="11" spans="1:9" ht="21" x14ac:dyDescent="0.3">
      <c r="A11" s="10">
        <f t="array" aca="1" ref="A11:G11" ca="1">Días+29+DATE(Calendario1Año,Calendario1MesOpción,1)-WEEKDAY(DATE(Calendario1Año,Calendario1MesOpción,1),DíaDeLaSemanaOpción)</f>
        <v>45320</v>
      </c>
      <c r="B11" s="10">
        <f ca="1"/>
        <v>45321</v>
      </c>
      <c r="C11" s="10">
        <f ca="1"/>
        <v>45322</v>
      </c>
      <c r="D11" s="10">
        <f ca="1"/>
        <v>45323</v>
      </c>
      <c r="E11" s="10">
        <f ca="1"/>
        <v>45324</v>
      </c>
      <c r="F11" s="10">
        <f ca="1"/>
        <v>45325</v>
      </c>
      <c r="G11" s="11">
        <f ca="1"/>
        <v>45326</v>
      </c>
    </row>
    <row r="12" spans="1:9" x14ac:dyDescent="0.3">
      <c r="A12" s="6"/>
      <c r="B12" s="6"/>
      <c r="C12" s="6"/>
      <c r="D12" s="51"/>
      <c r="E12" s="51"/>
      <c r="F12" s="51"/>
      <c r="G12" s="52"/>
    </row>
    <row r="13" spans="1:9" ht="21" x14ac:dyDescent="0.3">
      <c r="A13" s="10">
        <f t="array" aca="1" ref="A13:B13" ca="1">Días+36+DATE(Calendario1Año,Calendario1MesOpción,1)-WEEKDAY(DATE(Calendario1Año,Calendario1MesOpción,1),DíaDeLaSemanaOpción)</f>
        <v>45327</v>
      </c>
      <c r="B13" s="10">
        <f ca="1"/>
        <v>45328</v>
      </c>
      <c r="C13" s="62" t="s">
        <v>1</v>
      </c>
      <c r="D13" s="62"/>
      <c r="E13" s="62"/>
      <c r="F13" s="62"/>
      <c r="G13" s="62"/>
    </row>
    <row r="14" spans="1:9" x14ac:dyDescent="0.3">
      <c r="A14" s="51"/>
      <c r="B14" s="51"/>
      <c r="C14" s="68"/>
      <c r="D14" s="68"/>
      <c r="E14" s="68"/>
      <c r="F14" s="68"/>
      <c r="G14" s="68"/>
    </row>
    <row r="15" spans="1:9" ht="46.5" x14ac:dyDescent="0.7">
      <c r="A15" s="1">
        <f ca="1">YEAR(DATE(Calendario1Año,Calendario1MesOpción+1,1))</f>
        <v>2024</v>
      </c>
      <c r="B15" s="17" t="str">
        <f ca="1">TEXT(DATE(Calendario1Año,Calendario1MesOpción+1,1),"mmmm")</f>
        <v>febrero</v>
      </c>
      <c r="C15" s="13"/>
      <c r="D15" s="65" t="s">
        <v>117</v>
      </c>
      <c r="E15" s="65"/>
      <c r="F15" s="65"/>
      <c r="G15" s="19" t="s">
        <v>118</v>
      </c>
      <c r="I15" s="20">
        <v>36</v>
      </c>
    </row>
    <row r="16" spans="1:9" x14ac:dyDescent="0.3">
      <c r="A16" s="4" t="str">
        <f ca="1">UPPER(TEXT(A17,"dddd"))</f>
        <v>LUNES</v>
      </c>
      <c r="B16" s="5" t="str">
        <f t="shared" ref="B16:G16" ca="1" si="1">UPPER(TEXT(B17,"dddd"))</f>
        <v>MARTES</v>
      </c>
      <c r="C16" s="4" t="str">
        <f t="shared" ca="1" si="1"/>
        <v>MIÉRCOLES</v>
      </c>
      <c r="D16" s="5" t="str">
        <f t="shared" ca="1" si="1"/>
        <v>JUEVES</v>
      </c>
      <c r="E16" s="4" t="str">
        <f t="shared" ca="1" si="1"/>
        <v>VIERNES</v>
      </c>
      <c r="F16" s="5" t="str">
        <f t="shared" ca="1" si="1"/>
        <v>SÁBADO</v>
      </c>
      <c r="G16" s="4" t="str">
        <f t="shared" ca="1" si="1"/>
        <v>DOMINGO</v>
      </c>
    </row>
    <row r="17" spans="1:7" ht="21" x14ac:dyDescent="0.3">
      <c r="A17" s="10">
        <f t="array" aca="1" ref="A17:G17" ca="1">Días+1+DATE(Calendario2Año,Calendario2MesOpción,1)-WEEKDAY(DATE(Calendario2Año,Calendario2MesOpción,1),DíaDeLaSemanaOpción)</f>
        <v>45320</v>
      </c>
      <c r="B17" s="10">
        <f ca="1"/>
        <v>45321</v>
      </c>
      <c r="C17" s="10">
        <f ca="1"/>
        <v>45322</v>
      </c>
      <c r="D17" s="10">
        <f ca="1"/>
        <v>45323</v>
      </c>
      <c r="E17" s="10">
        <f ca="1"/>
        <v>45324</v>
      </c>
      <c r="F17" s="10">
        <f ca="1"/>
        <v>45325</v>
      </c>
      <c r="G17" s="11">
        <f ca="1"/>
        <v>45326</v>
      </c>
    </row>
    <row r="18" spans="1:7" x14ac:dyDescent="0.3">
      <c r="A18" s="51"/>
      <c r="B18" s="51"/>
      <c r="C18" s="51"/>
      <c r="D18" s="6"/>
      <c r="E18" s="6"/>
      <c r="F18" s="6"/>
      <c r="G18" s="7"/>
    </row>
    <row r="19" spans="1:7" ht="21" x14ac:dyDescent="0.3">
      <c r="A19" s="10">
        <f t="array" aca="1" ref="A19:G19" ca="1">Días+8+DATE(Calendario2Año,Calendario2MesOpción,1)-WEEKDAY(DATE(Calendario2Año,Calendario2MesOpción,1),DíaDeLaSemanaOpción)</f>
        <v>45327</v>
      </c>
      <c r="B19" s="10">
        <f ca="1"/>
        <v>45328</v>
      </c>
      <c r="C19" s="10">
        <f ca="1"/>
        <v>45329</v>
      </c>
      <c r="D19" s="10">
        <f ca="1"/>
        <v>45330</v>
      </c>
      <c r="E19" s="10">
        <f ca="1"/>
        <v>45331</v>
      </c>
      <c r="F19" s="10">
        <f ca="1"/>
        <v>45332</v>
      </c>
      <c r="G19" s="11">
        <f ca="1"/>
        <v>45333</v>
      </c>
    </row>
    <row r="20" spans="1:7" ht="28.5" x14ac:dyDescent="0.3">
      <c r="A20" s="6"/>
      <c r="B20" s="6"/>
      <c r="C20" s="6"/>
      <c r="D20" s="46" t="s">
        <v>136</v>
      </c>
      <c r="E20" s="6"/>
      <c r="F20" s="6"/>
      <c r="G20" s="7"/>
    </row>
    <row r="21" spans="1:7" ht="21" x14ac:dyDescent="0.3">
      <c r="A21" s="10">
        <f t="array" aca="1" ref="A21:G21" ca="1">Días+15+DATE(Calendario2Año,Calendario2MesOpción,1)-WEEKDAY(DATE(Calendario2Año,Calendario2MesOpción,1),DíaDeLaSemanaOpción)</f>
        <v>45334</v>
      </c>
      <c r="B21" s="10">
        <f ca="1"/>
        <v>45335</v>
      </c>
      <c r="C21" s="10">
        <f ca="1"/>
        <v>45336</v>
      </c>
      <c r="D21" s="10">
        <f ca="1"/>
        <v>45337</v>
      </c>
      <c r="E21" s="10">
        <f ca="1"/>
        <v>45338</v>
      </c>
      <c r="F21" s="10">
        <f ca="1"/>
        <v>45339</v>
      </c>
      <c r="G21" s="11">
        <f ca="1"/>
        <v>45340</v>
      </c>
    </row>
    <row r="22" spans="1:7" x14ac:dyDescent="0.3">
      <c r="A22" s="6"/>
      <c r="B22" s="6"/>
      <c r="C22" s="6"/>
      <c r="D22" s="6"/>
      <c r="E22" s="6"/>
      <c r="F22" s="6"/>
      <c r="G22" s="7"/>
    </row>
    <row r="23" spans="1:7" ht="21" x14ac:dyDescent="0.3">
      <c r="A23" s="10">
        <f t="array" aca="1" ref="A23:G23" ca="1">Días+22+DATE(Calendario2Año,Calendario2MesOpción,1)-WEEKDAY(DATE(Calendario2Año,Calendario2MesOpción,1),DíaDeLaSemanaOpción)</f>
        <v>45341</v>
      </c>
      <c r="B23" s="10">
        <f ca="1"/>
        <v>45342</v>
      </c>
      <c r="C23" s="10">
        <f ca="1"/>
        <v>45343</v>
      </c>
      <c r="D23" s="10">
        <f ca="1"/>
        <v>45344</v>
      </c>
      <c r="E23" s="10">
        <f ca="1"/>
        <v>45345</v>
      </c>
      <c r="F23" s="10">
        <f ca="1"/>
        <v>45346</v>
      </c>
      <c r="G23" s="11">
        <f ca="1"/>
        <v>45347</v>
      </c>
    </row>
    <row r="24" spans="1:7" x14ac:dyDescent="0.3">
      <c r="A24" s="6"/>
      <c r="B24" s="6"/>
      <c r="C24" s="6"/>
      <c r="D24" s="6"/>
      <c r="E24" s="6"/>
      <c r="F24" s="6"/>
      <c r="G24" s="7"/>
    </row>
    <row r="25" spans="1:7" ht="21" x14ac:dyDescent="0.3">
      <c r="A25" s="10">
        <f t="array" aca="1" ref="A25:G25" ca="1">Días+29+DATE(Calendario2Año,Calendario2MesOpción,1)-WEEKDAY(DATE(Calendario2Año,Calendario2MesOpción,1),DíaDeLaSemanaOpción)</f>
        <v>45348</v>
      </c>
      <c r="B25" s="10">
        <f ca="1"/>
        <v>45349</v>
      </c>
      <c r="C25" s="10">
        <f ca="1"/>
        <v>45350</v>
      </c>
      <c r="D25" s="10">
        <f ca="1"/>
        <v>45351</v>
      </c>
      <c r="E25" s="10">
        <f ca="1"/>
        <v>45352</v>
      </c>
      <c r="F25" s="10">
        <f ca="1"/>
        <v>45353</v>
      </c>
      <c r="G25" s="11">
        <f ca="1"/>
        <v>45354</v>
      </c>
    </row>
    <row r="26" spans="1:7" x14ac:dyDescent="0.3">
      <c r="A26" s="6"/>
      <c r="B26" s="6"/>
      <c r="C26" s="6"/>
      <c r="D26" s="6"/>
      <c r="E26" s="6"/>
      <c r="F26" s="6"/>
      <c r="G26" s="8"/>
    </row>
    <row r="27" spans="1:7" ht="21" x14ac:dyDescent="0.3">
      <c r="A27" s="10">
        <f t="array" aca="1" ref="A27:B27" ca="1">Días+36+DATE(Calendario2Año,Calendario2MesOpción,1)-WEEKDAY(DATE(Calendario2Año,Calendario2MesOpción,1),DíaDeLaSemanaOpción)</f>
        <v>45355</v>
      </c>
      <c r="B27" s="10">
        <f ca="1"/>
        <v>45356</v>
      </c>
      <c r="C27" s="62" t="s">
        <v>1</v>
      </c>
      <c r="D27" s="62"/>
      <c r="E27" s="62"/>
      <c r="F27" s="62"/>
      <c r="G27" s="62"/>
    </row>
    <row r="28" spans="1:7" x14ac:dyDescent="0.3">
      <c r="A28" s="6"/>
      <c r="B28" s="6"/>
      <c r="C28" s="63"/>
      <c r="D28" s="63"/>
      <c r="E28" s="63"/>
      <c r="F28" s="63"/>
      <c r="G28" s="63"/>
    </row>
    <row r="29" spans="1:7" ht="46.5" x14ac:dyDescent="0.7">
      <c r="A29" s="1">
        <f ca="1">YEAR(DATE(Calendario2Año,Calendario2MesOpción+1,1))</f>
        <v>2024</v>
      </c>
      <c r="B29" s="64" t="str">
        <f ca="1">TEXT(DATE(Calendario2Año,Calendario2MesOpción+1,1),"mmmm")</f>
        <v>marzo</v>
      </c>
      <c r="C29" s="64"/>
      <c r="D29" s="64"/>
      <c r="E29" s="2"/>
      <c r="F29" s="2"/>
      <c r="G29" s="2"/>
    </row>
    <row r="30" spans="1:7" x14ac:dyDescent="0.3">
      <c r="A30" s="4" t="str">
        <f ca="1">UPPER(TEXT(A31,"dddd"))</f>
        <v>LUNES</v>
      </c>
      <c r="B30" s="5" t="str">
        <f t="shared" ref="B30:G30" ca="1" si="2">UPPER(TEXT(B31,"dddd"))</f>
        <v>MARTES</v>
      </c>
      <c r="C30" s="4" t="str">
        <f t="shared" ca="1" si="2"/>
        <v>MIÉRCOLES</v>
      </c>
      <c r="D30" s="5" t="str">
        <f t="shared" ca="1" si="2"/>
        <v>JUEVES</v>
      </c>
      <c r="E30" s="4" t="str">
        <f t="shared" ca="1" si="2"/>
        <v>VIERNES</v>
      </c>
      <c r="F30" s="5" t="str">
        <f t="shared" ca="1" si="2"/>
        <v>SÁBADO</v>
      </c>
      <c r="G30" s="4" t="str">
        <f t="shared" ca="1" si="2"/>
        <v>DOMINGO</v>
      </c>
    </row>
    <row r="31" spans="1:7" ht="21" x14ac:dyDescent="0.3">
      <c r="A31" s="10">
        <f t="array" aca="1" ref="A31:G31" ca="1">Días+1+DATE(Calendario3Año,Calendario3MesOpción,1)-WEEKDAY(DATE(Calendario3Año,Calendario3MesOpción,1),DíaDeLaSemanaOpción)</f>
        <v>45348</v>
      </c>
      <c r="B31" s="10">
        <f ca="1"/>
        <v>45349</v>
      </c>
      <c r="C31" s="10">
        <f ca="1"/>
        <v>45350</v>
      </c>
      <c r="D31" s="10">
        <f ca="1"/>
        <v>45351</v>
      </c>
      <c r="E31" s="10">
        <f ca="1"/>
        <v>45352</v>
      </c>
      <c r="F31" s="10">
        <f ca="1"/>
        <v>45353</v>
      </c>
      <c r="G31" s="11">
        <f ca="1"/>
        <v>45354</v>
      </c>
    </row>
    <row r="32" spans="1:7" x14ac:dyDescent="0.3">
      <c r="A32" s="6"/>
      <c r="B32" s="6"/>
      <c r="C32" s="6"/>
      <c r="D32" s="6"/>
      <c r="E32" s="6"/>
      <c r="F32" s="6"/>
      <c r="G32" s="7"/>
    </row>
    <row r="33" spans="1:7" ht="21" x14ac:dyDescent="0.3">
      <c r="A33" s="10">
        <f t="array" aca="1" ref="A33:G33" ca="1">Días+8+DATE(Calendario3Año,Calendario3MesOpción,1)-WEEKDAY(DATE(Calendario3Año,Calendario3MesOpción,1),DíaDeLaSemanaOpción)</f>
        <v>45355</v>
      </c>
      <c r="B33" s="10">
        <f ca="1"/>
        <v>45356</v>
      </c>
      <c r="C33" s="10">
        <f ca="1"/>
        <v>45357</v>
      </c>
      <c r="D33" s="10">
        <f ca="1"/>
        <v>45358</v>
      </c>
      <c r="E33" s="10">
        <f ca="1"/>
        <v>45359</v>
      </c>
      <c r="F33" s="10">
        <f ca="1"/>
        <v>45360</v>
      </c>
      <c r="G33" s="11">
        <f ca="1"/>
        <v>45361</v>
      </c>
    </row>
    <row r="34" spans="1:7" x14ac:dyDescent="0.3">
      <c r="A34" s="6"/>
      <c r="B34" s="6"/>
      <c r="C34" s="6"/>
      <c r="D34" s="6"/>
      <c r="E34" s="6"/>
      <c r="F34" s="6"/>
      <c r="G34" s="7"/>
    </row>
    <row r="35" spans="1:7" ht="21" x14ac:dyDescent="0.3">
      <c r="A35" s="10">
        <f t="array" aca="1" ref="A35:G35" ca="1">Días+15+DATE(Calendario3Año,Calendario3MesOpción,1)-WEEKDAY(DATE(Calendario3Año,Calendario3MesOpción,1),DíaDeLaSemanaOpción)</f>
        <v>45362</v>
      </c>
      <c r="B35" s="10">
        <f ca="1"/>
        <v>45363</v>
      </c>
      <c r="C35" s="10">
        <f ca="1"/>
        <v>45364</v>
      </c>
      <c r="D35" s="10">
        <f ca="1"/>
        <v>45365</v>
      </c>
      <c r="E35" s="10">
        <f ca="1"/>
        <v>45366</v>
      </c>
      <c r="F35" s="10">
        <f ca="1"/>
        <v>45367</v>
      </c>
      <c r="G35" s="11">
        <f ca="1"/>
        <v>45368</v>
      </c>
    </row>
    <row r="36" spans="1:7" x14ac:dyDescent="0.3">
      <c r="A36" s="6"/>
      <c r="B36" s="6"/>
      <c r="C36" s="6"/>
      <c r="D36" s="6"/>
      <c r="E36" s="6"/>
      <c r="F36" s="6"/>
      <c r="G36" s="7"/>
    </row>
    <row r="37" spans="1:7" ht="21" x14ac:dyDescent="0.3">
      <c r="A37" s="10">
        <f t="array" aca="1" ref="A37:G37" ca="1">Días+22+DATE(Calendario3Año,Calendario3MesOpción,1)-WEEKDAY(DATE(Calendario3Año,Calendario3MesOpción,1),DíaDeLaSemanaOpción)</f>
        <v>45369</v>
      </c>
      <c r="B37" s="10">
        <f ca="1"/>
        <v>45370</v>
      </c>
      <c r="C37" s="10">
        <f ca="1"/>
        <v>45371</v>
      </c>
      <c r="D37" s="10">
        <f ca="1"/>
        <v>45372</v>
      </c>
      <c r="E37" s="10">
        <f ca="1"/>
        <v>45373</v>
      </c>
      <c r="F37" s="10">
        <f ca="1"/>
        <v>45374</v>
      </c>
      <c r="G37" s="11">
        <f ca="1"/>
        <v>45375</v>
      </c>
    </row>
    <row r="38" spans="1:7" x14ac:dyDescent="0.3">
      <c r="A38" s="6"/>
      <c r="B38" s="6"/>
      <c r="C38" s="6"/>
      <c r="D38" s="6"/>
      <c r="E38" s="6"/>
      <c r="F38" s="6"/>
      <c r="G38" s="7"/>
    </row>
    <row r="39" spans="1:7" ht="21" x14ac:dyDescent="0.3">
      <c r="A39" s="10">
        <f t="array" aca="1" ref="A39:G39" ca="1">Días+29+DATE(Calendario3Año,Calendario3MesOpción,1)-WEEKDAY(DATE(Calendario3Año,Calendario3MesOpción,1),DíaDeLaSemanaOpción)</f>
        <v>45376</v>
      </c>
      <c r="B39" s="10">
        <f ca="1"/>
        <v>45377</v>
      </c>
      <c r="C39" s="10">
        <f ca="1"/>
        <v>45378</v>
      </c>
      <c r="D39" s="10">
        <f ca="1"/>
        <v>45379</v>
      </c>
      <c r="E39" s="10">
        <f ca="1"/>
        <v>45380</v>
      </c>
      <c r="F39" s="10">
        <f ca="1"/>
        <v>45381</v>
      </c>
      <c r="G39" s="11">
        <f ca="1"/>
        <v>45382</v>
      </c>
    </row>
    <row r="40" spans="1:7" x14ac:dyDescent="0.3">
      <c r="A40" s="6"/>
      <c r="B40" s="6"/>
      <c r="C40" s="6"/>
      <c r="D40" s="6"/>
      <c r="E40" s="6"/>
      <c r="F40" s="6"/>
      <c r="G40" s="8"/>
    </row>
    <row r="41" spans="1:7" ht="21" x14ac:dyDescent="0.3">
      <c r="A41" s="10">
        <f t="array" aca="1" ref="A41:B41" ca="1">Días+36+DATE(Calendario3Año,Calendario3MesOpción,1)-WEEKDAY(DATE(Calendario3Año,Calendario3MesOpción,1),DíaDeLaSemanaOpción)</f>
        <v>45383</v>
      </c>
      <c r="B41" s="10">
        <f ca="1"/>
        <v>45384</v>
      </c>
      <c r="C41" s="62" t="s">
        <v>1</v>
      </c>
      <c r="D41" s="62"/>
      <c r="E41" s="62"/>
      <c r="F41" s="62"/>
      <c r="G41" s="62"/>
    </row>
    <row r="42" spans="1:7" x14ac:dyDescent="0.3">
      <c r="A42" s="6"/>
      <c r="B42" s="6"/>
      <c r="C42" s="63"/>
      <c r="D42" s="63"/>
      <c r="E42" s="63"/>
      <c r="F42" s="63"/>
      <c r="G42" s="63"/>
    </row>
    <row r="43" spans="1:7" ht="46.5" x14ac:dyDescent="0.7">
      <c r="A43" s="1">
        <f ca="1">YEAR(DATE(Calendario3Año,Calendario3MesOpción+1,1))</f>
        <v>2024</v>
      </c>
      <c r="B43" s="64" t="str">
        <f ca="1">TEXT(DATE(Calendario3Año,Calendario3MesOpción+1,1),"mmmm")</f>
        <v>abril</v>
      </c>
      <c r="C43" s="64"/>
      <c r="D43" s="64"/>
      <c r="E43" s="2"/>
      <c r="F43" s="2"/>
      <c r="G43" s="2"/>
    </row>
    <row r="44" spans="1:7" x14ac:dyDescent="0.3">
      <c r="A44" s="4" t="str">
        <f ca="1">UPPER(TEXT(A45,"dddd"))</f>
        <v>LUNES</v>
      </c>
      <c r="B44" s="5" t="str">
        <f t="shared" ref="B44:G44" ca="1" si="3">UPPER(TEXT(B45,"dddd"))</f>
        <v>MARTES</v>
      </c>
      <c r="C44" s="4" t="str">
        <f t="shared" ca="1" si="3"/>
        <v>MIÉRCOLES</v>
      </c>
      <c r="D44" s="5" t="str">
        <f t="shared" ca="1" si="3"/>
        <v>JUEVES</v>
      </c>
      <c r="E44" s="4" t="str">
        <f t="shared" ca="1" si="3"/>
        <v>VIERNES</v>
      </c>
      <c r="F44" s="5" t="str">
        <f t="shared" ca="1" si="3"/>
        <v>SÁBADO</v>
      </c>
      <c r="G44" s="4" t="str">
        <f t="shared" ca="1" si="3"/>
        <v>DOMINGO</v>
      </c>
    </row>
    <row r="45" spans="1:7" ht="21" x14ac:dyDescent="0.3">
      <c r="A45" s="10">
        <f t="array" aca="1" ref="A45:G45" ca="1">Días+1+DATE(Calendario4Año,Calendario4MesOpción,1)-WEEKDAY(DATE(Calendario4Año,Calendario4MesOpción,1),DíaDeLaSemanaOpción)</f>
        <v>45383</v>
      </c>
      <c r="B45" s="10">
        <f ca="1"/>
        <v>45384</v>
      </c>
      <c r="C45" s="10">
        <f ca="1"/>
        <v>45385</v>
      </c>
      <c r="D45" s="10">
        <f ca="1"/>
        <v>45386</v>
      </c>
      <c r="E45" s="10">
        <f ca="1"/>
        <v>45387</v>
      </c>
      <c r="F45" s="10">
        <f ca="1"/>
        <v>45388</v>
      </c>
      <c r="G45" s="11">
        <f ca="1"/>
        <v>45389</v>
      </c>
    </row>
    <row r="46" spans="1:7" x14ac:dyDescent="0.3">
      <c r="A46" s="6"/>
      <c r="B46" s="6"/>
      <c r="C46" s="6"/>
      <c r="D46" s="6"/>
      <c r="E46" s="6"/>
      <c r="F46" s="6"/>
      <c r="G46" s="7"/>
    </row>
    <row r="47" spans="1:7" ht="21" x14ac:dyDescent="0.3">
      <c r="A47" s="10">
        <f t="array" aca="1" ref="A47:G47" ca="1">Días+8+DATE(Calendario4Año,Calendario4MesOpción,1)-WEEKDAY(DATE(Calendario4Año,Calendario4MesOpción,1),DíaDeLaSemanaOpción)</f>
        <v>45390</v>
      </c>
      <c r="B47" s="10">
        <f ca="1"/>
        <v>45391</v>
      </c>
      <c r="C47" s="10">
        <f ca="1"/>
        <v>45392</v>
      </c>
      <c r="D47" s="10">
        <f ca="1"/>
        <v>45393</v>
      </c>
      <c r="E47" s="10">
        <f ca="1"/>
        <v>45394</v>
      </c>
      <c r="F47" s="10">
        <f ca="1"/>
        <v>45395</v>
      </c>
      <c r="G47" s="11">
        <f ca="1"/>
        <v>45396</v>
      </c>
    </row>
    <row r="48" spans="1:7" x14ac:dyDescent="0.3">
      <c r="A48" s="6"/>
      <c r="B48" s="6"/>
      <c r="C48" s="6"/>
      <c r="D48" s="6"/>
      <c r="E48" s="6"/>
      <c r="F48" s="6"/>
      <c r="G48" s="7"/>
    </row>
    <row r="49" spans="1:7" ht="21" x14ac:dyDescent="0.3">
      <c r="A49" s="10">
        <f t="array" aca="1" ref="A49:G49" ca="1">Días+15+DATE(Calendario4Año,Calendario4MesOpción,1)-WEEKDAY(DATE(Calendario4Año,Calendario4MesOpción,1),DíaDeLaSemanaOpción)</f>
        <v>45397</v>
      </c>
      <c r="B49" s="10">
        <f ca="1"/>
        <v>45398</v>
      </c>
      <c r="C49" s="10">
        <f ca="1"/>
        <v>45399</v>
      </c>
      <c r="D49" s="10">
        <f ca="1"/>
        <v>45400</v>
      </c>
      <c r="E49" s="10">
        <f ca="1"/>
        <v>45401</v>
      </c>
      <c r="F49" s="10">
        <f ca="1"/>
        <v>45402</v>
      </c>
      <c r="G49" s="11">
        <f ca="1"/>
        <v>45403</v>
      </c>
    </row>
    <row r="50" spans="1:7" x14ac:dyDescent="0.3">
      <c r="A50" s="6"/>
      <c r="B50" s="6"/>
      <c r="C50" s="6"/>
      <c r="D50" s="6"/>
      <c r="E50" s="6"/>
      <c r="F50" s="6"/>
      <c r="G50" s="7"/>
    </row>
    <row r="51" spans="1:7" ht="21" x14ac:dyDescent="0.3">
      <c r="A51" s="10">
        <f t="array" aca="1" ref="A51:G51" ca="1">Días+22+DATE(Calendario4Año,Calendario4MesOpción,1)-WEEKDAY(DATE(Calendario4Año,Calendario4MesOpción,1),DíaDeLaSemanaOpción)</f>
        <v>45404</v>
      </c>
      <c r="B51" s="10">
        <f ca="1"/>
        <v>45405</v>
      </c>
      <c r="C51" s="10">
        <f ca="1"/>
        <v>45406</v>
      </c>
      <c r="D51" s="10">
        <f ca="1"/>
        <v>45407</v>
      </c>
      <c r="E51" s="10">
        <f ca="1"/>
        <v>45408</v>
      </c>
      <c r="F51" s="10">
        <f ca="1"/>
        <v>45409</v>
      </c>
      <c r="G51" s="11">
        <f ca="1"/>
        <v>45410</v>
      </c>
    </row>
    <row r="52" spans="1:7" x14ac:dyDescent="0.3">
      <c r="A52" s="6"/>
      <c r="B52" s="6"/>
      <c r="C52" s="6"/>
      <c r="D52" s="6"/>
      <c r="E52" s="6"/>
      <c r="F52" s="6"/>
      <c r="G52" s="7"/>
    </row>
    <row r="53" spans="1:7" ht="21" x14ac:dyDescent="0.3">
      <c r="A53" s="10">
        <f t="array" aca="1" ref="A53:G53" ca="1">Días+29+DATE(Calendario4Año,Calendario4MesOpción,1)-WEEKDAY(DATE(Calendario4Año,Calendario4MesOpción,1),DíaDeLaSemanaOpción)</f>
        <v>45411</v>
      </c>
      <c r="B53" s="10">
        <f ca="1"/>
        <v>45412</v>
      </c>
      <c r="C53" s="10">
        <f ca="1"/>
        <v>45413</v>
      </c>
      <c r="D53" s="10">
        <f ca="1"/>
        <v>45414</v>
      </c>
      <c r="E53" s="10">
        <f ca="1"/>
        <v>45415</v>
      </c>
      <c r="F53" s="10">
        <f ca="1"/>
        <v>45416</v>
      </c>
      <c r="G53" s="11">
        <f ca="1"/>
        <v>45417</v>
      </c>
    </row>
    <row r="54" spans="1:7" x14ac:dyDescent="0.3">
      <c r="A54" s="6"/>
      <c r="B54" s="6"/>
      <c r="C54" s="6"/>
      <c r="D54" s="6"/>
      <c r="E54" s="6"/>
      <c r="F54" s="6"/>
      <c r="G54" s="8"/>
    </row>
    <row r="55" spans="1:7" ht="21" x14ac:dyDescent="0.3">
      <c r="A55" s="10">
        <f t="array" aca="1" ref="A55:B55" ca="1">Días+36+DATE(Calendario4Año,Calendario4MesOpción,1)-WEEKDAY(DATE(Calendario4Año,Calendario4MesOpción,1),DíaDeLaSemanaOpción)</f>
        <v>45418</v>
      </c>
      <c r="B55" s="10">
        <f ca="1"/>
        <v>45419</v>
      </c>
      <c r="C55" s="61" t="s">
        <v>1</v>
      </c>
      <c r="D55" s="62"/>
      <c r="E55" s="62"/>
      <c r="F55" s="62"/>
      <c r="G55" s="62"/>
    </row>
    <row r="56" spans="1:7" x14ac:dyDescent="0.3">
      <c r="A56" s="6"/>
      <c r="B56" s="6"/>
      <c r="C56" s="63"/>
      <c r="D56" s="63"/>
      <c r="E56" s="63"/>
      <c r="F56" s="63"/>
      <c r="G56" s="63"/>
    </row>
    <row r="57" spans="1:7" ht="46.5" x14ac:dyDescent="0.7">
      <c r="A57" s="1">
        <f ca="1">YEAR(DATE(Calendario4Año,Calendario4MesOpción+1,1))</f>
        <v>2024</v>
      </c>
      <c r="B57" s="64" t="str">
        <f ca="1">TEXT(DATE(Calendario4Año,Calendario4MesOpción+1,1),"mmmm")</f>
        <v>mayo</v>
      </c>
      <c r="C57" s="64"/>
      <c r="D57" s="64"/>
      <c r="E57" s="2"/>
      <c r="F57" s="2"/>
      <c r="G57" s="2"/>
    </row>
    <row r="58" spans="1:7" x14ac:dyDescent="0.3">
      <c r="A58" s="4" t="str">
        <f ca="1">UPPER(TEXT(A59,"dddd"))</f>
        <v>LUNES</v>
      </c>
      <c r="B58" s="5" t="str">
        <f t="shared" ref="B58:G58" ca="1" si="4">UPPER(TEXT(B59,"dddd"))</f>
        <v>MARTES</v>
      </c>
      <c r="C58" s="4" t="str">
        <f t="shared" ca="1" si="4"/>
        <v>MIÉRCOLES</v>
      </c>
      <c r="D58" s="5" t="str">
        <f t="shared" ca="1" si="4"/>
        <v>JUEVES</v>
      </c>
      <c r="E58" s="4" t="str">
        <f t="shared" ca="1" si="4"/>
        <v>VIERNES</v>
      </c>
      <c r="F58" s="5" t="str">
        <f t="shared" ca="1" si="4"/>
        <v>SÁBADO</v>
      </c>
      <c r="G58" s="4" t="str">
        <f t="shared" ca="1" si="4"/>
        <v>DOMINGO</v>
      </c>
    </row>
    <row r="59" spans="1:7" ht="21" x14ac:dyDescent="0.3">
      <c r="A59" s="10">
        <f t="array" aca="1" ref="A59:G59" ca="1">Días+1+DATE(Calendario5Año,Calendario5MesOpción,1)-WEEKDAY(DATE(Calendario5Año,Calendario5MesOpción,1),DíaDeLaSemanaOpción)</f>
        <v>45411</v>
      </c>
      <c r="B59" s="10">
        <f ca="1"/>
        <v>45412</v>
      </c>
      <c r="C59" s="10">
        <f ca="1"/>
        <v>45413</v>
      </c>
      <c r="D59" s="10">
        <f ca="1"/>
        <v>45414</v>
      </c>
      <c r="E59" s="10">
        <f ca="1"/>
        <v>45415</v>
      </c>
      <c r="F59" s="10">
        <f ca="1"/>
        <v>45416</v>
      </c>
      <c r="G59" s="11">
        <f ca="1"/>
        <v>45417</v>
      </c>
    </row>
    <row r="60" spans="1:7" x14ac:dyDescent="0.3">
      <c r="A60" s="6"/>
      <c r="B60" s="6"/>
      <c r="C60" s="6"/>
      <c r="D60" s="6"/>
      <c r="E60" s="6"/>
      <c r="F60" s="6"/>
      <c r="G60" s="7"/>
    </row>
    <row r="61" spans="1:7" ht="21" x14ac:dyDescent="0.3">
      <c r="A61" s="10">
        <f t="array" aca="1" ref="A61:G61" ca="1">Días+8+DATE(Calendario5Año,Calendario5MesOpción,1)-WEEKDAY(DATE(Calendario5Año,Calendario5MesOpción,1),DíaDeLaSemanaOpción)</f>
        <v>45418</v>
      </c>
      <c r="B61" s="10">
        <f ca="1"/>
        <v>45419</v>
      </c>
      <c r="C61" s="10">
        <f ca="1"/>
        <v>45420</v>
      </c>
      <c r="D61" s="10">
        <f ca="1"/>
        <v>45421</v>
      </c>
      <c r="E61" s="10">
        <f ca="1"/>
        <v>45422</v>
      </c>
      <c r="F61" s="10">
        <f ca="1"/>
        <v>45423</v>
      </c>
      <c r="G61" s="11">
        <f ca="1"/>
        <v>45424</v>
      </c>
    </row>
    <row r="62" spans="1:7" x14ac:dyDescent="0.3">
      <c r="A62" s="6"/>
      <c r="B62" s="6"/>
      <c r="C62" s="6"/>
      <c r="D62" s="6"/>
      <c r="E62" s="6"/>
      <c r="F62" s="6"/>
      <c r="G62" s="7"/>
    </row>
    <row r="63" spans="1:7" ht="21" x14ac:dyDescent="0.3">
      <c r="A63" s="10">
        <f t="array" aca="1" ref="A63:G63" ca="1">Días+15+DATE(Calendario5Año,Calendario5MesOpción,1)-WEEKDAY(DATE(Calendario5Año,Calendario5MesOpción,1),DíaDeLaSemanaOpción)</f>
        <v>45425</v>
      </c>
      <c r="B63" s="10">
        <f ca="1"/>
        <v>45426</v>
      </c>
      <c r="C63" s="10">
        <f ca="1"/>
        <v>45427</v>
      </c>
      <c r="D63" s="10">
        <f ca="1"/>
        <v>45428</v>
      </c>
      <c r="E63" s="10">
        <f ca="1"/>
        <v>45429</v>
      </c>
      <c r="F63" s="10">
        <f ca="1"/>
        <v>45430</v>
      </c>
      <c r="G63" s="11">
        <f ca="1"/>
        <v>45431</v>
      </c>
    </row>
    <row r="64" spans="1:7" x14ac:dyDescent="0.3">
      <c r="A64" s="6"/>
      <c r="B64" s="6"/>
      <c r="C64" s="6"/>
      <c r="D64" s="6"/>
      <c r="E64" s="6"/>
      <c r="F64" s="6"/>
      <c r="G64" s="7"/>
    </row>
    <row r="65" spans="1:7" ht="21" x14ac:dyDescent="0.3">
      <c r="A65" s="10">
        <f t="array" aca="1" ref="A65:G65" ca="1">Días+22+DATE(Calendario5Año,Calendario5MesOpción,1)-WEEKDAY(DATE(Calendario5Año,Calendario5MesOpción,1),DíaDeLaSemanaOpción)</f>
        <v>45432</v>
      </c>
      <c r="B65" s="10">
        <f ca="1"/>
        <v>45433</v>
      </c>
      <c r="C65" s="10">
        <f ca="1"/>
        <v>45434</v>
      </c>
      <c r="D65" s="10">
        <f ca="1"/>
        <v>45435</v>
      </c>
      <c r="E65" s="10">
        <f ca="1"/>
        <v>45436</v>
      </c>
      <c r="F65" s="10">
        <f ca="1"/>
        <v>45437</v>
      </c>
      <c r="G65" s="11">
        <f ca="1"/>
        <v>45438</v>
      </c>
    </row>
    <row r="66" spans="1:7" x14ac:dyDescent="0.3">
      <c r="A66" s="6"/>
      <c r="B66" s="6"/>
      <c r="C66" s="6"/>
      <c r="D66" s="6"/>
      <c r="E66" s="6"/>
      <c r="F66" s="6"/>
      <c r="G66" s="7"/>
    </row>
    <row r="67" spans="1:7" ht="21" x14ac:dyDescent="0.3">
      <c r="A67" s="10">
        <f t="array" aca="1" ref="A67:G67" ca="1">Días+29+DATE(Calendario5Año,Calendario5MesOpción,1)-WEEKDAY(DATE(Calendario5Año,Calendario5MesOpción,1),DíaDeLaSemanaOpción)</f>
        <v>45439</v>
      </c>
      <c r="B67" s="10">
        <f ca="1"/>
        <v>45440</v>
      </c>
      <c r="C67" s="10">
        <f ca="1"/>
        <v>45441</v>
      </c>
      <c r="D67" s="10">
        <f ca="1"/>
        <v>45442</v>
      </c>
      <c r="E67" s="10">
        <f ca="1"/>
        <v>45443</v>
      </c>
      <c r="F67" s="10">
        <f ca="1"/>
        <v>45444</v>
      </c>
      <c r="G67" s="11">
        <f ca="1"/>
        <v>45445</v>
      </c>
    </row>
    <row r="68" spans="1:7" x14ac:dyDescent="0.3">
      <c r="A68" s="6"/>
      <c r="B68" s="6"/>
      <c r="C68" s="6"/>
      <c r="D68" s="6"/>
      <c r="E68" s="6"/>
      <c r="F68" s="6"/>
      <c r="G68" s="8"/>
    </row>
    <row r="69" spans="1:7" ht="21" x14ac:dyDescent="0.3">
      <c r="A69" s="10">
        <f t="array" aca="1" ref="A69:B69" ca="1">Días+36+DATE(Calendario5Año,Calendario5MesOpción,1)-WEEKDAY(DATE(Calendario5Año,Calendario5MesOpción,1),DíaDeLaSemanaOpción)</f>
        <v>45446</v>
      </c>
      <c r="B69" s="10">
        <f ca="1"/>
        <v>45447</v>
      </c>
      <c r="C69" s="61" t="s">
        <v>1</v>
      </c>
      <c r="D69" s="62"/>
      <c r="E69" s="62"/>
      <c r="F69" s="62"/>
      <c r="G69" s="62"/>
    </row>
    <row r="70" spans="1:7" x14ac:dyDescent="0.3">
      <c r="A70" s="6"/>
      <c r="B70" s="6"/>
      <c r="C70" s="63"/>
      <c r="D70" s="63"/>
      <c r="E70" s="63"/>
      <c r="F70" s="63"/>
      <c r="G70" s="63"/>
    </row>
    <row r="71" spans="1:7" ht="46.5" x14ac:dyDescent="0.7">
      <c r="A71" s="1">
        <f ca="1">YEAR(DATE(Calendario5Año,Calendario5MesOpción+1,1))</f>
        <v>2024</v>
      </c>
      <c r="B71" s="64" t="str">
        <f ca="1">TEXT(DATE(Calendario5Año,Calendario5MesOpción+1,1),"mmmm")</f>
        <v>junio</v>
      </c>
      <c r="C71" s="64"/>
      <c r="D71" s="64"/>
      <c r="E71" s="2"/>
      <c r="F71" s="2"/>
      <c r="G71" s="2"/>
    </row>
    <row r="72" spans="1:7" x14ac:dyDescent="0.3">
      <c r="A72" s="4" t="str">
        <f ca="1">UPPER(TEXT(A73,"dddd"))</f>
        <v>LUNES</v>
      </c>
      <c r="B72" s="5" t="str">
        <f t="shared" ref="B72:G72" ca="1" si="5">UPPER(TEXT(B73,"dddd"))</f>
        <v>MARTES</v>
      </c>
      <c r="C72" s="4" t="str">
        <f t="shared" ca="1" si="5"/>
        <v>MIÉRCOLES</v>
      </c>
      <c r="D72" s="5" t="str">
        <f t="shared" ca="1" si="5"/>
        <v>JUEVES</v>
      </c>
      <c r="E72" s="4" t="str">
        <f t="shared" ca="1" si="5"/>
        <v>VIERNES</v>
      </c>
      <c r="F72" s="5" t="str">
        <f t="shared" ca="1" si="5"/>
        <v>SÁBADO</v>
      </c>
      <c r="G72" s="4" t="str">
        <f t="shared" ca="1" si="5"/>
        <v>DOMINGO</v>
      </c>
    </row>
    <row r="73" spans="1:7" ht="21" x14ac:dyDescent="0.3">
      <c r="A73" s="10">
        <f t="array" aca="1" ref="A73:G73" ca="1">Días+1+DATE(Calendario6Año,Calendario6MesOpción,1)-WEEKDAY(DATE(Calendario6Año,Calendario6MesOpción,1),DíaDeLaSemanaOpción)</f>
        <v>45439</v>
      </c>
      <c r="B73" s="10">
        <f ca="1"/>
        <v>45440</v>
      </c>
      <c r="C73" s="10">
        <f ca="1"/>
        <v>45441</v>
      </c>
      <c r="D73" s="10">
        <f ca="1"/>
        <v>45442</v>
      </c>
      <c r="E73" s="10">
        <f ca="1"/>
        <v>45443</v>
      </c>
      <c r="F73" s="10">
        <f ca="1"/>
        <v>45444</v>
      </c>
      <c r="G73" s="11">
        <f ca="1"/>
        <v>45445</v>
      </c>
    </row>
    <row r="74" spans="1:7" x14ac:dyDescent="0.3">
      <c r="A74" s="6"/>
      <c r="B74" s="6"/>
      <c r="C74" s="6"/>
      <c r="D74" s="6"/>
      <c r="E74" s="6"/>
      <c r="F74" s="6"/>
      <c r="G74" s="7"/>
    </row>
    <row r="75" spans="1:7" ht="21" x14ac:dyDescent="0.3">
      <c r="A75" s="10">
        <f t="array" aca="1" ref="A75:G75" ca="1">Días+8+DATE(Calendario6Año,Calendario6MesOpción,1)-WEEKDAY(DATE(Calendario6Año,Calendario6MesOpción,1),DíaDeLaSemanaOpción)</f>
        <v>45446</v>
      </c>
      <c r="B75" s="10">
        <f ca="1"/>
        <v>45447</v>
      </c>
      <c r="C75" s="10">
        <f ca="1"/>
        <v>45448</v>
      </c>
      <c r="D75" s="10">
        <f ca="1"/>
        <v>45449</v>
      </c>
      <c r="E75" s="10">
        <f ca="1"/>
        <v>45450</v>
      </c>
      <c r="F75" s="10">
        <f ca="1"/>
        <v>45451</v>
      </c>
      <c r="G75" s="11">
        <f ca="1"/>
        <v>45452</v>
      </c>
    </row>
    <row r="76" spans="1:7" x14ac:dyDescent="0.3">
      <c r="A76" s="6"/>
      <c r="B76" s="6"/>
      <c r="C76" s="6"/>
      <c r="D76" s="6"/>
      <c r="E76" s="6"/>
      <c r="F76" s="6"/>
      <c r="G76" s="7"/>
    </row>
    <row r="77" spans="1:7" ht="21" x14ac:dyDescent="0.3">
      <c r="A77" s="10">
        <f t="array" aca="1" ref="A77:G77" ca="1">Días+15+DATE(Calendario6Año,Calendario6MesOpción,1)-WEEKDAY(DATE(Calendario6Año,Calendario6MesOpción,1),DíaDeLaSemanaOpción)</f>
        <v>45453</v>
      </c>
      <c r="B77" s="10">
        <f ca="1"/>
        <v>45454</v>
      </c>
      <c r="C77" s="10">
        <f ca="1"/>
        <v>45455</v>
      </c>
      <c r="D77" s="10">
        <f ca="1"/>
        <v>45456</v>
      </c>
      <c r="E77" s="10">
        <f ca="1"/>
        <v>45457</v>
      </c>
      <c r="F77" s="10">
        <f ca="1"/>
        <v>45458</v>
      </c>
      <c r="G77" s="11">
        <f ca="1"/>
        <v>45459</v>
      </c>
    </row>
    <row r="78" spans="1:7" x14ac:dyDescent="0.3">
      <c r="A78" s="6"/>
      <c r="B78" s="6"/>
      <c r="C78" s="6"/>
      <c r="D78" s="6"/>
      <c r="E78" s="6"/>
      <c r="F78" s="6"/>
      <c r="G78" s="7"/>
    </row>
    <row r="79" spans="1:7" ht="21" x14ac:dyDescent="0.3">
      <c r="A79" s="10">
        <f t="array" aca="1" ref="A79:G79" ca="1">Días+22+DATE(Calendario6Año,Calendario6MesOpción,1)-WEEKDAY(DATE(Calendario6Año,Calendario6MesOpción,1),DíaDeLaSemanaOpción)</f>
        <v>45460</v>
      </c>
      <c r="B79" s="10">
        <f ca="1"/>
        <v>45461</v>
      </c>
      <c r="C79" s="10">
        <f ca="1"/>
        <v>45462</v>
      </c>
      <c r="D79" s="10">
        <f ca="1"/>
        <v>45463</v>
      </c>
      <c r="E79" s="10">
        <f ca="1"/>
        <v>45464</v>
      </c>
      <c r="F79" s="10">
        <f ca="1"/>
        <v>45465</v>
      </c>
      <c r="G79" s="11">
        <f ca="1"/>
        <v>45466</v>
      </c>
    </row>
    <row r="80" spans="1:7" x14ac:dyDescent="0.3">
      <c r="A80" s="6"/>
      <c r="B80" s="6"/>
      <c r="C80" s="6"/>
      <c r="D80" s="6"/>
      <c r="E80" s="6"/>
      <c r="F80" s="6"/>
      <c r="G80" s="7"/>
    </row>
    <row r="81" spans="1:7" ht="21" x14ac:dyDescent="0.3">
      <c r="A81" s="10">
        <f t="array" aca="1" ref="A81:G81" ca="1">Días+29+DATE(Calendario6Año,Calendario6MesOpción,1)-WEEKDAY(DATE(Calendario6Año,Calendario6MesOpción,1),DíaDeLaSemanaOpción)</f>
        <v>45467</v>
      </c>
      <c r="B81" s="10">
        <f ca="1"/>
        <v>45468</v>
      </c>
      <c r="C81" s="10">
        <f ca="1"/>
        <v>45469</v>
      </c>
      <c r="D81" s="10">
        <f ca="1"/>
        <v>45470</v>
      </c>
      <c r="E81" s="10">
        <f ca="1"/>
        <v>45471</v>
      </c>
      <c r="F81" s="10">
        <f ca="1"/>
        <v>45472</v>
      </c>
      <c r="G81" s="11">
        <f ca="1"/>
        <v>45473</v>
      </c>
    </row>
    <row r="82" spans="1:7" x14ac:dyDescent="0.3">
      <c r="A82" s="6"/>
      <c r="B82" s="6"/>
      <c r="C82" s="6"/>
      <c r="D82" s="6"/>
      <c r="E82" s="6"/>
      <c r="F82" s="6"/>
      <c r="G82" s="8"/>
    </row>
    <row r="83" spans="1:7" ht="21" x14ac:dyDescent="0.3">
      <c r="A83" s="10">
        <f t="array" aca="1" ref="A83:B83" ca="1">Días+36+DATE(Calendario6Año,Calendario6MesOpción,1)-WEEKDAY(DATE(Calendario6Año,Calendario6MesOpción,1),DíaDeLaSemanaOpción)</f>
        <v>45474</v>
      </c>
      <c r="B83" s="10">
        <f ca="1"/>
        <v>45475</v>
      </c>
      <c r="C83" s="61" t="s">
        <v>1</v>
      </c>
      <c r="D83" s="62"/>
      <c r="E83" s="62"/>
      <c r="F83" s="62"/>
      <c r="G83" s="62"/>
    </row>
    <row r="84" spans="1:7" x14ac:dyDescent="0.3">
      <c r="A84" s="6"/>
      <c r="B84" s="6"/>
      <c r="C84" s="63"/>
      <c r="D84" s="63"/>
      <c r="E84" s="63"/>
      <c r="F84" s="63"/>
      <c r="G84" s="63"/>
    </row>
    <row r="85" spans="1:7" ht="46.5" x14ac:dyDescent="0.7">
      <c r="A85" s="1">
        <f ca="1">YEAR(DATE(Calendario6Año,Calendario6MesOpción+1,1))</f>
        <v>2024</v>
      </c>
      <c r="B85" s="64" t="str">
        <f ca="1">TEXT(DATE(Calendario6Año,Calendario6MesOpción+1,1),"mmmm")</f>
        <v>julio</v>
      </c>
      <c r="C85" s="64"/>
      <c r="D85" s="64"/>
      <c r="E85" s="2"/>
      <c r="F85" s="2"/>
      <c r="G85" s="2"/>
    </row>
    <row r="86" spans="1:7" x14ac:dyDescent="0.3">
      <c r="A86" s="4" t="str">
        <f ca="1">UPPER(TEXT(A87,"dddd"))</f>
        <v>LUNES</v>
      </c>
      <c r="B86" s="5" t="str">
        <f t="shared" ref="B86:G86" ca="1" si="6">UPPER(TEXT(B87,"dddd"))</f>
        <v>MARTES</v>
      </c>
      <c r="C86" s="4" t="str">
        <f t="shared" ca="1" si="6"/>
        <v>MIÉRCOLES</v>
      </c>
      <c r="D86" s="5" t="str">
        <f t="shared" ca="1" si="6"/>
        <v>JUEVES</v>
      </c>
      <c r="E86" s="4" t="str">
        <f t="shared" ca="1" si="6"/>
        <v>VIERNES</v>
      </c>
      <c r="F86" s="5" t="str">
        <f t="shared" ca="1" si="6"/>
        <v>SÁBADO</v>
      </c>
      <c r="G86" s="4" t="str">
        <f t="shared" ca="1" si="6"/>
        <v>DOMINGO</v>
      </c>
    </row>
    <row r="87" spans="1:7" ht="21" x14ac:dyDescent="0.3">
      <c r="A87" s="10">
        <f t="array" aca="1" ref="A87:G87" ca="1">Días+1+DATE(Calendario7Año,Calendario7MesOpción,1)-WEEKDAY(DATE(Calendario7Año,Calendario7MesOpción,1),DíaDeLaSemanaOpción)</f>
        <v>45474</v>
      </c>
      <c r="B87" s="10">
        <f ca="1"/>
        <v>45475</v>
      </c>
      <c r="C87" s="10">
        <f ca="1"/>
        <v>45476</v>
      </c>
      <c r="D87" s="10">
        <f ca="1"/>
        <v>45477</v>
      </c>
      <c r="E87" s="10">
        <f ca="1"/>
        <v>45478</v>
      </c>
      <c r="F87" s="10">
        <f ca="1"/>
        <v>45479</v>
      </c>
      <c r="G87" s="11">
        <f ca="1"/>
        <v>45480</v>
      </c>
    </row>
    <row r="88" spans="1:7" x14ac:dyDescent="0.3">
      <c r="A88" s="6"/>
      <c r="B88" s="6"/>
      <c r="C88" s="6"/>
      <c r="D88" s="6"/>
      <c r="E88" s="6"/>
      <c r="F88" s="6"/>
      <c r="G88" s="7"/>
    </row>
    <row r="89" spans="1:7" ht="21" x14ac:dyDescent="0.3">
      <c r="A89" s="10">
        <f t="array" aca="1" ref="A89:G89" ca="1">Días+8+DATE(Calendario7Año,Calendario7MesOpción,1)-WEEKDAY(DATE(Calendario7Año,Calendario7MesOpción,1),DíaDeLaSemanaOpción)</f>
        <v>45481</v>
      </c>
      <c r="B89" s="10">
        <f ca="1"/>
        <v>45482</v>
      </c>
      <c r="C89" s="10">
        <f ca="1"/>
        <v>45483</v>
      </c>
      <c r="D89" s="10">
        <f ca="1"/>
        <v>45484</v>
      </c>
      <c r="E89" s="10">
        <f ca="1"/>
        <v>45485</v>
      </c>
      <c r="F89" s="10">
        <f ca="1"/>
        <v>45486</v>
      </c>
      <c r="G89" s="11">
        <f ca="1"/>
        <v>45487</v>
      </c>
    </row>
    <row r="90" spans="1:7" x14ac:dyDescent="0.3">
      <c r="A90" s="6"/>
      <c r="B90" s="6"/>
      <c r="C90" s="6"/>
      <c r="D90" s="6"/>
      <c r="E90" s="6"/>
      <c r="F90" s="6"/>
      <c r="G90" s="7"/>
    </row>
    <row r="91" spans="1:7" ht="21" x14ac:dyDescent="0.3">
      <c r="A91" s="10">
        <f t="array" aca="1" ref="A91:G91" ca="1">Días+15+DATE(Calendario7Año,Calendario7MesOpción,1)-WEEKDAY(DATE(Calendario7Año,Calendario7MesOpción,1),DíaDeLaSemanaOpción)</f>
        <v>45488</v>
      </c>
      <c r="B91" s="10">
        <f ca="1"/>
        <v>45489</v>
      </c>
      <c r="C91" s="10">
        <f ca="1"/>
        <v>45490</v>
      </c>
      <c r="D91" s="10">
        <f ca="1"/>
        <v>45491</v>
      </c>
      <c r="E91" s="10">
        <f ca="1"/>
        <v>45492</v>
      </c>
      <c r="F91" s="10">
        <f ca="1"/>
        <v>45493</v>
      </c>
      <c r="G91" s="11">
        <f ca="1"/>
        <v>45494</v>
      </c>
    </row>
    <row r="92" spans="1:7" x14ac:dyDescent="0.3">
      <c r="A92" s="6"/>
      <c r="B92" s="6"/>
      <c r="C92" s="6"/>
      <c r="D92" s="6"/>
      <c r="E92" s="6"/>
      <c r="F92" s="6"/>
      <c r="G92" s="7"/>
    </row>
    <row r="93" spans="1:7" ht="21" x14ac:dyDescent="0.3">
      <c r="A93" s="10">
        <f t="array" aca="1" ref="A93:G93" ca="1">Días+22+DATE(Calendario7Año,Calendario7MesOpción,1)-WEEKDAY(DATE(Calendario7Año,Calendario7MesOpción,1),DíaDeLaSemanaOpción)</f>
        <v>45495</v>
      </c>
      <c r="B93" s="10">
        <f ca="1"/>
        <v>45496</v>
      </c>
      <c r="C93" s="10">
        <f ca="1"/>
        <v>45497</v>
      </c>
      <c r="D93" s="10">
        <f ca="1"/>
        <v>45498</v>
      </c>
      <c r="E93" s="10">
        <f ca="1"/>
        <v>45499</v>
      </c>
      <c r="F93" s="10">
        <f ca="1"/>
        <v>45500</v>
      </c>
      <c r="G93" s="11">
        <f ca="1"/>
        <v>45501</v>
      </c>
    </row>
    <row r="94" spans="1:7" x14ac:dyDescent="0.3">
      <c r="A94" s="6"/>
      <c r="B94" s="6"/>
      <c r="C94" s="6"/>
      <c r="D94" s="6"/>
      <c r="E94" s="6"/>
      <c r="F94" s="6"/>
      <c r="G94" s="7"/>
    </row>
    <row r="95" spans="1:7" ht="21" x14ac:dyDescent="0.3">
      <c r="A95" s="10">
        <f t="array" aca="1" ref="A95:G95" ca="1">Días+29+DATE(Calendario7Año,Calendario7MesOpción,1)-WEEKDAY(DATE(Calendario7Año,Calendario7MesOpción,1),DíaDeLaSemanaOpción)</f>
        <v>45502</v>
      </c>
      <c r="B95" s="10">
        <f ca="1"/>
        <v>45503</v>
      </c>
      <c r="C95" s="10">
        <f ca="1"/>
        <v>45504</v>
      </c>
      <c r="D95" s="10">
        <f ca="1"/>
        <v>45505</v>
      </c>
      <c r="E95" s="10">
        <f ca="1"/>
        <v>45506</v>
      </c>
      <c r="F95" s="10">
        <f ca="1"/>
        <v>45507</v>
      </c>
      <c r="G95" s="11">
        <f ca="1"/>
        <v>45508</v>
      </c>
    </row>
    <row r="96" spans="1:7" x14ac:dyDescent="0.3">
      <c r="A96" s="6"/>
      <c r="B96" s="6"/>
      <c r="C96" s="6"/>
      <c r="D96" s="6"/>
      <c r="E96" s="6"/>
      <c r="F96" s="6"/>
      <c r="G96" s="8"/>
    </row>
    <row r="97" spans="1:7" ht="21" x14ac:dyDescent="0.3">
      <c r="A97" s="10">
        <f t="array" aca="1" ref="A97:B97" ca="1">Días+36+DATE(Calendario7Año,Calendario7MesOpción,1)-WEEKDAY(DATE(Calendario7Año,Calendario7MesOpción,1),DíaDeLaSemanaOpción)</f>
        <v>45509</v>
      </c>
      <c r="B97" s="10">
        <f ca="1"/>
        <v>45510</v>
      </c>
      <c r="C97" s="61" t="s">
        <v>1</v>
      </c>
      <c r="D97" s="62"/>
      <c r="E97" s="62"/>
      <c r="F97" s="62"/>
      <c r="G97" s="62"/>
    </row>
    <row r="98" spans="1:7" x14ac:dyDescent="0.3">
      <c r="A98" s="6"/>
      <c r="B98" s="6"/>
      <c r="C98" s="63"/>
      <c r="D98" s="63"/>
      <c r="E98" s="63"/>
      <c r="F98" s="63"/>
      <c r="G98" s="63"/>
    </row>
    <row r="99" spans="1:7" ht="46.5" x14ac:dyDescent="0.7">
      <c r="A99" s="1">
        <f ca="1">YEAR(DATE(Calendario7Año,Calendario7MesOpción+1,1))</f>
        <v>2024</v>
      </c>
      <c r="B99" s="64" t="str">
        <f ca="1">TEXT(DATE(Calendario7Año,Calendario7MesOpción+1,1),"mmmm")</f>
        <v>agosto</v>
      </c>
      <c r="C99" s="64"/>
      <c r="D99" s="64"/>
      <c r="E99" s="2"/>
      <c r="F99" s="2"/>
      <c r="G99" s="2"/>
    </row>
    <row r="100" spans="1:7" x14ac:dyDescent="0.3">
      <c r="A100" s="4" t="str">
        <f ca="1">UPPER(TEXT(A101,"dddd"))</f>
        <v>LUNES</v>
      </c>
      <c r="B100" s="5" t="str">
        <f t="shared" ref="B100:G100" ca="1" si="7">UPPER(TEXT(B101,"dddd"))</f>
        <v>MARTES</v>
      </c>
      <c r="C100" s="4" t="str">
        <f t="shared" ca="1" si="7"/>
        <v>MIÉRCOLES</v>
      </c>
      <c r="D100" s="5" t="str">
        <f t="shared" ca="1" si="7"/>
        <v>JUEVES</v>
      </c>
      <c r="E100" s="4" t="str">
        <f t="shared" ca="1" si="7"/>
        <v>VIERNES</v>
      </c>
      <c r="F100" s="5" t="str">
        <f t="shared" ca="1" si="7"/>
        <v>SÁBADO</v>
      </c>
      <c r="G100" s="4" t="str">
        <f t="shared" ca="1" si="7"/>
        <v>DOMINGO</v>
      </c>
    </row>
    <row r="101" spans="1:7" ht="21" x14ac:dyDescent="0.3">
      <c r="A101" s="10">
        <f t="array" aca="1" ref="A101:G101" ca="1">Días+1+DATE(Calendario8Año,Calendario8MesOpción,1)-WEEKDAY(DATE(Calendario8Año,Calendario8MesOpción,1),DíaDeLaSemanaOpción)</f>
        <v>45502</v>
      </c>
      <c r="B101" s="10">
        <f ca="1"/>
        <v>45503</v>
      </c>
      <c r="C101" s="10">
        <f ca="1"/>
        <v>45504</v>
      </c>
      <c r="D101" s="10">
        <f ca="1"/>
        <v>45505</v>
      </c>
      <c r="E101" s="10">
        <f ca="1"/>
        <v>45506</v>
      </c>
      <c r="F101" s="10">
        <f ca="1"/>
        <v>45507</v>
      </c>
      <c r="G101" s="11">
        <f ca="1"/>
        <v>45508</v>
      </c>
    </row>
    <row r="102" spans="1:7" x14ac:dyDescent="0.3">
      <c r="A102" s="6"/>
      <c r="B102" s="6"/>
      <c r="C102" s="6"/>
      <c r="D102" s="6"/>
      <c r="E102" s="6"/>
      <c r="F102" s="6"/>
      <c r="G102" s="7"/>
    </row>
    <row r="103" spans="1:7" ht="21" x14ac:dyDescent="0.3">
      <c r="A103" s="10">
        <f t="array" aca="1" ref="A103:G103" ca="1">Días+8+DATE(Calendario8Año,Calendario8MesOpción,1)-WEEKDAY(DATE(Calendario8Año,Calendario8MesOpción,1),DíaDeLaSemanaOpción)</f>
        <v>45509</v>
      </c>
      <c r="B103" s="10">
        <f ca="1"/>
        <v>45510</v>
      </c>
      <c r="C103" s="10">
        <f ca="1"/>
        <v>45511</v>
      </c>
      <c r="D103" s="10">
        <f ca="1"/>
        <v>45512</v>
      </c>
      <c r="E103" s="10">
        <f ca="1"/>
        <v>45513</v>
      </c>
      <c r="F103" s="10">
        <f ca="1"/>
        <v>45514</v>
      </c>
      <c r="G103" s="11">
        <f ca="1"/>
        <v>45515</v>
      </c>
    </row>
    <row r="104" spans="1:7" x14ac:dyDescent="0.3">
      <c r="A104" s="6"/>
      <c r="B104" s="6"/>
      <c r="C104" s="6"/>
      <c r="D104" s="6"/>
      <c r="E104" s="6"/>
      <c r="F104" s="6"/>
      <c r="G104" s="7"/>
    </row>
    <row r="105" spans="1:7" ht="21" x14ac:dyDescent="0.3">
      <c r="A105" s="10">
        <f t="array" aca="1" ref="A105:G105" ca="1">Días+15+DATE(Calendario8Año,Calendario8MesOpción,1)-WEEKDAY(DATE(Calendario8Año,Calendario8MesOpción,1),DíaDeLaSemanaOpción)</f>
        <v>45516</v>
      </c>
      <c r="B105" s="10">
        <f ca="1"/>
        <v>45517</v>
      </c>
      <c r="C105" s="10">
        <f ca="1"/>
        <v>45518</v>
      </c>
      <c r="D105" s="10">
        <f ca="1"/>
        <v>45519</v>
      </c>
      <c r="E105" s="10">
        <f ca="1"/>
        <v>45520</v>
      </c>
      <c r="F105" s="10">
        <f ca="1"/>
        <v>45521</v>
      </c>
      <c r="G105" s="11">
        <f ca="1"/>
        <v>45522</v>
      </c>
    </row>
    <row r="106" spans="1:7" x14ac:dyDescent="0.3">
      <c r="A106" s="6"/>
      <c r="B106" s="6"/>
      <c r="C106" s="6"/>
      <c r="D106" s="6"/>
      <c r="E106" s="6"/>
      <c r="F106" s="6"/>
      <c r="G106" s="7"/>
    </row>
    <row r="107" spans="1:7" ht="21" x14ac:dyDescent="0.3">
      <c r="A107" s="10">
        <f t="array" aca="1" ref="A107:G107" ca="1">Días+22+DATE(Calendario8Año,Calendario8MesOpción,1)-WEEKDAY(DATE(Calendario8Año,Calendario8MesOpción,1),DíaDeLaSemanaOpción)</f>
        <v>45523</v>
      </c>
      <c r="B107" s="10">
        <f ca="1"/>
        <v>45524</v>
      </c>
      <c r="C107" s="10">
        <f ca="1"/>
        <v>45525</v>
      </c>
      <c r="D107" s="10">
        <f ca="1"/>
        <v>45526</v>
      </c>
      <c r="E107" s="10">
        <f ca="1"/>
        <v>45527</v>
      </c>
      <c r="F107" s="10">
        <f ca="1"/>
        <v>45528</v>
      </c>
      <c r="G107" s="11">
        <f ca="1"/>
        <v>45529</v>
      </c>
    </row>
    <row r="108" spans="1:7" x14ac:dyDescent="0.3">
      <c r="A108" s="6"/>
      <c r="B108" s="6"/>
      <c r="C108" s="6"/>
      <c r="D108" s="6"/>
      <c r="E108" s="6"/>
      <c r="F108" s="6"/>
      <c r="G108" s="7"/>
    </row>
    <row r="109" spans="1:7" ht="21" x14ac:dyDescent="0.3">
      <c r="A109" s="10">
        <f t="array" aca="1" ref="A109:G109" ca="1">Días+29+DATE(Calendario8Año,Calendario8MesOpción,1)-WEEKDAY(DATE(Calendario8Año,Calendario8MesOpción,1),DíaDeLaSemanaOpción)</f>
        <v>45530</v>
      </c>
      <c r="B109" s="10">
        <f ca="1"/>
        <v>45531</v>
      </c>
      <c r="C109" s="10">
        <f ca="1"/>
        <v>45532</v>
      </c>
      <c r="D109" s="10">
        <f ca="1"/>
        <v>45533</v>
      </c>
      <c r="E109" s="10">
        <f ca="1"/>
        <v>45534</v>
      </c>
      <c r="F109" s="10">
        <f ca="1"/>
        <v>45535</v>
      </c>
      <c r="G109" s="11">
        <f ca="1"/>
        <v>45536</v>
      </c>
    </row>
    <row r="110" spans="1:7" x14ac:dyDescent="0.3">
      <c r="A110" s="6"/>
      <c r="B110" s="6"/>
      <c r="C110" s="6"/>
      <c r="D110" s="6"/>
      <c r="E110" s="6"/>
      <c r="F110" s="6"/>
      <c r="G110" s="8"/>
    </row>
    <row r="111" spans="1:7" ht="21" x14ac:dyDescent="0.3">
      <c r="A111" s="10">
        <f t="array" aca="1" ref="A111:B111" ca="1">Días+36+DATE(Calendario8Año,Calendario8MesOpción,1)-WEEKDAY(DATE(Calendario8Año,Calendario8MesOpción,1),DíaDeLaSemanaOpción)</f>
        <v>45537</v>
      </c>
      <c r="B111" s="10">
        <f ca="1"/>
        <v>45538</v>
      </c>
      <c r="C111" s="61" t="s">
        <v>1</v>
      </c>
      <c r="D111" s="62"/>
      <c r="E111" s="62"/>
      <c r="F111" s="62"/>
      <c r="G111" s="62"/>
    </row>
    <row r="112" spans="1:7" x14ac:dyDescent="0.3">
      <c r="A112" s="6"/>
      <c r="B112" s="6"/>
      <c r="C112" s="63"/>
      <c r="D112" s="63"/>
      <c r="E112" s="63"/>
      <c r="F112" s="63"/>
      <c r="G112" s="63"/>
    </row>
    <row r="113" spans="1:7" ht="46.5" x14ac:dyDescent="0.7">
      <c r="A113" s="1">
        <f ca="1">YEAR(DATE(Calendario8Año,Calendario8MesOpción+1,1))</f>
        <v>2024</v>
      </c>
      <c r="B113" s="64" t="str">
        <f ca="1">TEXT(DATE(Calendario8Año,Calendario8MesOpción+1,1),"mmmm")</f>
        <v>septiembre</v>
      </c>
      <c r="C113" s="64"/>
      <c r="D113" s="64"/>
      <c r="E113" s="2"/>
      <c r="F113" s="2"/>
      <c r="G113" s="2"/>
    </row>
    <row r="114" spans="1:7" x14ac:dyDescent="0.3">
      <c r="A114" s="4" t="str">
        <f ca="1">UPPER(TEXT(A115,"dddd"))</f>
        <v>LUNES</v>
      </c>
      <c r="B114" s="5" t="str">
        <f t="shared" ref="B114:G114" ca="1" si="8">UPPER(TEXT(B115,"dddd"))</f>
        <v>MARTES</v>
      </c>
      <c r="C114" s="4" t="str">
        <f t="shared" ca="1" si="8"/>
        <v>MIÉRCOLES</v>
      </c>
      <c r="D114" s="5" t="str">
        <f t="shared" ca="1" si="8"/>
        <v>JUEVES</v>
      </c>
      <c r="E114" s="4" t="str">
        <f t="shared" ca="1" si="8"/>
        <v>VIERNES</v>
      </c>
      <c r="F114" s="5" t="str">
        <f t="shared" ca="1" si="8"/>
        <v>SÁBADO</v>
      </c>
      <c r="G114" s="4" t="str">
        <f t="shared" ca="1" si="8"/>
        <v>DOMINGO</v>
      </c>
    </row>
    <row r="115" spans="1:7" ht="21" x14ac:dyDescent="0.3">
      <c r="A115" s="10">
        <f t="array" aca="1" ref="A115:G115" ca="1">Días+1+DATE(Calendario9Año,Calendario9MesOpción,1)-WEEKDAY(DATE(Calendario9Año,Calendario9MesOpción,1),DíaDeLaSemanaOpción)</f>
        <v>45530</v>
      </c>
      <c r="B115" s="10">
        <f ca="1"/>
        <v>45531</v>
      </c>
      <c r="C115" s="10">
        <f ca="1"/>
        <v>45532</v>
      </c>
      <c r="D115" s="10">
        <f ca="1"/>
        <v>45533</v>
      </c>
      <c r="E115" s="10">
        <f ca="1"/>
        <v>45534</v>
      </c>
      <c r="F115" s="10">
        <f ca="1"/>
        <v>45535</v>
      </c>
      <c r="G115" s="11">
        <f ca="1"/>
        <v>45536</v>
      </c>
    </row>
    <row r="116" spans="1:7" x14ac:dyDescent="0.3">
      <c r="A116" s="6"/>
      <c r="B116" s="6"/>
      <c r="C116" s="6"/>
      <c r="D116" s="6"/>
      <c r="E116" s="6"/>
      <c r="F116" s="6"/>
      <c r="G116" s="7"/>
    </row>
    <row r="117" spans="1:7" ht="21" x14ac:dyDescent="0.3">
      <c r="A117" s="10">
        <f t="array" aca="1" ref="A117:G117" ca="1">Días+8+DATE(Calendario9Año,Calendario9MesOpción,1)-WEEKDAY(DATE(Calendario9Año,Calendario9MesOpción,1),DíaDeLaSemanaOpción)</f>
        <v>45537</v>
      </c>
      <c r="B117" s="10">
        <f ca="1"/>
        <v>45538</v>
      </c>
      <c r="C117" s="10">
        <f ca="1"/>
        <v>45539</v>
      </c>
      <c r="D117" s="10">
        <f ca="1"/>
        <v>45540</v>
      </c>
      <c r="E117" s="10">
        <f ca="1"/>
        <v>45541</v>
      </c>
      <c r="F117" s="10">
        <f ca="1"/>
        <v>45542</v>
      </c>
      <c r="G117" s="11">
        <f ca="1"/>
        <v>45543</v>
      </c>
    </row>
    <row r="118" spans="1:7" x14ac:dyDescent="0.3">
      <c r="A118" s="6"/>
      <c r="B118" s="6"/>
      <c r="C118" s="6"/>
      <c r="D118" s="6"/>
      <c r="E118" s="6"/>
      <c r="F118" s="6"/>
      <c r="G118" s="7"/>
    </row>
    <row r="119" spans="1:7" ht="21" x14ac:dyDescent="0.3">
      <c r="A119" s="10">
        <f t="array" aca="1" ref="A119:G119" ca="1">Días+15+DATE(Calendario9Año,Calendario9MesOpción,1)-WEEKDAY(DATE(Calendario9Año,Calendario9MesOpción,1),DíaDeLaSemanaOpción)</f>
        <v>45544</v>
      </c>
      <c r="B119" s="10">
        <f ca="1"/>
        <v>45545</v>
      </c>
      <c r="C119" s="10">
        <f ca="1"/>
        <v>45546</v>
      </c>
      <c r="D119" s="10">
        <f ca="1"/>
        <v>45547</v>
      </c>
      <c r="E119" s="10">
        <f ca="1"/>
        <v>45548</v>
      </c>
      <c r="F119" s="10">
        <f ca="1"/>
        <v>45549</v>
      </c>
      <c r="G119" s="11">
        <f ca="1"/>
        <v>45550</v>
      </c>
    </row>
    <row r="120" spans="1:7" x14ac:dyDescent="0.3">
      <c r="A120" s="6"/>
      <c r="B120" s="6"/>
      <c r="C120" s="6"/>
      <c r="D120" s="6"/>
      <c r="E120" s="6"/>
      <c r="F120" s="6"/>
      <c r="G120" s="7"/>
    </row>
    <row r="121" spans="1:7" ht="21" x14ac:dyDescent="0.3">
      <c r="A121" s="10">
        <f t="array" aca="1" ref="A121:G121" ca="1">Días+22+DATE(Calendario9Año,Calendario9MesOpción,1)-WEEKDAY(DATE(Calendario9Año,Calendario9MesOpción,1),DíaDeLaSemanaOpción)</f>
        <v>45551</v>
      </c>
      <c r="B121" s="10">
        <f ca="1"/>
        <v>45552</v>
      </c>
      <c r="C121" s="10">
        <f ca="1"/>
        <v>45553</v>
      </c>
      <c r="D121" s="10">
        <f ca="1"/>
        <v>45554</v>
      </c>
      <c r="E121" s="10">
        <f ca="1"/>
        <v>45555</v>
      </c>
      <c r="F121" s="10">
        <f ca="1"/>
        <v>45556</v>
      </c>
      <c r="G121" s="11">
        <f ca="1"/>
        <v>45557</v>
      </c>
    </row>
    <row r="122" spans="1:7" x14ac:dyDescent="0.3">
      <c r="A122" s="6"/>
      <c r="B122" s="6"/>
      <c r="C122" s="6"/>
      <c r="D122" s="6"/>
      <c r="E122" s="6"/>
      <c r="F122" s="6"/>
      <c r="G122" s="7"/>
    </row>
    <row r="123" spans="1:7" ht="21" x14ac:dyDescent="0.3">
      <c r="A123" s="10">
        <f t="array" aca="1" ref="A123:G123" ca="1">Días+29+DATE(Calendario9Año,Calendario9MesOpción,1)-WEEKDAY(DATE(Calendario9Año,Calendario9MesOpción,1),DíaDeLaSemanaOpción)</f>
        <v>45558</v>
      </c>
      <c r="B123" s="10">
        <f ca="1"/>
        <v>45559</v>
      </c>
      <c r="C123" s="10">
        <f ca="1"/>
        <v>45560</v>
      </c>
      <c r="D123" s="10">
        <f ca="1"/>
        <v>45561</v>
      </c>
      <c r="E123" s="10">
        <f ca="1"/>
        <v>45562</v>
      </c>
      <c r="F123" s="10">
        <f ca="1"/>
        <v>45563</v>
      </c>
      <c r="G123" s="11">
        <f ca="1"/>
        <v>45564</v>
      </c>
    </row>
    <row r="124" spans="1:7" x14ac:dyDescent="0.3">
      <c r="A124" s="6"/>
      <c r="B124" s="6"/>
      <c r="C124" s="6"/>
      <c r="D124" s="6"/>
      <c r="E124" s="6"/>
      <c r="F124" s="6"/>
      <c r="G124" s="8"/>
    </row>
    <row r="125" spans="1:7" ht="21" x14ac:dyDescent="0.3">
      <c r="A125" s="10">
        <f t="array" aca="1" ref="A125:B125" ca="1">Días+36+DATE(Calendario9Año,Calendario9MesOpción,1)-WEEKDAY(DATE(Calendario9Año,Calendario9MesOpción,1),DíaDeLaSemanaOpción)</f>
        <v>45565</v>
      </c>
      <c r="B125" s="10">
        <f ca="1"/>
        <v>45566</v>
      </c>
      <c r="C125" s="61" t="s">
        <v>1</v>
      </c>
      <c r="D125" s="62"/>
      <c r="E125" s="62"/>
      <c r="F125" s="62"/>
      <c r="G125" s="62"/>
    </row>
    <row r="126" spans="1:7" x14ac:dyDescent="0.3">
      <c r="A126" s="6"/>
      <c r="B126" s="6"/>
      <c r="C126" s="63"/>
      <c r="D126" s="63"/>
      <c r="E126" s="63"/>
      <c r="F126" s="63"/>
      <c r="G126" s="63"/>
    </row>
    <row r="127" spans="1:7" ht="46.5" x14ac:dyDescent="0.7">
      <c r="A127" s="12">
        <f ca="1">YEAR(DATE(Calendario9Año,Calendario9MesOpción+1,1))</f>
        <v>2024</v>
      </c>
      <c r="B127" s="64" t="str">
        <f ca="1">TEXT(DATE(Calendario9Año,Calendario9MesOpción+1,1),"mmmm")</f>
        <v>octubre</v>
      </c>
      <c r="C127" s="64"/>
      <c r="D127" s="64"/>
      <c r="E127" s="2"/>
      <c r="F127" s="2"/>
      <c r="G127" s="2"/>
    </row>
    <row r="128" spans="1:7" x14ac:dyDescent="0.3">
      <c r="A128" s="4" t="str">
        <f ca="1">UPPER(TEXT(A129,"dddd"))</f>
        <v>LUNES</v>
      </c>
      <c r="B128" s="5" t="str">
        <f t="shared" ref="B128:G128" ca="1" si="9">UPPER(TEXT(B129,"dddd"))</f>
        <v>MARTES</v>
      </c>
      <c r="C128" s="4" t="str">
        <f t="shared" ca="1" si="9"/>
        <v>MIÉRCOLES</v>
      </c>
      <c r="D128" s="5" t="str">
        <f t="shared" ca="1" si="9"/>
        <v>JUEVES</v>
      </c>
      <c r="E128" s="4" t="str">
        <f t="shared" ca="1" si="9"/>
        <v>VIERNES</v>
      </c>
      <c r="F128" s="5" t="str">
        <f t="shared" ca="1" si="9"/>
        <v>SÁBADO</v>
      </c>
      <c r="G128" s="4" t="str">
        <f t="shared" ca="1" si="9"/>
        <v>DOMINGO</v>
      </c>
    </row>
    <row r="129" spans="1:7" ht="21" x14ac:dyDescent="0.3">
      <c r="A129" s="10">
        <f t="array" aca="1" ref="A129:G129" ca="1">Días+1+DATE(Calendario10Año,Calendario10MesOpción,1)-WEEKDAY(DATE(Calendario10Año,Calendario10MesOpción,1),DíaDeLaSemanaOpción)</f>
        <v>45565</v>
      </c>
      <c r="B129" s="10">
        <f ca="1"/>
        <v>45566</v>
      </c>
      <c r="C129" s="10">
        <f ca="1"/>
        <v>45567</v>
      </c>
      <c r="D129" s="10">
        <f ca="1"/>
        <v>45568</v>
      </c>
      <c r="E129" s="10">
        <f ca="1"/>
        <v>45569</v>
      </c>
      <c r="F129" s="10">
        <f ca="1"/>
        <v>45570</v>
      </c>
      <c r="G129" s="11">
        <f ca="1"/>
        <v>45571</v>
      </c>
    </row>
    <row r="130" spans="1:7" x14ac:dyDescent="0.3">
      <c r="A130" s="6"/>
      <c r="B130" s="6"/>
      <c r="C130" s="6"/>
      <c r="D130" s="6"/>
      <c r="E130" s="6"/>
      <c r="F130" s="6"/>
      <c r="G130" s="7"/>
    </row>
    <row r="131" spans="1:7" ht="21" x14ac:dyDescent="0.3">
      <c r="A131" s="10">
        <f t="array" aca="1" ref="A131:G131" ca="1">Días+8+DATE(Calendario10Año,Calendario10MesOpción,1)-WEEKDAY(DATE(Calendario10Año,Calendario10MesOpción,1),DíaDeLaSemanaOpción)</f>
        <v>45572</v>
      </c>
      <c r="B131" s="10">
        <f ca="1"/>
        <v>45573</v>
      </c>
      <c r="C131" s="10">
        <f ca="1"/>
        <v>45574</v>
      </c>
      <c r="D131" s="10">
        <f ca="1"/>
        <v>45575</v>
      </c>
      <c r="E131" s="10">
        <f ca="1"/>
        <v>45576</v>
      </c>
      <c r="F131" s="10">
        <f ca="1"/>
        <v>45577</v>
      </c>
      <c r="G131" s="11">
        <f ca="1"/>
        <v>45578</v>
      </c>
    </row>
    <row r="132" spans="1:7" x14ac:dyDescent="0.3">
      <c r="A132" s="6"/>
      <c r="B132" s="6"/>
      <c r="C132" s="6"/>
      <c r="D132" s="6"/>
      <c r="E132" s="6"/>
      <c r="F132" s="6"/>
      <c r="G132" s="7"/>
    </row>
    <row r="133" spans="1:7" ht="21" x14ac:dyDescent="0.3">
      <c r="A133" s="10">
        <f t="array" aca="1" ref="A133:G133" ca="1">Días+15+DATE(Calendario10Año,Calendario10MesOpción,1)-WEEKDAY(DATE(Calendario10Año,Calendario10MesOpción,1),DíaDeLaSemanaOpción)</f>
        <v>45579</v>
      </c>
      <c r="B133" s="10">
        <f ca="1"/>
        <v>45580</v>
      </c>
      <c r="C133" s="10">
        <f ca="1"/>
        <v>45581</v>
      </c>
      <c r="D133" s="10">
        <f ca="1"/>
        <v>45582</v>
      </c>
      <c r="E133" s="10">
        <f ca="1"/>
        <v>45583</v>
      </c>
      <c r="F133" s="10">
        <f ca="1"/>
        <v>45584</v>
      </c>
      <c r="G133" s="11">
        <f ca="1"/>
        <v>45585</v>
      </c>
    </row>
    <row r="134" spans="1:7" x14ac:dyDescent="0.3">
      <c r="A134" s="6"/>
      <c r="B134" s="6"/>
      <c r="C134" s="6"/>
      <c r="D134" s="6"/>
      <c r="E134" s="6"/>
      <c r="F134" s="6"/>
      <c r="G134" s="7"/>
    </row>
    <row r="135" spans="1:7" ht="21" x14ac:dyDescent="0.3">
      <c r="A135" s="10">
        <f t="array" aca="1" ref="A135:G135" ca="1">Días+22+DATE(Calendario10Año,Calendario10MesOpción,1)-WEEKDAY(DATE(Calendario10Año,Calendario10MesOpción,1),DíaDeLaSemanaOpción)</f>
        <v>45586</v>
      </c>
      <c r="B135" s="10">
        <f ca="1"/>
        <v>45587</v>
      </c>
      <c r="C135" s="10">
        <f ca="1"/>
        <v>45588</v>
      </c>
      <c r="D135" s="10">
        <f ca="1"/>
        <v>45589</v>
      </c>
      <c r="E135" s="10">
        <f ca="1"/>
        <v>45590</v>
      </c>
      <c r="F135" s="10">
        <f ca="1"/>
        <v>45591</v>
      </c>
      <c r="G135" s="11">
        <f ca="1"/>
        <v>45592</v>
      </c>
    </row>
    <row r="136" spans="1:7" x14ac:dyDescent="0.3">
      <c r="A136" s="6"/>
      <c r="B136" s="6"/>
      <c r="C136" s="6"/>
      <c r="D136" s="6"/>
      <c r="E136" s="6"/>
      <c r="F136" s="6"/>
      <c r="G136" s="7"/>
    </row>
    <row r="137" spans="1:7" ht="21" x14ac:dyDescent="0.3">
      <c r="A137" s="10">
        <f t="array" aca="1" ref="A137:G137" ca="1">Días+29+DATE(Calendario10Año,Calendario10MesOpción,1)-WEEKDAY(DATE(Calendario10Año,Calendario10MesOpción,1),DíaDeLaSemanaOpción)</f>
        <v>45593</v>
      </c>
      <c r="B137" s="10">
        <f ca="1"/>
        <v>45594</v>
      </c>
      <c r="C137" s="10">
        <f ca="1"/>
        <v>45595</v>
      </c>
      <c r="D137" s="10">
        <f ca="1"/>
        <v>45596</v>
      </c>
      <c r="E137" s="10">
        <f ca="1"/>
        <v>45597</v>
      </c>
      <c r="F137" s="10">
        <f ca="1"/>
        <v>45598</v>
      </c>
      <c r="G137" s="11">
        <f ca="1"/>
        <v>45599</v>
      </c>
    </row>
    <row r="138" spans="1:7" x14ac:dyDescent="0.3">
      <c r="A138" s="6"/>
      <c r="B138" s="6"/>
      <c r="C138" s="6"/>
      <c r="D138" s="6"/>
      <c r="E138" s="6"/>
      <c r="F138" s="6"/>
      <c r="G138" s="8"/>
    </row>
    <row r="139" spans="1:7" ht="21" x14ac:dyDescent="0.3">
      <c r="A139" s="10">
        <f t="array" aca="1" ref="A139:B139" ca="1">Días+36+DATE(Calendario10Año,Calendario10MesOpción,1)-WEEKDAY(DATE(Calendario10Año,Calendario10MesOpción,1),DíaDeLaSemanaOpción)</f>
        <v>45600</v>
      </c>
      <c r="B139" s="10">
        <f ca="1"/>
        <v>45601</v>
      </c>
      <c r="C139" s="61" t="s">
        <v>1</v>
      </c>
      <c r="D139" s="62"/>
      <c r="E139" s="62"/>
      <c r="F139" s="62"/>
      <c r="G139" s="62"/>
    </row>
    <row r="140" spans="1:7" x14ac:dyDescent="0.3">
      <c r="A140" s="6"/>
      <c r="B140" s="6"/>
      <c r="C140" s="63"/>
      <c r="D140" s="63"/>
      <c r="E140" s="63"/>
      <c r="F140" s="63"/>
      <c r="G140" s="63"/>
    </row>
    <row r="141" spans="1:7" ht="46.5" x14ac:dyDescent="0.7">
      <c r="A141" s="1">
        <f ca="1">YEAR(DATE(Calendario10Año,Calendario10MesOpción+1,1))</f>
        <v>2024</v>
      </c>
      <c r="B141" s="64" t="str">
        <f ca="1">TEXT(DATE(Calendario10Año,Calendario10MesOpción+1,1),"mmmm")</f>
        <v>noviembre</v>
      </c>
      <c r="C141" s="64"/>
      <c r="D141" s="64"/>
      <c r="E141" s="2"/>
      <c r="F141" s="2"/>
      <c r="G141" s="2"/>
    </row>
    <row r="142" spans="1:7" x14ac:dyDescent="0.3">
      <c r="A142" s="4" t="str">
        <f ca="1">UPPER(TEXT(A143,"dddd"))</f>
        <v>LUNES</v>
      </c>
      <c r="B142" s="5" t="str">
        <f t="shared" ref="B142:G142" ca="1" si="10">UPPER(TEXT(B143,"dddd"))</f>
        <v>MARTES</v>
      </c>
      <c r="C142" s="4" t="str">
        <f t="shared" ca="1" si="10"/>
        <v>MIÉRCOLES</v>
      </c>
      <c r="D142" s="5" t="str">
        <f t="shared" ca="1" si="10"/>
        <v>JUEVES</v>
      </c>
      <c r="E142" s="4" t="str">
        <f t="shared" ca="1" si="10"/>
        <v>VIERNES</v>
      </c>
      <c r="F142" s="5" t="str">
        <f t="shared" ca="1" si="10"/>
        <v>SÁBADO</v>
      </c>
      <c r="G142" s="4" t="str">
        <f t="shared" ca="1" si="10"/>
        <v>DOMINGO</v>
      </c>
    </row>
    <row r="143" spans="1:7" ht="21" x14ac:dyDescent="0.3">
      <c r="A143" s="10">
        <f t="array" aca="1" ref="A143:G143" ca="1">Días+1+DATE(Calendario11Año,Calendario11MesOpción,1)-WEEKDAY(DATE(Calendario11Año,Calendario11MesOpción,1),DíaDeLaSemanaOpción)</f>
        <v>45593</v>
      </c>
      <c r="B143" s="10">
        <f ca="1"/>
        <v>45594</v>
      </c>
      <c r="C143" s="10">
        <f ca="1"/>
        <v>45595</v>
      </c>
      <c r="D143" s="10">
        <f ca="1"/>
        <v>45596</v>
      </c>
      <c r="E143" s="10">
        <f ca="1"/>
        <v>45597</v>
      </c>
      <c r="F143" s="10">
        <f ca="1"/>
        <v>45598</v>
      </c>
      <c r="G143" s="11">
        <f ca="1"/>
        <v>45599</v>
      </c>
    </row>
    <row r="144" spans="1:7" x14ac:dyDescent="0.3">
      <c r="A144" s="6"/>
      <c r="B144" s="6"/>
      <c r="C144" s="6"/>
      <c r="D144" s="6"/>
      <c r="E144" s="6"/>
      <c r="F144" s="6"/>
      <c r="G144" s="7"/>
    </row>
    <row r="145" spans="1:7" ht="21" x14ac:dyDescent="0.3">
      <c r="A145" s="10">
        <f t="array" aca="1" ref="A145:G145" ca="1">Días+8+DATE(Calendario11Año,Calendario11MesOpción,1)-WEEKDAY(DATE(Calendario11Año,Calendario11MesOpción,1),DíaDeLaSemanaOpción)</f>
        <v>45600</v>
      </c>
      <c r="B145" s="10">
        <f ca="1"/>
        <v>45601</v>
      </c>
      <c r="C145" s="10">
        <f ca="1"/>
        <v>45602</v>
      </c>
      <c r="D145" s="10">
        <f ca="1"/>
        <v>45603</v>
      </c>
      <c r="E145" s="10">
        <f ca="1"/>
        <v>45604</v>
      </c>
      <c r="F145" s="10">
        <f ca="1"/>
        <v>45605</v>
      </c>
      <c r="G145" s="11">
        <f ca="1"/>
        <v>45606</v>
      </c>
    </row>
    <row r="146" spans="1:7" x14ac:dyDescent="0.3">
      <c r="A146" s="6"/>
      <c r="B146" s="6"/>
      <c r="C146" s="6"/>
      <c r="D146" s="6"/>
      <c r="E146" s="6"/>
      <c r="F146" s="6"/>
      <c r="G146" s="7"/>
    </row>
    <row r="147" spans="1:7" ht="21" x14ac:dyDescent="0.3">
      <c r="A147" s="10">
        <f t="array" aca="1" ref="A147:G147" ca="1">Días+15+DATE(Calendario11Año,Calendario11MesOpción,1)-WEEKDAY(DATE(Calendario11Año,Calendario11MesOpción,1),DíaDeLaSemanaOpción)</f>
        <v>45607</v>
      </c>
      <c r="B147" s="10">
        <f ca="1"/>
        <v>45608</v>
      </c>
      <c r="C147" s="10">
        <f ca="1"/>
        <v>45609</v>
      </c>
      <c r="D147" s="10">
        <f ca="1"/>
        <v>45610</v>
      </c>
      <c r="E147" s="10">
        <f ca="1"/>
        <v>45611</v>
      </c>
      <c r="F147" s="10">
        <f ca="1"/>
        <v>45612</v>
      </c>
      <c r="G147" s="11">
        <f ca="1"/>
        <v>45613</v>
      </c>
    </row>
    <row r="148" spans="1:7" x14ac:dyDescent="0.3">
      <c r="A148" s="6"/>
      <c r="B148" s="6"/>
      <c r="C148" s="6"/>
      <c r="D148" s="6"/>
      <c r="E148" s="6"/>
      <c r="F148" s="6"/>
      <c r="G148" s="7"/>
    </row>
    <row r="149" spans="1:7" ht="21" x14ac:dyDescent="0.3">
      <c r="A149" s="10">
        <f t="array" aca="1" ref="A149:G149" ca="1">Días+22+DATE(Calendario11Año,Calendario11MesOpción,1)-WEEKDAY(DATE(Calendario11Año,Calendario11MesOpción,1),DíaDeLaSemanaOpción)</f>
        <v>45614</v>
      </c>
      <c r="B149" s="10">
        <f ca="1"/>
        <v>45615</v>
      </c>
      <c r="C149" s="10">
        <f ca="1"/>
        <v>45616</v>
      </c>
      <c r="D149" s="10">
        <f ca="1"/>
        <v>45617</v>
      </c>
      <c r="E149" s="10">
        <f ca="1"/>
        <v>45618</v>
      </c>
      <c r="F149" s="10">
        <f ca="1"/>
        <v>45619</v>
      </c>
      <c r="G149" s="11">
        <f ca="1"/>
        <v>45620</v>
      </c>
    </row>
    <row r="150" spans="1:7" x14ac:dyDescent="0.3">
      <c r="A150" s="6"/>
      <c r="B150" s="6"/>
      <c r="C150" s="6"/>
      <c r="D150" s="6"/>
      <c r="E150" s="6"/>
      <c r="F150" s="6"/>
      <c r="G150" s="7"/>
    </row>
    <row r="151" spans="1:7" ht="21" x14ac:dyDescent="0.3">
      <c r="A151" s="10">
        <f t="array" aca="1" ref="A151:G151" ca="1">Días+29+DATE(Calendario11Año,Calendario11MesOpción,1)-WEEKDAY(DATE(Calendario11Año,Calendario11MesOpción,1),DíaDeLaSemanaOpción)</f>
        <v>45621</v>
      </c>
      <c r="B151" s="10">
        <f ca="1"/>
        <v>45622</v>
      </c>
      <c r="C151" s="10">
        <f ca="1"/>
        <v>45623</v>
      </c>
      <c r="D151" s="10">
        <f ca="1"/>
        <v>45624</v>
      </c>
      <c r="E151" s="10">
        <f ca="1"/>
        <v>45625</v>
      </c>
      <c r="F151" s="10">
        <f ca="1"/>
        <v>45626</v>
      </c>
      <c r="G151" s="11">
        <f ca="1"/>
        <v>45627</v>
      </c>
    </row>
    <row r="152" spans="1:7" x14ac:dyDescent="0.3">
      <c r="A152" s="6"/>
      <c r="B152" s="6"/>
      <c r="C152" s="6"/>
      <c r="D152" s="6"/>
      <c r="E152" s="6"/>
      <c r="F152" s="6"/>
      <c r="G152" s="8"/>
    </row>
    <row r="153" spans="1:7" ht="21" x14ac:dyDescent="0.3">
      <c r="A153" s="10">
        <f t="array" aca="1" ref="A153:B153" ca="1">Días+36+DATE(Calendario11Año,Calendario11MesOpción,1)-WEEKDAY(DATE(Calendario11Año,Calendario11MesOpción,1),DíaDeLaSemanaOpción)</f>
        <v>45628</v>
      </c>
      <c r="B153" s="10">
        <f ca="1"/>
        <v>45629</v>
      </c>
      <c r="C153" s="61" t="s">
        <v>1</v>
      </c>
      <c r="D153" s="62"/>
      <c r="E153" s="62"/>
      <c r="F153" s="62"/>
      <c r="G153" s="62"/>
    </row>
    <row r="154" spans="1:7" x14ac:dyDescent="0.3">
      <c r="A154" s="6"/>
      <c r="B154" s="6"/>
      <c r="C154" s="63"/>
      <c r="D154" s="63"/>
      <c r="E154" s="63"/>
      <c r="F154" s="63"/>
      <c r="G154" s="63"/>
    </row>
    <row r="155" spans="1:7" ht="46.5" x14ac:dyDescent="0.7">
      <c r="A155" s="1">
        <f ca="1">YEAR(DATE(Calendario11Año,Calendario11MesOpción+1,1))</f>
        <v>2024</v>
      </c>
      <c r="B155" s="64" t="str">
        <f ca="1">TEXT(DATE(Calendario11Año,Calendario11MesOpción+1,1),"mmmm")</f>
        <v>diciembre</v>
      </c>
      <c r="C155" s="64"/>
      <c r="D155" s="64"/>
      <c r="E155" s="2"/>
      <c r="F155" s="2"/>
      <c r="G155" s="2"/>
    </row>
    <row r="156" spans="1:7" x14ac:dyDescent="0.3">
      <c r="A156" s="4" t="str">
        <f ca="1">UPPER(TEXT(A157,"dddd"))</f>
        <v>LUNES</v>
      </c>
      <c r="B156" s="5" t="str">
        <f t="shared" ref="B156:G156" ca="1" si="11">UPPER(TEXT(B157,"dddd"))</f>
        <v>MARTES</v>
      </c>
      <c r="C156" s="4" t="str">
        <f t="shared" ca="1" si="11"/>
        <v>MIÉRCOLES</v>
      </c>
      <c r="D156" s="5" t="str">
        <f t="shared" ca="1" si="11"/>
        <v>JUEVES</v>
      </c>
      <c r="E156" s="4" t="str">
        <f t="shared" ca="1" si="11"/>
        <v>VIERNES</v>
      </c>
      <c r="F156" s="5" t="str">
        <f t="shared" ca="1" si="11"/>
        <v>SÁBADO</v>
      </c>
      <c r="G156" s="4" t="str">
        <f t="shared" ca="1" si="11"/>
        <v>DOMINGO</v>
      </c>
    </row>
    <row r="157" spans="1:7" ht="21" x14ac:dyDescent="0.3">
      <c r="A157" s="10">
        <f t="array" aca="1" ref="A157:G157" ca="1">Días+1+DATE(Calendario12Año,Calendario12MesOpción,1)-WEEKDAY(DATE(Calendario12Año,Calendario12MesOpción,1),DíaDeLaSemanaOpción)</f>
        <v>45621</v>
      </c>
      <c r="B157" s="10">
        <f ca="1"/>
        <v>45622</v>
      </c>
      <c r="C157" s="10">
        <f ca="1"/>
        <v>45623</v>
      </c>
      <c r="D157" s="10">
        <f ca="1"/>
        <v>45624</v>
      </c>
      <c r="E157" s="10">
        <f ca="1"/>
        <v>45625</v>
      </c>
      <c r="F157" s="10">
        <f ca="1"/>
        <v>45626</v>
      </c>
      <c r="G157" s="11">
        <f ca="1"/>
        <v>45627</v>
      </c>
    </row>
    <row r="158" spans="1:7" x14ac:dyDescent="0.3">
      <c r="A158" s="6"/>
      <c r="B158" s="6"/>
      <c r="C158" s="6"/>
      <c r="D158" s="6"/>
      <c r="E158" s="6"/>
      <c r="F158" s="6"/>
      <c r="G158" s="7"/>
    </row>
    <row r="159" spans="1:7" ht="21" x14ac:dyDescent="0.3">
      <c r="A159" s="10">
        <f t="array" aca="1" ref="A159:G159" ca="1">Días+8+DATE(Calendario12Año,Calendario12MesOpción,1)-WEEKDAY(DATE(Calendario12Año,Calendario12MesOpción,1),DíaDeLaSemanaOpción)</f>
        <v>45628</v>
      </c>
      <c r="B159" s="10">
        <f ca="1"/>
        <v>45629</v>
      </c>
      <c r="C159" s="10">
        <f ca="1"/>
        <v>45630</v>
      </c>
      <c r="D159" s="10">
        <f ca="1"/>
        <v>45631</v>
      </c>
      <c r="E159" s="10">
        <f ca="1"/>
        <v>45632</v>
      </c>
      <c r="F159" s="10">
        <f ca="1"/>
        <v>45633</v>
      </c>
      <c r="G159" s="11">
        <f ca="1"/>
        <v>45634</v>
      </c>
    </row>
    <row r="160" spans="1:7" x14ac:dyDescent="0.3">
      <c r="A160" s="6"/>
      <c r="B160" s="6"/>
      <c r="C160" s="6"/>
      <c r="D160" s="6"/>
      <c r="E160" s="6"/>
      <c r="F160" s="6"/>
      <c r="G160" s="7"/>
    </row>
    <row r="161" spans="1:7" ht="21" x14ac:dyDescent="0.3">
      <c r="A161" s="10">
        <f t="array" aca="1" ref="A161:G161" ca="1">Días+15+DATE(Calendario12Año,Calendario12MesOpción,1)-WEEKDAY(DATE(Calendario12Año,Calendario12MesOpción,1),DíaDeLaSemanaOpción)</f>
        <v>45635</v>
      </c>
      <c r="B161" s="10">
        <f ca="1"/>
        <v>45636</v>
      </c>
      <c r="C161" s="10">
        <f ca="1"/>
        <v>45637</v>
      </c>
      <c r="D161" s="10">
        <f ca="1"/>
        <v>45638</v>
      </c>
      <c r="E161" s="10">
        <f ca="1"/>
        <v>45639</v>
      </c>
      <c r="F161" s="10">
        <f ca="1"/>
        <v>45640</v>
      </c>
      <c r="G161" s="11">
        <f ca="1"/>
        <v>45641</v>
      </c>
    </row>
    <row r="162" spans="1:7" x14ac:dyDescent="0.3">
      <c r="A162" s="6"/>
      <c r="B162" s="6"/>
      <c r="C162" s="6"/>
      <c r="D162" s="6"/>
      <c r="E162" s="6"/>
      <c r="F162" s="6"/>
      <c r="G162" s="7"/>
    </row>
    <row r="163" spans="1:7" ht="21" x14ac:dyDescent="0.3">
      <c r="A163" s="10">
        <f t="array" aca="1" ref="A163:G163" ca="1">Días+22+DATE(Calendario12Año,Calendario12MesOpción,1)-WEEKDAY(DATE(Calendario12Año,Calendario12MesOpción,1),DíaDeLaSemanaOpción)</f>
        <v>45642</v>
      </c>
      <c r="B163" s="10">
        <f ca="1"/>
        <v>45643</v>
      </c>
      <c r="C163" s="10">
        <f ca="1"/>
        <v>45644</v>
      </c>
      <c r="D163" s="10">
        <f ca="1"/>
        <v>45645</v>
      </c>
      <c r="E163" s="10">
        <f ca="1"/>
        <v>45646</v>
      </c>
      <c r="F163" s="10">
        <f ca="1"/>
        <v>45647</v>
      </c>
      <c r="G163" s="11">
        <f ca="1"/>
        <v>45648</v>
      </c>
    </row>
    <row r="164" spans="1:7" x14ac:dyDescent="0.3">
      <c r="A164" s="6"/>
      <c r="B164" s="6"/>
      <c r="C164" s="6"/>
      <c r="D164" s="6"/>
      <c r="E164" s="6"/>
      <c r="F164" s="6"/>
      <c r="G164" s="7"/>
    </row>
    <row r="165" spans="1:7" ht="21" x14ac:dyDescent="0.3">
      <c r="A165" s="10">
        <f t="array" aca="1" ref="A165:G165" ca="1">Días+29+DATE(Calendario12Año,Calendario12MesOpción,1)-WEEKDAY(DATE(Calendario12Año,Calendario12MesOpción,1),DíaDeLaSemanaOpción)</f>
        <v>45649</v>
      </c>
      <c r="B165" s="10">
        <f ca="1"/>
        <v>45650</v>
      </c>
      <c r="C165" s="10">
        <f ca="1"/>
        <v>45651</v>
      </c>
      <c r="D165" s="10">
        <f ca="1"/>
        <v>45652</v>
      </c>
      <c r="E165" s="10">
        <f ca="1"/>
        <v>45653</v>
      </c>
      <c r="F165" s="10">
        <f ca="1"/>
        <v>45654</v>
      </c>
      <c r="G165" s="11">
        <f ca="1"/>
        <v>45655</v>
      </c>
    </row>
    <row r="166" spans="1:7" x14ac:dyDescent="0.3">
      <c r="A166" s="6"/>
      <c r="B166" s="6"/>
      <c r="C166" s="6"/>
      <c r="D166" s="6"/>
      <c r="E166" s="6"/>
      <c r="F166" s="6"/>
      <c r="G166" s="8"/>
    </row>
    <row r="167" spans="1:7" ht="21" x14ac:dyDescent="0.3">
      <c r="A167" s="10">
        <f t="array" aca="1" ref="A167:B167" ca="1">Días+36+DATE(Calendario12Año,Calendario12MesOpción,1)-WEEKDAY(DATE(Calendario12Año,Calendario12MesOpción,1),DíaDeLaSemanaOpción)</f>
        <v>45656</v>
      </c>
      <c r="B167" s="10">
        <f ca="1"/>
        <v>45657</v>
      </c>
      <c r="C167" s="61" t="s">
        <v>1</v>
      </c>
      <c r="D167" s="62"/>
      <c r="E167" s="62"/>
      <c r="F167" s="62"/>
      <c r="G167" s="62"/>
    </row>
    <row r="168" spans="1:7" x14ac:dyDescent="0.3">
      <c r="A168" s="6"/>
      <c r="B168" s="6"/>
      <c r="C168" s="63"/>
      <c r="D168" s="63"/>
      <c r="E168" s="63"/>
      <c r="F168" s="63"/>
      <c r="G168" s="63"/>
    </row>
  </sheetData>
  <mergeCells count="36">
    <mergeCell ref="B29:D29"/>
    <mergeCell ref="D1:F1"/>
    <mergeCell ref="C13:G13"/>
    <mergeCell ref="C14:G14"/>
    <mergeCell ref="C27:G27"/>
    <mergeCell ref="C28:G28"/>
    <mergeCell ref="D15:F15"/>
    <mergeCell ref="B85:D85"/>
    <mergeCell ref="C41:G41"/>
    <mergeCell ref="C42:G42"/>
    <mergeCell ref="B43:D43"/>
    <mergeCell ref="C55:G55"/>
    <mergeCell ref="C56:G56"/>
    <mergeCell ref="B57:D57"/>
    <mergeCell ref="C69:G69"/>
    <mergeCell ref="C70:G70"/>
    <mergeCell ref="B71:D71"/>
    <mergeCell ref="C83:G83"/>
    <mergeCell ref="C84:G84"/>
    <mergeCell ref="B141:D141"/>
    <mergeCell ref="C97:G97"/>
    <mergeCell ref="C98:G98"/>
    <mergeCell ref="B99:D99"/>
    <mergeCell ref="C111:G111"/>
    <mergeCell ref="C112:G112"/>
    <mergeCell ref="B113:D113"/>
    <mergeCell ref="C125:G125"/>
    <mergeCell ref="C126:G126"/>
    <mergeCell ref="B127:D127"/>
    <mergeCell ref="C139:G139"/>
    <mergeCell ref="C140:G140"/>
    <mergeCell ref="C153:G153"/>
    <mergeCell ref="C154:G154"/>
    <mergeCell ref="B155:D155"/>
    <mergeCell ref="C167:G167"/>
    <mergeCell ref="C168:G168"/>
  </mergeCells>
  <dataValidations count="12">
    <dataValidation allowBlank="1" showInputMessage="1" prompt="Fecha" sqref="A3" xr:uid="{00000000-0002-0000-0A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A2" xr:uid="{00000000-0002-0000-0A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B1:D1 D15" xr:uid="{00000000-0002-0000-0A00-000002000000}">
      <formula1>"enero,febrero,marzo,abril,mayo,junio,julio,agosto,septiembre,octubre,noviembre,diciembre"</formula1>
    </dataValidation>
    <dataValidation allowBlank="1" showInputMessage="1" showErrorMessage="1" prompt="Escriba el año en esta celda" sqref="A1" xr:uid="{00000000-0002-0000-0A00-000004000000}"/>
    <dataValidation allowBlank="1" showInputMessage="1" prompt="Día laborable determinado automáticamente. Para cambiar los días laborables, seleccione un nuevo día de inicio de semana en la celda B2." sqref="B2:G2 A16" xr:uid="{00000000-0002-0000-0A00-000005000000}"/>
    <dataValidation allowBlank="1" showInputMessage="1" prompt="El año natural se actualiza automáticamente según el año seleccionado en la celda B1" sqref="A15" xr:uid="{00000000-0002-0000-0A00-000007000000}"/>
    <dataValidation allowBlank="1" showInputMessage="1" prompt="El mes natural se actualiza automáticamente según el mes seleccionado en la celda C1" sqref="B15:C15" xr:uid="{00000000-0002-0000-0A00-000008000000}"/>
    <dataValidation allowBlank="1" showInputMessage="1" prompt="Escriba las notas del mes en la siguiente celda" sqref="C13:G13" xr:uid="{00000000-0002-0000-0A00-000009000000}"/>
    <dataValidation allowBlank="1" showInputMessage="1" prompt="Escriba las notas del mes en esta celda" sqref="C14:G14" xr:uid="{00000000-0002-0000-0A00-00000A000000}"/>
    <dataValidation allowBlank="1" showInputMessage="1" showErrorMessage="1" prompt="El año natural se actualiza automáticamente según el año seleccionado en la celda B1" sqref="A29 A155 A141 A127 A113 A99 A85 A71 A57 A43" xr:uid="{00000000-0002-0000-0A00-00000B000000}"/>
    <dataValidation allowBlank="1" showInputMessage="1" showErrorMessage="1" prompt="El mes natural se actualiza automáticamente según el mes seleccionado en la celda C1" sqref="B141:D141 B155:D155 B127:D127 B113:D113 B99:D99 B85:D85 B71:D71 B57:D57 B43:D43 B29:D29" xr:uid="{00000000-0002-0000-0A00-000015000000}"/>
    <dataValidation allowBlank="1" showInputMessage="1" showErrorMessage="1" prompt="Día laborable determinado automáticamente. Para cambiar los días laborables, seleccione un nuevo día de inicio de semana en la celda B2." sqref="B16:G16 A156:G156 A142:G142 A128:G128 A114:G114 A100:G100 A86:G86 A72:G72 A58:G58 A44:G44 A30:G30" xr:uid="{00000000-0002-0000-0A00-00001F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FFAE2136-76F8-4283-B284-64946D345866}">
            <xm:f>MONTH(JoMa!A3)&lt;&gt;Calendario1MesOpción</xm:f>
            <x14:dxf>
              <font>
                <color rgb="FF747474"/>
              </font>
            </x14:dxf>
          </x14:cfRule>
          <xm:sqref>A3:G3 A5:G5 A7:G7 A9:G9 A11:G11 A13:B13</xm:sqref>
        </x14:conditionalFormatting>
        <x14:conditionalFormatting xmlns:xm="http://schemas.microsoft.com/office/excel/2006/main">
          <x14:cfRule type="expression" priority="11" id="{AD4DFF54-DE4D-4EE7-940A-5217A3AD7AC8}">
            <xm:f>MONTH(JoMa!A17)&lt;&gt;Calendario2MesOpción</xm:f>
            <x14:dxf>
              <font>
                <color rgb="FF747474"/>
              </font>
            </x14:dxf>
          </x14:cfRule>
          <xm:sqref>A17:G17 A19:G19 A21:G21 A23:G23 A25:G25 A27:B27</xm:sqref>
        </x14:conditionalFormatting>
        <x14:conditionalFormatting xmlns:xm="http://schemas.microsoft.com/office/excel/2006/main">
          <x14:cfRule type="expression" priority="10" id="{DB7E2A81-6D6A-4981-8145-A0DD619B853F}">
            <xm:f>MONTH(JoMa!A31)&lt;&gt;Calendario3MesOpción</xm:f>
            <x14:dxf>
              <font>
                <color rgb="FF747474"/>
              </font>
            </x14:dxf>
          </x14:cfRule>
          <xm:sqref>A31:G31 A33:G33 A35:G35 A37:G37 A39:G39 A41:B41</xm:sqref>
        </x14:conditionalFormatting>
        <x14:conditionalFormatting xmlns:xm="http://schemas.microsoft.com/office/excel/2006/main">
          <x14:cfRule type="expression" priority="9" id="{12A97885-BF3C-4C43-9131-A14B7C3C39F0}">
            <xm:f>MONTH(JoMa!A45)&lt;&gt;Calendario4MesOpción</xm:f>
            <x14:dxf>
              <font>
                <color rgb="FF747474"/>
              </font>
            </x14:dxf>
          </x14:cfRule>
          <xm:sqref>A45:G45 A47:G47 A49:G49 A51:G51 A53:G53 A55:B55</xm:sqref>
        </x14:conditionalFormatting>
        <x14:conditionalFormatting xmlns:xm="http://schemas.microsoft.com/office/excel/2006/main">
          <x14:cfRule type="expression" priority="8" id="{4F1AD4ED-F501-4319-9059-85DF5CDF1238}">
            <xm:f>MONTH(JoMa!A59)&lt;&gt;Calendario5MesOpción</xm:f>
            <x14:dxf>
              <font>
                <color rgb="FF747474"/>
              </font>
            </x14:dxf>
          </x14:cfRule>
          <xm:sqref>A59:G59 A61:G61 A63:G63 A65:G65 A67:G67 A69:B69</xm:sqref>
        </x14:conditionalFormatting>
        <x14:conditionalFormatting xmlns:xm="http://schemas.microsoft.com/office/excel/2006/main">
          <x14:cfRule type="expression" priority="7" id="{4C98177F-7AEA-44AA-94A3-FCC613F25AC5}">
            <xm:f>MONTH(JoMa!A73)&lt;&gt;Calendario6MesOpción</xm:f>
            <x14:dxf>
              <font>
                <color rgb="FF747474"/>
              </font>
            </x14:dxf>
          </x14:cfRule>
          <xm:sqref>A73:G73 A75:G75 A77:G77 A79:G79 A81:G81 A83:B83</xm:sqref>
        </x14:conditionalFormatting>
        <x14:conditionalFormatting xmlns:xm="http://schemas.microsoft.com/office/excel/2006/main">
          <x14:cfRule type="expression" priority="6" id="{928B508C-C8B2-4BB6-9F63-3665F562E3AB}">
            <xm:f>MONTH(JoMa!A87)&lt;&gt;Calendario7MesOpción</xm:f>
            <x14:dxf>
              <font>
                <color rgb="FF747474"/>
              </font>
            </x14:dxf>
          </x14:cfRule>
          <xm:sqref>A87:G87 A89:G89 A91:G91 A93:G93 A95:G95 A97:B97</xm:sqref>
        </x14:conditionalFormatting>
        <x14:conditionalFormatting xmlns:xm="http://schemas.microsoft.com/office/excel/2006/main">
          <x14:cfRule type="expression" priority="5" id="{774FD1A2-3DEB-4669-B14F-DA216D9B86E5}">
            <xm:f>MONTH(JoMa!A101)&lt;&gt;Calendario8MesOpción</xm:f>
            <x14:dxf>
              <font>
                <color rgb="FF747474"/>
              </font>
            </x14:dxf>
          </x14:cfRule>
          <xm:sqref>A101:G101 A103:G103 A105:G105 A107:G107 A109:G109 A111:B111</xm:sqref>
        </x14:conditionalFormatting>
        <x14:conditionalFormatting xmlns:xm="http://schemas.microsoft.com/office/excel/2006/main">
          <x14:cfRule type="expression" priority="4" id="{25374B73-8ABD-4227-9896-884CC7A73EEE}">
            <xm:f>MONTH(JoMa!A115)&lt;&gt;Calendario9MesOpción</xm:f>
            <x14:dxf>
              <font>
                <color rgb="FF747474"/>
              </font>
            </x14:dxf>
          </x14:cfRule>
          <xm:sqref>A115:G115 A117:G117 A119:G119 A121:G121 A123:G123 A125:B125</xm:sqref>
        </x14:conditionalFormatting>
        <x14:conditionalFormatting xmlns:xm="http://schemas.microsoft.com/office/excel/2006/main">
          <x14:cfRule type="expression" priority="3" id="{885D4F00-E4C2-4F4F-8F1D-BECAD2EF68AE}">
            <xm:f>MONTH(JoMa!A129)&lt;&gt;Calendario10MesOpción</xm:f>
            <x14:dxf>
              <font>
                <color rgb="FF747474"/>
              </font>
            </x14:dxf>
          </x14:cfRule>
          <xm:sqref>A129:G129 A131:G131 A133:G133 A135:G135 A137:G137 A139:B139</xm:sqref>
        </x14:conditionalFormatting>
        <x14:conditionalFormatting xmlns:xm="http://schemas.microsoft.com/office/excel/2006/main">
          <x14:cfRule type="expression" priority="2" id="{30113849-DE60-43AB-8F1E-8E86D131C609}">
            <xm:f>MONTH(JoMa!A143)&lt;&gt;Calendario11MesOpción</xm:f>
            <x14:dxf>
              <font>
                <color rgb="FF747474"/>
              </font>
            </x14:dxf>
          </x14:cfRule>
          <xm:sqref>A143:G143 A145:G145 A147:G147 A149:G149 A151:G151 A153:B153</xm:sqref>
        </x14:conditionalFormatting>
        <x14:conditionalFormatting xmlns:xm="http://schemas.microsoft.com/office/excel/2006/main">
          <x14:cfRule type="expression" priority="1" id="{04E4878E-48C6-42CA-9327-ED7A3B09F61F}">
            <xm:f>MONTH(JoMa!A157)&lt;&gt;Calendario12MesOpción</xm:f>
            <x14:dxf>
              <font>
                <color rgb="FF747474"/>
              </font>
            </x14:dxf>
          </x14:cfRule>
          <xm:sqref>A157:G157 A159:G159 A161:G161 A163:G163 A165:G165 A167:B167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/>
  </sheetPr>
  <dimension ref="A1:K168"/>
  <sheetViews>
    <sheetView topLeftCell="A4" workbookViewId="0">
      <selection activeCell="J10" sqref="J10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0" max="10" width="8.75"/>
  </cols>
  <sheetData>
    <row r="1" spans="1:11" ht="46.5" customHeight="1" x14ac:dyDescent="0.7">
      <c r="A1" s="2"/>
      <c r="B1" s="1">
        <f ca="1">YEAR(TODAY())</f>
        <v>2024</v>
      </c>
      <c r="C1" s="18" t="s">
        <v>2</v>
      </c>
      <c r="D1" s="13"/>
      <c r="E1" s="65" t="s">
        <v>69</v>
      </c>
      <c r="F1" s="65"/>
      <c r="G1" s="65"/>
      <c r="H1" s="29" t="s">
        <v>70</v>
      </c>
      <c r="J1" s="20">
        <v>23</v>
      </c>
    </row>
    <row r="2" spans="1:11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1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1" ht="28.5" x14ac:dyDescent="0.3">
      <c r="B4" s="30" t="s">
        <v>71</v>
      </c>
      <c r="C4" s="30" t="s">
        <v>71</v>
      </c>
      <c r="D4" s="31" t="s">
        <v>72</v>
      </c>
      <c r="E4" s="31" t="s">
        <v>72</v>
      </c>
      <c r="F4" s="31" t="s">
        <v>72</v>
      </c>
      <c r="G4" s="6"/>
      <c r="H4" s="7"/>
    </row>
    <row r="5" spans="1:11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1" ht="28.5" x14ac:dyDescent="0.3">
      <c r="B6" s="31" t="s">
        <v>72</v>
      </c>
      <c r="C6" s="31" t="s">
        <v>72</v>
      </c>
      <c r="D6" s="31" t="s">
        <v>72</v>
      </c>
      <c r="E6" s="30" t="s">
        <v>71</v>
      </c>
      <c r="F6" s="31" t="s">
        <v>72</v>
      </c>
      <c r="G6" s="31" t="s">
        <v>72</v>
      </c>
      <c r="H6" s="9"/>
    </row>
    <row r="7" spans="1:11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1" x14ac:dyDescent="0.3">
      <c r="B8" s="31" t="s">
        <v>72</v>
      </c>
      <c r="C8" s="31" t="s">
        <v>72</v>
      </c>
      <c r="D8" s="31" t="s">
        <v>72</v>
      </c>
      <c r="E8" s="31" t="s">
        <v>72</v>
      </c>
      <c r="F8" s="31" t="s">
        <v>72</v>
      </c>
      <c r="G8" s="31" t="s">
        <v>72</v>
      </c>
      <c r="H8" s="7"/>
    </row>
    <row r="9" spans="1:11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1" x14ac:dyDescent="0.3">
      <c r="B10" s="31" t="s">
        <v>72</v>
      </c>
      <c r="C10" s="31" t="s">
        <v>72</v>
      </c>
      <c r="D10" s="31" t="s">
        <v>72</v>
      </c>
      <c r="E10" s="31" t="s">
        <v>72</v>
      </c>
      <c r="F10" s="31" t="s">
        <v>72</v>
      </c>
      <c r="G10" s="31" t="s">
        <v>72</v>
      </c>
      <c r="H10" s="7"/>
      <c r="K10" t="s">
        <v>141</v>
      </c>
    </row>
    <row r="11" spans="1:11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1" ht="28.5" x14ac:dyDescent="0.3">
      <c r="B12" s="31" t="s">
        <v>147</v>
      </c>
      <c r="C12" s="31" t="s">
        <v>147</v>
      </c>
      <c r="D12" s="31" t="s">
        <v>147</v>
      </c>
      <c r="E12" s="51"/>
      <c r="F12" s="51"/>
      <c r="G12" s="51"/>
      <c r="H12" s="52"/>
    </row>
    <row r="13" spans="1:11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1" t="s">
        <v>1</v>
      </c>
      <c r="E13" s="62"/>
      <c r="F13" s="62"/>
      <c r="G13" s="62"/>
      <c r="H13" s="62"/>
    </row>
    <row r="14" spans="1:11" x14ac:dyDescent="0.3">
      <c r="B14" s="51"/>
      <c r="C14" s="51"/>
      <c r="D14" s="68"/>
      <c r="E14" s="68"/>
      <c r="F14" s="68"/>
      <c r="G14" s="68"/>
      <c r="H14" s="68"/>
    </row>
    <row r="15" spans="1:11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65" t="s">
        <v>69</v>
      </c>
      <c r="F15" s="65"/>
      <c r="G15" s="65"/>
      <c r="H15" s="29" t="s">
        <v>70</v>
      </c>
      <c r="J15" s="20">
        <v>23</v>
      </c>
    </row>
    <row r="16" spans="1:11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x14ac:dyDescent="0.3">
      <c r="B18" s="51"/>
      <c r="C18" s="51"/>
      <c r="D18" s="51"/>
      <c r="E18" s="69" t="s">
        <v>176</v>
      </c>
      <c r="F18" s="70"/>
      <c r="G18" s="70"/>
      <c r="H18" s="70"/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x14ac:dyDescent="0.3">
      <c r="B20" s="6"/>
      <c r="C20" s="6"/>
      <c r="D20" s="6"/>
      <c r="E20" s="6"/>
      <c r="F20" s="6"/>
      <c r="G20" s="6"/>
      <c r="H20" s="7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x14ac:dyDescent="0.3">
      <c r="B22" s="6"/>
      <c r="C22" s="6"/>
      <c r="D22" s="6"/>
      <c r="E22" s="6"/>
      <c r="F22" s="6"/>
      <c r="G22" s="6"/>
      <c r="H22" s="7"/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"/>
      <c r="C24" s="6"/>
      <c r="D24" s="6"/>
      <c r="E24" s="6"/>
      <c r="F24" s="6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7">
    <mergeCell ref="C29:E29"/>
    <mergeCell ref="E1:G1"/>
    <mergeCell ref="D13:H13"/>
    <mergeCell ref="D14:H14"/>
    <mergeCell ref="D27:H27"/>
    <mergeCell ref="D28:H28"/>
    <mergeCell ref="E15:G15"/>
    <mergeCell ref="E18:H18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D153:H153"/>
    <mergeCell ref="D154:H154"/>
    <mergeCell ref="C155:E155"/>
    <mergeCell ref="D167:H167"/>
    <mergeCell ref="D168:H168"/>
  </mergeCells>
  <dataValidations count="14">
    <dataValidation allowBlank="1" showInputMessage="1" prompt="Fecha" sqref="B3" xr:uid="{00000000-0002-0000-0B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0B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 E15" xr:uid="{00000000-0002-0000-0B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0B00-000004000000}"/>
    <dataValidation allowBlank="1" showInputMessage="1" showErrorMessage="1" prompt="Escriba el año en esta celda" sqref="B1" xr:uid="{00000000-0002-0000-0B00-000005000000}"/>
    <dataValidation allowBlank="1" showInputMessage="1" prompt="Día laborable determinado automáticamente. Para cambiar los días laborables, seleccione un nuevo día de inicio de semana en la celda B2." sqref="C2:H2 B16" xr:uid="{00000000-0002-0000-0B00-000006000000}"/>
    <dataValidation allowBlank="1" showInputMessage="1" prompt="Escriba aquí las notas del día" sqref="B4:F4 B10:G10 B8:G8 B6:G6" xr:uid="{00000000-0002-0000-0B00-000008000000}"/>
    <dataValidation allowBlank="1" showInputMessage="1" prompt="El año natural se actualiza automáticamente según el año seleccionado en la celda B1" sqref="B15" xr:uid="{00000000-0002-0000-0B00-00000C000000}"/>
    <dataValidation allowBlank="1" showInputMessage="1" prompt="El mes natural se actualiza automáticamente según el mes seleccionado en la celda C1" sqref="C15:D15" xr:uid="{00000000-0002-0000-0B00-00000D000000}"/>
    <dataValidation allowBlank="1" showInputMessage="1" prompt="Escriba las notas del mes en la siguiente celda" sqref="D13:H13" xr:uid="{00000000-0002-0000-0B00-00000E000000}"/>
    <dataValidation allowBlank="1" showInputMessage="1" prompt="Escriba las notas del mes en esta celda" sqref="D14:H14" xr:uid="{00000000-0002-0000-0B00-00000F000000}"/>
    <dataValidation allowBlank="1" showInputMessage="1" showErrorMessage="1" prompt="El año natural se actualiza automáticamente según el año seleccionado en la celda B1" sqref="B29 B155 B141 B127 B113 B99 B85 B71 B57 B43" xr:uid="{00000000-0002-0000-0B00-000010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0B00-00001A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0B00-000024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B6A45299-0BC5-4004-A7D3-5C5A1498DACA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BFB7C715-32DE-4F89-8DA5-04A4BDC58DB5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CFEC9641-30C2-4DFD-82CF-D3B2B2FF6219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58E824F1-B586-44DD-9C85-12167550E8FE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D0DAE744-75C3-4422-90C2-F1EA989D623E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55F88470-9CCB-4AED-AF70-4BB07BAC51BF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D8232498-6333-4745-B495-B7EBD514F068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52060967-E472-4478-858F-19823A207099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AD24F0B1-A919-4DAA-B0EB-C16C3D0E9474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F5214C45-9EF6-4D91-A3AB-F8BECC0AC869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D6008812-A7E7-4B79-BAAE-F94981C415F0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E75165EB-1923-473F-8ACB-51C29617C8E8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1"/>
  </sheetPr>
  <dimension ref="A1:J168"/>
  <sheetViews>
    <sheetView topLeftCell="A10" workbookViewId="0">
      <selection activeCell="G24" sqref="G24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</cols>
  <sheetData>
    <row r="1" spans="1:10" ht="46.5" x14ac:dyDescent="0.7">
      <c r="A1" s="2"/>
      <c r="B1" s="1">
        <f ca="1">YEAR(TODAY())</f>
        <v>2024</v>
      </c>
      <c r="C1" s="18" t="s">
        <v>2</v>
      </c>
      <c r="D1" s="13"/>
      <c r="E1" s="65" t="s">
        <v>113</v>
      </c>
      <c r="F1" s="65"/>
      <c r="G1" s="65"/>
      <c r="H1" s="19" t="s">
        <v>114</v>
      </c>
      <c r="J1" s="20">
        <v>37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x14ac:dyDescent="0.3">
      <c r="B4" s="6"/>
      <c r="C4" s="6"/>
      <c r="D4" s="6"/>
      <c r="E4" s="6"/>
      <c r="F4" s="7"/>
      <c r="G4" s="6"/>
      <c r="H4" s="7"/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x14ac:dyDescent="0.3">
      <c r="B6" s="6"/>
      <c r="D6" s="6"/>
      <c r="E6" s="7"/>
      <c r="F6" s="6"/>
      <c r="G6" s="6"/>
      <c r="H6" s="7"/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ht="28.5" x14ac:dyDescent="0.3">
      <c r="B8" s="30" t="s">
        <v>115</v>
      </c>
      <c r="C8" s="6"/>
      <c r="D8" s="6"/>
      <c r="E8" s="6"/>
      <c r="F8" s="6"/>
      <c r="G8" s="6"/>
      <c r="H8" s="7"/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ht="28.5" x14ac:dyDescent="0.3">
      <c r="C10" s="6"/>
      <c r="D10" s="31" t="s">
        <v>135</v>
      </c>
      <c r="E10" s="6"/>
      <c r="F10" s="6"/>
      <c r="G10" s="31" t="s">
        <v>177</v>
      </c>
      <c r="H10" s="31" t="s">
        <v>177</v>
      </c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x14ac:dyDescent="0.3">
      <c r="B12" s="6"/>
      <c r="C12" s="6"/>
      <c r="D12" s="6"/>
      <c r="E12" s="6"/>
      <c r="F12" s="6"/>
      <c r="G12" s="6"/>
      <c r="H12" s="7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6"/>
      <c r="C14" s="6"/>
      <c r="D14" s="63"/>
      <c r="E14" s="63"/>
      <c r="F14" s="63"/>
      <c r="G14" s="63"/>
      <c r="H14" s="63"/>
    </row>
    <row r="15" spans="1:10" ht="46.5" customHeight="1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65" t="s">
        <v>113</v>
      </c>
      <c r="F15" s="65"/>
      <c r="G15" s="65"/>
      <c r="H15" s="19" t="s">
        <v>114</v>
      </c>
      <c r="J15" s="20">
        <v>37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ht="28.5" x14ac:dyDescent="0.3">
      <c r="B18" s="6"/>
      <c r="C18" s="6"/>
      <c r="D18" s="6"/>
      <c r="E18" s="6"/>
      <c r="F18" s="31" t="s">
        <v>158</v>
      </c>
      <c r="G18" s="25"/>
      <c r="H18" s="31" t="s">
        <v>159</v>
      </c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x14ac:dyDescent="0.3">
      <c r="B20" s="71" t="s">
        <v>176</v>
      </c>
      <c r="C20" s="71"/>
      <c r="D20" s="71"/>
      <c r="E20" s="71"/>
      <c r="F20" s="71"/>
      <c r="G20" s="71"/>
      <c r="H20" s="71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x14ac:dyDescent="0.3">
      <c r="B22" s="6"/>
      <c r="C22" s="6"/>
      <c r="D22" s="6"/>
      <c r="E22" s="6"/>
      <c r="F22" s="6"/>
      <c r="G22" s="6"/>
      <c r="H22" s="7"/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"/>
      <c r="C24" s="6"/>
      <c r="D24" s="6"/>
      <c r="E24" s="6"/>
      <c r="F24" s="6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7">
    <mergeCell ref="D153:H153"/>
    <mergeCell ref="D154:H154"/>
    <mergeCell ref="C155:E155"/>
    <mergeCell ref="D167:H167"/>
    <mergeCell ref="D168:H168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29:E29"/>
    <mergeCell ref="E1:G1"/>
    <mergeCell ref="D13:H13"/>
    <mergeCell ref="D14:H14"/>
    <mergeCell ref="D27:H27"/>
    <mergeCell ref="D28:H28"/>
    <mergeCell ref="E15:G15"/>
    <mergeCell ref="B20:H20"/>
  </mergeCells>
  <dataValidations count="13">
    <dataValidation allowBlank="1" showInputMessage="1" prompt="Fecha" sqref="B3" xr:uid="{00000000-0002-0000-0C00-000000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0C00-000001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0C00-00000C000000}"/>
    <dataValidation allowBlank="1" showInputMessage="1" showErrorMessage="1" prompt="El año natural se actualiza automáticamente según el año seleccionado en la celda B1" sqref="B29 B155 B141 B127 B113 B99 B85 B71 B57 B43" xr:uid="{00000000-0002-0000-0C00-000016000000}"/>
    <dataValidation allowBlank="1" showInputMessage="1" prompt="Escriba las notas del mes en esta celda" sqref="D14:H14" xr:uid="{00000000-0002-0000-0C00-000020000000}"/>
    <dataValidation allowBlank="1" showInputMessage="1" prompt="Escriba las notas del mes en la siguiente celda" sqref="D13:H13" xr:uid="{00000000-0002-0000-0C00-000021000000}"/>
    <dataValidation allowBlank="1" showInputMessage="1" prompt="El mes natural se actualiza automáticamente según el mes seleccionado en la celda C1" sqref="C15:D15" xr:uid="{00000000-0002-0000-0C00-000022000000}"/>
    <dataValidation allowBlank="1" showInputMessage="1" prompt="El año natural se actualiza automáticamente según el año seleccionado en la celda B1" sqref="B15" xr:uid="{00000000-0002-0000-0C00-000023000000}"/>
    <dataValidation allowBlank="1" showInputMessage="1" prompt="Día laborable determinado automáticamente. Para cambiar los días laborables, seleccione un nuevo día de inicio de semana en la celda B2." sqref="C2:H2 B16" xr:uid="{00000000-0002-0000-0C00-000024000000}"/>
    <dataValidation allowBlank="1" showInputMessage="1" showErrorMessage="1" prompt="Escriba el año en esta celda" sqref="B1" xr:uid="{00000000-0002-0000-0C00-000026000000}"/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0C00-000027000000}"/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 E15" xr:uid="{00000000-0002-0000-0C00-000028000000}">
      <formula1>"enero,febrero,marzo,abril,mayo,junio,julio,agosto,septiembre,octubre,noviembre,diciembre"</formula1>
    </dataValidation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0C00-00002A000000}">
      <formula1>"DOMINGO,LUNES,MARTES,MIÉRCOLES,JUEVES,VIERNES,SÁBADO"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1694120E-86D8-4995-9D3B-945C82AFD8A6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3248A52B-3046-4E0F-BD29-13FD34918344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935B4A8D-DD78-450E-A371-F3EA94A7A77E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3ACFF64B-4303-4179-BA1A-645FBEE29FC6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D71CAD93-4405-454D-96AE-92F8A57B60EC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BF54EA43-C58A-4F7B-98E4-F12E10317875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6D11EF29-3923-4BA2-91C6-F97AFAAD2B95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0625F1CE-6985-4DAA-AB82-3DE5B949B7F9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5022CCCE-5EBF-40D8-842F-93C6FAE63A80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7339E53A-DB4C-492B-8AA9-A9098F9BBF0F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243E6E39-43EF-49B7-A67D-86F151125873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1BA1A5D6-3FD9-4A6A-936D-4EFB50C2C530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CFF"/>
  </sheetPr>
  <dimension ref="A1:J168"/>
  <sheetViews>
    <sheetView workbookViewId="0">
      <selection activeCell="G10" sqref="G10"/>
    </sheetView>
  </sheetViews>
  <sheetFormatPr baseColWidth="10" defaultColWidth="8.75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4" max="14" width="6.75" customWidth="1"/>
  </cols>
  <sheetData>
    <row r="1" spans="1:10" ht="54" customHeight="1" x14ac:dyDescent="0.7">
      <c r="A1" s="2"/>
      <c r="B1" s="1">
        <f ca="1">YEAR(TODAY())</f>
        <v>2024</v>
      </c>
      <c r="C1" s="18" t="s">
        <v>2</v>
      </c>
      <c r="D1" s="13"/>
      <c r="E1" s="72" t="s">
        <v>6</v>
      </c>
      <c r="F1" s="72"/>
      <c r="G1" s="72"/>
      <c r="H1" s="15" t="s">
        <v>7</v>
      </c>
      <c r="J1" s="20">
        <v>2</v>
      </c>
    </row>
    <row r="2" spans="1:10" ht="18" customHeight="1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16.5" customHeight="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ht="28.5" x14ac:dyDescent="0.3">
      <c r="B4" s="6"/>
      <c r="C4" s="6"/>
      <c r="D4" s="6"/>
      <c r="E4" s="6"/>
      <c r="F4" s="32" t="s">
        <v>93</v>
      </c>
      <c r="G4" s="6"/>
      <c r="H4" s="7"/>
    </row>
    <row r="5" spans="1:10" ht="16.5" customHeight="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ht="28.5" x14ac:dyDescent="0.3">
      <c r="B6" s="6"/>
      <c r="C6" s="6"/>
      <c r="D6" s="6"/>
      <c r="E6" s="6"/>
      <c r="F6" s="32" t="s">
        <v>132</v>
      </c>
      <c r="G6" s="6"/>
      <c r="H6" s="9"/>
    </row>
    <row r="7" spans="1:10" ht="16.5" customHeight="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ht="28.5" x14ac:dyDescent="0.3">
      <c r="B8" s="6"/>
      <c r="C8" s="6"/>
      <c r="D8" s="6"/>
      <c r="E8" s="32" t="s">
        <v>93</v>
      </c>
      <c r="F8" s="6"/>
      <c r="G8" s="6"/>
      <c r="H8" s="7"/>
    </row>
    <row r="9" spans="1:10" ht="16.5" customHeight="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ht="28.5" x14ac:dyDescent="0.3">
      <c r="B10" s="6"/>
      <c r="C10" s="6"/>
      <c r="D10" s="6"/>
      <c r="E10" s="32" t="s">
        <v>139</v>
      </c>
      <c r="F10" s="6"/>
      <c r="G10" s="6"/>
      <c r="H10" s="7"/>
    </row>
    <row r="11" spans="1:10" ht="16.5" customHeight="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x14ac:dyDescent="0.3">
      <c r="B12" s="6"/>
      <c r="C12" s="6"/>
      <c r="D12" s="6"/>
      <c r="E12" s="51"/>
      <c r="F12" s="51"/>
      <c r="G12" s="51"/>
      <c r="H12" s="52"/>
    </row>
    <row r="13" spans="1:10" ht="16.5" customHeight="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51"/>
      <c r="C14" s="51"/>
      <c r="D14" s="68"/>
      <c r="E14" s="68"/>
      <c r="F14" s="68"/>
      <c r="G14" s="68"/>
      <c r="H14" s="68"/>
    </row>
    <row r="15" spans="1:10" ht="54" customHeight="1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72" t="s">
        <v>6</v>
      </c>
      <c r="F15" s="72"/>
      <c r="G15" s="72"/>
      <c r="H15" s="15" t="s">
        <v>7</v>
      </c>
      <c r="J15" s="20">
        <v>2</v>
      </c>
    </row>
    <row r="16" spans="1:10" ht="14.25" customHeight="1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16.5" customHeight="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ht="28.5" x14ac:dyDescent="0.3">
      <c r="B18" s="51"/>
      <c r="C18" s="51"/>
      <c r="D18" s="51"/>
      <c r="E18" s="32" t="s">
        <v>139</v>
      </c>
      <c r="F18" s="6"/>
      <c r="G18" s="6"/>
      <c r="H18" s="7"/>
    </row>
    <row r="19" spans="1:8" ht="16.5" customHeight="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ht="28.5" x14ac:dyDescent="0.3">
      <c r="B20" s="6"/>
      <c r="C20" s="6"/>
      <c r="D20" s="6"/>
      <c r="E20" s="32" t="s">
        <v>132</v>
      </c>
      <c r="F20" s="6"/>
      <c r="G20" s="6"/>
      <c r="H20" s="7"/>
    </row>
    <row r="21" spans="1:8" ht="16.5" customHeight="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x14ac:dyDescent="0.3">
      <c r="B22" s="67" t="s">
        <v>182</v>
      </c>
      <c r="C22" s="67"/>
      <c r="D22" s="67"/>
      <c r="E22" s="67"/>
      <c r="F22" s="67"/>
      <c r="G22" s="67"/>
      <c r="H22" s="67"/>
    </row>
    <row r="23" spans="1:8" ht="16.5" customHeight="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ht="56.25" customHeight="1" x14ac:dyDescent="0.3">
      <c r="B24" s="6"/>
      <c r="C24" s="6"/>
      <c r="D24" s="6"/>
      <c r="E24" s="6"/>
      <c r="F24" s="6"/>
      <c r="G24" s="6"/>
      <c r="H24" s="7"/>
    </row>
    <row r="25" spans="1:8" ht="16.5" customHeight="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ht="57" customHeight="1" x14ac:dyDescent="0.3">
      <c r="B26" s="6"/>
      <c r="C26" s="6"/>
      <c r="D26" s="6"/>
      <c r="E26" s="6"/>
      <c r="F26" s="6"/>
      <c r="G26" s="6"/>
      <c r="H26" s="8"/>
    </row>
    <row r="27" spans="1:8" ht="16.5" customHeight="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ht="63.75" customHeight="1" x14ac:dyDescent="0.3">
      <c r="B28" s="6"/>
      <c r="C28" s="6"/>
      <c r="D28" s="63"/>
      <c r="E28" s="63"/>
      <c r="F28" s="63"/>
      <c r="G28" s="63"/>
      <c r="H28" s="63"/>
    </row>
    <row r="29" spans="1:8" ht="54" customHeight="1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ht="18" customHeight="1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16.5" customHeight="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ht="56.25" customHeight="1" x14ac:dyDescent="0.3">
      <c r="B32" s="6"/>
      <c r="C32" s="6"/>
      <c r="D32" s="6"/>
      <c r="E32" s="6"/>
      <c r="F32" s="6"/>
      <c r="G32" s="6"/>
      <c r="H32" s="7"/>
    </row>
    <row r="33" spans="1:8" ht="16.5" customHeight="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ht="56.25" customHeight="1" x14ac:dyDescent="0.3">
      <c r="B34" s="6"/>
      <c r="C34" s="6"/>
      <c r="D34" s="6"/>
      <c r="E34" s="6"/>
      <c r="F34" s="6"/>
      <c r="G34" s="6"/>
      <c r="H34" s="7"/>
    </row>
    <row r="35" spans="1:8" ht="16.5" customHeight="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ht="56.25" customHeight="1" x14ac:dyDescent="0.3">
      <c r="B36" s="6"/>
      <c r="C36" s="6"/>
      <c r="D36" s="6"/>
      <c r="E36" s="6"/>
      <c r="F36" s="6"/>
      <c r="G36" s="6"/>
      <c r="H36" s="7"/>
    </row>
    <row r="37" spans="1:8" ht="16.5" customHeight="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ht="56.25" customHeight="1" x14ac:dyDescent="0.3">
      <c r="B38" s="6"/>
      <c r="C38" s="6"/>
      <c r="D38" s="6"/>
      <c r="E38" s="6"/>
      <c r="F38" s="6"/>
      <c r="G38" s="6"/>
      <c r="H38" s="7"/>
    </row>
    <row r="39" spans="1:8" ht="16.5" customHeight="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ht="57" customHeight="1" x14ac:dyDescent="0.3">
      <c r="B40" s="6"/>
      <c r="C40" s="6"/>
      <c r="D40" s="6"/>
      <c r="E40" s="6"/>
      <c r="F40" s="6"/>
      <c r="G40" s="6"/>
      <c r="H40" s="8"/>
    </row>
    <row r="41" spans="1:8" ht="16.5" customHeight="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ht="63.75" customHeight="1" x14ac:dyDescent="0.3">
      <c r="B42" s="6"/>
      <c r="C42" s="6"/>
      <c r="D42" s="63"/>
      <c r="E42" s="63"/>
      <c r="F42" s="63"/>
      <c r="G42" s="63"/>
      <c r="H42" s="63"/>
    </row>
    <row r="43" spans="1:8" ht="54" customHeight="1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ht="18" customHeight="1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16.5" customHeight="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ht="56.25" customHeight="1" x14ac:dyDescent="0.3">
      <c r="B46" s="6"/>
      <c r="C46" s="6"/>
      <c r="D46" s="6"/>
      <c r="E46" s="6"/>
      <c r="F46" s="6"/>
      <c r="G46" s="6"/>
      <c r="H46" s="7"/>
    </row>
    <row r="47" spans="1:8" ht="16.5" customHeight="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ht="56.25" customHeight="1" x14ac:dyDescent="0.3">
      <c r="B48" s="6"/>
      <c r="C48" s="6"/>
      <c r="D48" s="6"/>
      <c r="E48" s="6"/>
      <c r="F48" s="6"/>
      <c r="G48" s="6"/>
      <c r="H48" s="7"/>
    </row>
    <row r="49" spans="1:8" ht="16.5" customHeight="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ht="56.25" customHeight="1" x14ac:dyDescent="0.3">
      <c r="B50" s="6"/>
      <c r="C50" s="6"/>
      <c r="D50" s="6"/>
      <c r="E50" s="6"/>
      <c r="F50" s="6"/>
      <c r="G50" s="6"/>
      <c r="H50" s="7"/>
    </row>
    <row r="51" spans="1:8" ht="16.5" customHeight="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ht="56.25" customHeight="1" x14ac:dyDescent="0.3">
      <c r="B52" s="6"/>
      <c r="C52" s="6"/>
      <c r="D52" s="6"/>
      <c r="E52" s="6"/>
      <c r="F52" s="6"/>
      <c r="G52" s="6"/>
      <c r="H52" s="7"/>
    </row>
    <row r="53" spans="1:8" ht="16.5" customHeight="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ht="57" customHeight="1" x14ac:dyDescent="0.3">
      <c r="B54" s="6"/>
      <c r="C54" s="6"/>
      <c r="D54" s="6"/>
      <c r="E54" s="6"/>
      <c r="F54" s="6"/>
      <c r="G54" s="6"/>
      <c r="H54" s="8"/>
    </row>
    <row r="55" spans="1:8" ht="16.5" customHeight="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ht="63.75" customHeight="1" x14ac:dyDescent="0.3">
      <c r="B56" s="6"/>
      <c r="C56" s="6"/>
      <c r="D56" s="63"/>
      <c r="E56" s="63"/>
      <c r="F56" s="63"/>
      <c r="G56" s="63"/>
      <c r="H56" s="63"/>
    </row>
    <row r="57" spans="1:8" ht="54" customHeight="1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ht="18" customHeight="1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16.5" customHeight="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ht="56.25" customHeight="1" x14ac:dyDescent="0.3">
      <c r="B60" s="6"/>
      <c r="C60" s="6"/>
      <c r="D60" s="6"/>
      <c r="E60" s="6"/>
      <c r="F60" s="6"/>
      <c r="G60" s="6"/>
      <c r="H60" s="7"/>
    </row>
    <row r="61" spans="1:8" ht="16.5" customHeight="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ht="56.25" customHeight="1" x14ac:dyDescent="0.3">
      <c r="B62" s="6"/>
      <c r="C62" s="6"/>
      <c r="D62" s="6"/>
      <c r="E62" s="6"/>
      <c r="F62" s="6"/>
      <c r="G62" s="6"/>
      <c r="H62" s="7"/>
    </row>
    <row r="63" spans="1:8" ht="16.5" customHeight="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ht="56.25" customHeight="1" x14ac:dyDescent="0.3">
      <c r="B64" s="6"/>
      <c r="C64" s="6"/>
      <c r="D64" s="6"/>
      <c r="E64" s="6"/>
      <c r="F64" s="6"/>
      <c r="G64" s="6"/>
      <c r="H64" s="7"/>
    </row>
    <row r="65" spans="1:8" ht="16.5" customHeight="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ht="56.25" customHeight="1" x14ac:dyDescent="0.3">
      <c r="B66" s="6"/>
      <c r="C66" s="6"/>
      <c r="D66" s="6"/>
      <c r="E66" s="6"/>
      <c r="F66" s="6"/>
      <c r="G66" s="6"/>
      <c r="H66" s="7"/>
    </row>
    <row r="67" spans="1:8" ht="16.5" customHeight="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ht="57" customHeight="1" x14ac:dyDescent="0.3">
      <c r="B68" s="6"/>
      <c r="C68" s="6"/>
      <c r="D68" s="6"/>
      <c r="E68" s="6"/>
      <c r="F68" s="6"/>
      <c r="G68" s="6"/>
      <c r="H68" s="8"/>
    </row>
    <row r="69" spans="1:8" ht="16.5" customHeight="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ht="63.75" customHeight="1" x14ac:dyDescent="0.3">
      <c r="B70" s="6"/>
      <c r="C70" s="6"/>
      <c r="D70" s="63"/>
      <c r="E70" s="63"/>
      <c r="F70" s="63"/>
      <c r="G70" s="63"/>
      <c r="H70" s="63"/>
    </row>
    <row r="71" spans="1:8" ht="54" customHeight="1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ht="18" customHeight="1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16.5" customHeight="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ht="56.25" customHeight="1" x14ac:dyDescent="0.3">
      <c r="B74" s="6"/>
      <c r="C74" s="6"/>
      <c r="D74" s="6"/>
      <c r="E74" s="6"/>
      <c r="F74" s="6"/>
      <c r="G74" s="6"/>
      <c r="H74" s="7"/>
    </row>
    <row r="75" spans="1:8" ht="16.5" customHeight="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ht="56.25" customHeight="1" x14ac:dyDescent="0.3">
      <c r="B76" s="6"/>
      <c r="C76" s="6"/>
      <c r="D76" s="6"/>
      <c r="E76" s="6"/>
      <c r="F76" s="6"/>
      <c r="G76" s="6"/>
      <c r="H76" s="7"/>
    </row>
    <row r="77" spans="1:8" ht="16.5" customHeight="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ht="56.25" customHeight="1" x14ac:dyDescent="0.3">
      <c r="B78" s="6"/>
      <c r="C78" s="6"/>
      <c r="D78" s="6"/>
      <c r="E78" s="6"/>
      <c r="F78" s="6"/>
      <c r="G78" s="6"/>
      <c r="H78" s="7"/>
    </row>
    <row r="79" spans="1:8" ht="16.5" customHeight="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ht="56.25" customHeight="1" x14ac:dyDescent="0.3">
      <c r="B80" s="6"/>
      <c r="C80" s="6"/>
      <c r="D80" s="6"/>
      <c r="E80" s="6"/>
      <c r="F80" s="6"/>
      <c r="G80" s="6"/>
      <c r="H80" s="7"/>
    </row>
    <row r="81" spans="1:8" ht="16.5" customHeight="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ht="57" customHeight="1" x14ac:dyDescent="0.3">
      <c r="B82" s="6"/>
      <c r="C82" s="6"/>
      <c r="D82" s="6"/>
      <c r="E82" s="6"/>
      <c r="F82" s="6"/>
      <c r="G82" s="6"/>
      <c r="H82" s="8"/>
    </row>
    <row r="83" spans="1:8" ht="16.5" customHeight="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ht="63.75" customHeight="1" x14ac:dyDescent="0.3">
      <c r="B84" s="6"/>
      <c r="C84" s="6"/>
      <c r="D84" s="63"/>
      <c r="E84" s="63"/>
      <c r="F84" s="63"/>
      <c r="G84" s="63"/>
      <c r="H84" s="63"/>
    </row>
    <row r="85" spans="1:8" ht="54" customHeight="1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ht="18" customHeight="1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16.5" customHeight="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ht="56.25" customHeight="1" x14ac:dyDescent="0.3">
      <c r="B88" s="6"/>
      <c r="C88" s="6"/>
      <c r="D88" s="6"/>
      <c r="E88" s="6"/>
      <c r="F88" s="6"/>
      <c r="G88" s="6"/>
      <c r="H88" s="7"/>
    </row>
    <row r="89" spans="1:8" ht="16.5" customHeight="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ht="56.25" customHeight="1" x14ac:dyDescent="0.3">
      <c r="B90" s="6"/>
      <c r="C90" s="6"/>
      <c r="D90" s="6"/>
      <c r="E90" s="6"/>
      <c r="F90" s="6"/>
      <c r="G90" s="6"/>
      <c r="H90" s="7"/>
    </row>
    <row r="91" spans="1:8" ht="16.5" customHeight="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ht="56.25" customHeight="1" x14ac:dyDescent="0.3">
      <c r="B92" s="6"/>
      <c r="C92" s="6"/>
      <c r="D92" s="6"/>
      <c r="E92" s="6"/>
      <c r="F92" s="6"/>
      <c r="G92" s="6"/>
      <c r="H92" s="7"/>
    </row>
    <row r="93" spans="1:8" ht="16.5" customHeight="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ht="56.25" customHeight="1" x14ac:dyDescent="0.3">
      <c r="B94" s="6"/>
      <c r="C94" s="6"/>
      <c r="D94" s="6"/>
      <c r="E94" s="6"/>
      <c r="F94" s="6"/>
      <c r="G94" s="6"/>
      <c r="H94" s="7"/>
    </row>
    <row r="95" spans="1:8" ht="16.5" customHeight="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ht="57" customHeight="1" x14ac:dyDescent="0.3">
      <c r="B96" s="6"/>
      <c r="C96" s="6"/>
      <c r="D96" s="6"/>
      <c r="E96" s="6"/>
      <c r="F96" s="6"/>
      <c r="G96" s="6"/>
      <c r="H96" s="8"/>
    </row>
    <row r="97" spans="1:8" ht="16.5" customHeight="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ht="63.75" customHeight="1" x14ac:dyDescent="0.3">
      <c r="B98" s="6"/>
      <c r="C98" s="6"/>
      <c r="D98" s="63"/>
      <c r="E98" s="63"/>
      <c r="F98" s="63"/>
      <c r="G98" s="63"/>
      <c r="H98" s="63"/>
    </row>
    <row r="99" spans="1:8" ht="54" customHeight="1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ht="18" customHeight="1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16.5" customHeight="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ht="56.25" customHeight="1" x14ac:dyDescent="0.3">
      <c r="B102" s="6"/>
      <c r="C102" s="6"/>
      <c r="D102" s="6"/>
      <c r="E102" s="6"/>
      <c r="F102" s="6"/>
      <c r="G102" s="6"/>
      <c r="H102" s="7"/>
    </row>
    <row r="103" spans="1:8" ht="16.5" customHeight="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ht="56.25" customHeight="1" x14ac:dyDescent="0.3">
      <c r="B104" s="6"/>
      <c r="C104" s="6"/>
      <c r="D104" s="6"/>
      <c r="E104" s="6"/>
      <c r="F104" s="6"/>
      <c r="G104" s="6"/>
      <c r="H104" s="7"/>
    </row>
    <row r="105" spans="1:8" ht="16.5" customHeight="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ht="56.25" customHeight="1" x14ac:dyDescent="0.3">
      <c r="B106" s="6"/>
      <c r="C106" s="6"/>
      <c r="D106" s="6"/>
      <c r="E106" s="6"/>
      <c r="F106" s="6"/>
      <c r="G106" s="6"/>
      <c r="H106" s="7"/>
    </row>
    <row r="107" spans="1:8" ht="16.5" customHeight="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ht="56.25" customHeight="1" x14ac:dyDescent="0.3">
      <c r="B108" s="6"/>
      <c r="C108" s="6"/>
      <c r="D108" s="6"/>
      <c r="E108" s="6"/>
      <c r="F108" s="6"/>
      <c r="G108" s="6"/>
      <c r="H108" s="7"/>
    </row>
    <row r="109" spans="1:8" ht="16.5" customHeight="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ht="57" customHeight="1" x14ac:dyDescent="0.3">
      <c r="B110" s="6"/>
      <c r="C110" s="6"/>
      <c r="D110" s="6"/>
      <c r="E110" s="6"/>
      <c r="F110" s="6"/>
      <c r="G110" s="6"/>
      <c r="H110" s="8"/>
    </row>
    <row r="111" spans="1:8" ht="16.5" customHeight="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ht="63.75" customHeight="1" x14ac:dyDescent="0.3">
      <c r="B112" s="6"/>
      <c r="C112" s="6"/>
      <c r="D112" s="63"/>
      <c r="E112" s="63"/>
      <c r="F112" s="63"/>
      <c r="G112" s="63"/>
      <c r="H112" s="63"/>
    </row>
    <row r="113" spans="1:8" ht="54" customHeight="1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ht="18" customHeight="1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16.5" customHeight="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ht="56.25" customHeight="1" x14ac:dyDescent="0.3">
      <c r="B116" s="6"/>
      <c r="C116" s="6"/>
      <c r="D116" s="6"/>
      <c r="E116" s="6"/>
      <c r="F116" s="6"/>
      <c r="G116" s="6"/>
      <c r="H116" s="7"/>
    </row>
    <row r="117" spans="1:8" ht="16.5" customHeight="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ht="56.25" customHeight="1" x14ac:dyDescent="0.3">
      <c r="B118" s="6"/>
      <c r="C118" s="6"/>
      <c r="D118" s="6"/>
      <c r="E118" s="6"/>
      <c r="F118" s="6"/>
      <c r="G118" s="6"/>
      <c r="H118" s="7"/>
    </row>
    <row r="119" spans="1:8" ht="16.5" customHeight="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ht="56.25" customHeight="1" x14ac:dyDescent="0.3">
      <c r="B120" s="6"/>
      <c r="C120" s="6"/>
      <c r="D120" s="6"/>
      <c r="E120" s="6"/>
      <c r="F120" s="6"/>
      <c r="G120" s="6"/>
      <c r="H120" s="7"/>
    </row>
    <row r="121" spans="1:8" ht="16.5" customHeight="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ht="56.25" customHeight="1" x14ac:dyDescent="0.3">
      <c r="B122" s="6"/>
      <c r="C122" s="6"/>
      <c r="D122" s="6"/>
      <c r="E122" s="6"/>
      <c r="F122" s="6"/>
      <c r="G122" s="6"/>
      <c r="H122" s="7"/>
    </row>
    <row r="123" spans="1:8" ht="16.5" customHeight="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ht="57" customHeight="1" x14ac:dyDescent="0.3">
      <c r="B124" s="6"/>
      <c r="C124" s="6"/>
      <c r="D124" s="6"/>
      <c r="E124" s="6"/>
      <c r="F124" s="6"/>
      <c r="G124" s="6"/>
      <c r="H124" s="8"/>
    </row>
    <row r="125" spans="1:8" ht="16.5" customHeight="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ht="63.75" customHeight="1" x14ac:dyDescent="0.3">
      <c r="B126" s="6"/>
      <c r="C126" s="6"/>
      <c r="D126" s="63"/>
      <c r="E126" s="63"/>
      <c r="F126" s="63"/>
      <c r="G126" s="63"/>
      <c r="H126" s="63"/>
    </row>
    <row r="127" spans="1:8" ht="54" customHeight="1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ht="18" customHeight="1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16.5" customHeight="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ht="56.25" customHeight="1" x14ac:dyDescent="0.3">
      <c r="B130" s="6"/>
      <c r="C130" s="6"/>
      <c r="D130" s="6"/>
      <c r="E130" s="6"/>
      <c r="F130" s="6"/>
      <c r="G130" s="6"/>
      <c r="H130" s="7"/>
    </row>
    <row r="131" spans="2:8" ht="16.5" customHeight="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ht="56.25" customHeight="1" x14ac:dyDescent="0.3">
      <c r="B132" s="6"/>
      <c r="C132" s="6"/>
      <c r="D132" s="6"/>
      <c r="E132" s="6"/>
      <c r="F132" s="6"/>
      <c r="G132" s="6"/>
      <c r="H132" s="7"/>
    </row>
    <row r="133" spans="2:8" ht="16.5" customHeight="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ht="56.25" customHeight="1" x14ac:dyDescent="0.3">
      <c r="B134" s="6"/>
      <c r="C134" s="6"/>
      <c r="D134" s="6"/>
      <c r="E134" s="6"/>
      <c r="F134" s="6"/>
      <c r="G134" s="6"/>
      <c r="H134" s="7"/>
    </row>
    <row r="135" spans="2:8" ht="16.5" customHeight="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ht="56.25" customHeight="1" x14ac:dyDescent="0.3">
      <c r="B136" s="6"/>
      <c r="C136" s="6"/>
      <c r="D136" s="6"/>
      <c r="E136" s="6"/>
      <c r="F136" s="6"/>
      <c r="G136" s="6"/>
      <c r="H136" s="7"/>
    </row>
    <row r="137" spans="2:8" ht="16.5" customHeight="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ht="57" customHeight="1" x14ac:dyDescent="0.3">
      <c r="B138" s="6"/>
      <c r="C138" s="6"/>
      <c r="D138" s="6"/>
      <c r="E138" s="6"/>
      <c r="F138" s="6"/>
      <c r="G138" s="6"/>
      <c r="H138" s="8"/>
    </row>
    <row r="139" spans="2:8" ht="16.5" customHeight="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ht="63.75" customHeight="1" x14ac:dyDescent="0.3">
      <c r="B140" s="6"/>
      <c r="C140" s="6"/>
      <c r="D140" s="63"/>
      <c r="E140" s="63"/>
      <c r="F140" s="63"/>
      <c r="G140" s="63"/>
      <c r="H140" s="63"/>
    </row>
    <row r="141" spans="2:8" ht="54" customHeight="1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ht="18" customHeight="1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16.5" customHeight="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ht="56.25" customHeight="1" x14ac:dyDescent="0.3">
      <c r="B144" s="6"/>
      <c r="C144" s="6"/>
      <c r="D144" s="6"/>
      <c r="E144" s="6"/>
      <c r="F144" s="6"/>
      <c r="G144" s="6"/>
      <c r="H144" s="7"/>
    </row>
    <row r="145" spans="2:8" ht="16.5" customHeight="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ht="56.25" customHeight="1" x14ac:dyDescent="0.3">
      <c r="B146" s="6"/>
      <c r="C146" s="6"/>
      <c r="D146" s="6"/>
      <c r="E146" s="6"/>
      <c r="F146" s="6"/>
      <c r="G146" s="6"/>
      <c r="H146" s="7"/>
    </row>
    <row r="147" spans="2:8" ht="16.5" customHeight="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ht="56.25" customHeight="1" x14ac:dyDescent="0.3">
      <c r="B148" s="6"/>
      <c r="C148" s="6"/>
      <c r="D148" s="6"/>
      <c r="E148" s="6"/>
      <c r="F148" s="6"/>
      <c r="G148" s="6"/>
      <c r="H148" s="7"/>
    </row>
    <row r="149" spans="2:8" ht="16.5" customHeight="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ht="56.25" customHeight="1" x14ac:dyDescent="0.3">
      <c r="B150" s="6"/>
      <c r="C150" s="6"/>
      <c r="D150" s="6"/>
      <c r="E150" s="6"/>
      <c r="F150" s="6"/>
      <c r="G150" s="6"/>
      <c r="H150" s="7"/>
    </row>
    <row r="151" spans="2:8" ht="16.5" customHeight="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ht="57" customHeight="1" x14ac:dyDescent="0.3">
      <c r="B152" s="6"/>
      <c r="C152" s="6"/>
      <c r="D152" s="6"/>
      <c r="E152" s="6"/>
      <c r="F152" s="6"/>
      <c r="G152" s="6"/>
      <c r="H152" s="8"/>
    </row>
    <row r="153" spans="2:8" ht="16.5" customHeight="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ht="63.75" customHeight="1" x14ac:dyDescent="0.3">
      <c r="B154" s="6"/>
      <c r="C154" s="6"/>
      <c r="D154" s="63"/>
      <c r="E154" s="63"/>
      <c r="F154" s="63"/>
      <c r="G154" s="63"/>
      <c r="H154" s="63"/>
    </row>
    <row r="155" spans="2:8" ht="54" customHeight="1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ht="18" customHeight="1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16.5" customHeight="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ht="56.25" customHeight="1" x14ac:dyDescent="0.3">
      <c r="B158" s="6"/>
      <c r="C158" s="6"/>
      <c r="D158" s="6"/>
      <c r="E158" s="6"/>
      <c r="F158" s="6"/>
      <c r="G158" s="6"/>
      <c r="H158" s="7"/>
    </row>
    <row r="159" spans="2:8" ht="16.5" customHeight="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ht="56.25" customHeight="1" x14ac:dyDescent="0.3">
      <c r="B160" s="6"/>
      <c r="C160" s="6"/>
      <c r="D160" s="6"/>
      <c r="E160" s="6"/>
      <c r="F160" s="6"/>
      <c r="G160" s="6"/>
      <c r="H160" s="7"/>
    </row>
    <row r="161" spans="2:8" ht="16.5" customHeight="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ht="56.25" customHeight="1" x14ac:dyDescent="0.3">
      <c r="B162" s="6"/>
      <c r="C162" s="6"/>
      <c r="D162" s="6"/>
      <c r="E162" s="6"/>
      <c r="F162" s="6"/>
      <c r="G162" s="6"/>
      <c r="H162" s="7"/>
    </row>
    <row r="163" spans="2:8" ht="16.5" customHeight="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ht="56.25" customHeight="1" x14ac:dyDescent="0.3">
      <c r="B164" s="6"/>
      <c r="C164" s="6"/>
      <c r="D164" s="6"/>
      <c r="E164" s="6"/>
      <c r="F164" s="6"/>
      <c r="G164" s="6"/>
      <c r="H164" s="7"/>
    </row>
    <row r="165" spans="2:8" ht="16.5" customHeight="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ht="57" customHeight="1" x14ac:dyDescent="0.3">
      <c r="B166" s="6"/>
      <c r="C166" s="6"/>
      <c r="D166" s="6"/>
      <c r="E166" s="6"/>
      <c r="F166" s="6"/>
      <c r="G166" s="6"/>
      <c r="H166" s="8"/>
    </row>
    <row r="167" spans="2:8" ht="16.5" customHeight="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ht="63.75" customHeight="1" x14ac:dyDescent="0.3">
      <c r="B168" s="6"/>
      <c r="C168" s="6"/>
      <c r="D168" s="63"/>
      <c r="E168" s="63"/>
      <c r="F168" s="63"/>
      <c r="G168" s="63"/>
      <c r="H168" s="63"/>
    </row>
  </sheetData>
  <mergeCells count="37">
    <mergeCell ref="D168:H168"/>
    <mergeCell ref="C113:E113"/>
    <mergeCell ref="D125:H125"/>
    <mergeCell ref="D126:H126"/>
    <mergeCell ref="C127:E127"/>
    <mergeCell ref="D139:H139"/>
    <mergeCell ref="D140:H140"/>
    <mergeCell ref="C141:E141"/>
    <mergeCell ref="D153:H153"/>
    <mergeCell ref="D154:H154"/>
    <mergeCell ref="C155:E155"/>
    <mergeCell ref="D167:H167"/>
    <mergeCell ref="D112:H112"/>
    <mergeCell ref="C57:E57"/>
    <mergeCell ref="D69:H69"/>
    <mergeCell ref="D70:H70"/>
    <mergeCell ref="C71:E71"/>
    <mergeCell ref="D83:H83"/>
    <mergeCell ref="D84:H84"/>
    <mergeCell ref="C85:E85"/>
    <mergeCell ref="D97:H97"/>
    <mergeCell ref="D98:H98"/>
    <mergeCell ref="C99:E99"/>
    <mergeCell ref="D111:H111"/>
    <mergeCell ref="E1:G1"/>
    <mergeCell ref="D56:H56"/>
    <mergeCell ref="D13:H13"/>
    <mergeCell ref="D14:H14"/>
    <mergeCell ref="D27:H27"/>
    <mergeCell ref="D28:H28"/>
    <mergeCell ref="C29:E29"/>
    <mergeCell ref="D41:H41"/>
    <mergeCell ref="D42:H42"/>
    <mergeCell ref="C43:E43"/>
    <mergeCell ref="D55:H55"/>
    <mergeCell ref="E15:G15"/>
    <mergeCell ref="B22:H22"/>
  </mergeCells>
  <conditionalFormatting sqref="B3:H3 B5:H5 B7:H7 B9:H9 B11:H11 B13:C13">
    <cfRule type="expression" dxfId="371" priority="12">
      <formula>MONTH(B3)&lt;&gt;Calendario1MesOpción</formula>
    </cfRule>
  </conditionalFormatting>
  <conditionalFormatting sqref="B17:H17 B19:H19 B21:H21 B23:H23 B25:H25 B27:C27">
    <cfRule type="expression" dxfId="370" priority="11">
      <formula>MONTH(B17)&lt;&gt;Calendario2MesOpción</formula>
    </cfRule>
  </conditionalFormatting>
  <conditionalFormatting sqref="B31:H31 B33:H33 B35:H35 B37:H37 B39:H39 B41:C41">
    <cfRule type="expression" dxfId="369" priority="10">
      <formula>MONTH(B31)&lt;&gt;Calendario3MesOpción</formula>
    </cfRule>
  </conditionalFormatting>
  <conditionalFormatting sqref="B45:H45 B47:H47 B49:H49 B51:H51 B53:H53 B55:C55">
    <cfRule type="expression" dxfId="368" priority="9">
      <formula>MONTH(B45)&lt;&gt;Calendario4MesOpción</formula>
    </cfRule>
  </conditionalFormatting>
  <conditionalFormatting sqref="B59:H59 B61:H61 B63:H63 B65:H65 B67:H67 B69:C69">
    <cfRule type="expression" dxfId="367" priority="8">
      <formula>MONTH(B59)&lt;&gt;Calendario5MesOpción</formula>
    </cfRule>
  </conditionalFormatting>
  <conditionalFormatting sqref="B73:H73 B75:H75 B77:H77 B79:H79 B81:H81 B83:C83">
    <cfRule type="expression" dxfId="366" priority="7">
      <formula>MONTH(B73)&lt;&gt;Calendario6MesOpción</formula>
    </cfRule>
  </conditionalFormatting>
  <conditionalFormatting sqref="B87:H87 B89:H89 B91:H91 B93:H93 B95:H95 B97:C97">
    <cfRule type="expression" dxfId="365" priority="6">
      <formula>MONTH(B87)&lt;&gt;Calendario7MesOpción</formula>
    </cfRule>
  </conditionalFormatting>
  <conditionalFormatting sqref="B101:H101 B103:H103 B105:H105 B107:H107 B109:H109 B111:C111">
    <cfRule type="expression" dxfId="364" priority="5">
      <formula>MONTH(B101)&lt;&gt;Calendario8MesOpción</formula>
    </cfRule>
  </conditionalFormatting>
  <conditionalFormatting sqref="B115:H115 B117:H117 B119:H119 B121:H121 B123:H123 B125:C125">
    <cfRule type="expression" dxfId="363" priority="4">
      <formula>MONTH(B115)&lt;&gt;Calendario9MesOpción</formula>
    </cfRule>
  </conditionalFormatting>
  <conditionalFormatting sqref="B129:H129 B131:H131 B133:H133 B135:H135 B137:H137 B139:C139">
    <cfRule type="expression" dxfId="362" priority="3">
      <formula>MONTH(B129)&lt;&gt;Calendario10MesOpción</formula>
    </cfRule>
  </conditionalFormatting>
  <conditionalFormatting sqref="B143:H143 B145:H145 B147:H147 B149:H149 B151:H151 B153:C153">
    <cfRule type="expression" dxfId="361" priority="2">
      <formula>MONTH(B143)&lt;&gt;Calendario11MesOpción</formula>
    </cfRule>
  </conditionalFormatting>
  <conditionalFormatting sqref="B157:H157 B159:H159 B161:H161 B163:H163 B165:H165 B167:C167">
    <cfRule type="expression" dxfId="360" priority="1">
      <formula>MONTH(B157)&lt;&gt;Calendario12MesOpción</formula>
    </cfRule>
  </conditionalFormatting>
  <dataValidations count="14">
    <dataValidation allowBlank="1" showInputMessage="1" prompt="Fecha" sqref="B3" xr:uid="{00000000-0002-0000-0D00-000000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0D00-000001000000}"/>
    <dataValidation allowBlank="1" showInputMessage="1" showErrorMessage="1" prompt="El mes natural se actualiza automáticamente según el mes seleccionado en la celda C1" sqref="C141:E141 E15 E1 C155:E155 C127:E127 C113:E113 C99:E99 C85:E85 C71:E71 C57:E57 C43:E43 C29:E29" xr:uid="{00000000-0002-0000-0D00-00000C000000}"/>
    <dataValidation allowBlank="1" showInputMessage="1" showErrorMessage="1" prompt="El año natural se actualiza automáticamente según el año seleccionado en la celda B1" sqref="B29 B155 B141 B127 B113 B99 B85 B71 B57 B43" xr:uid="{00000000-0002-0000-0D00-000018000000}"/>
    <dataValidation allowBlank="1" showInputMessage="1" prompt="Escriba las notas del mes en esta celda" sqref="D14:H14" xr:uid="{00000000-0002-0000-0D00-000022000000}"/>
    <dataValidation allowBlank="1" showInputMessage="1" prompt="Escriba las notas del mes en la siguiente celda" sqref="D13:H13" xr:uid="{00000000-0002-0000-0D00-000023000000}"/>
    <dataValidation allowBlank="1" showInputMessage="1" prompt="El mes natural se actualiza automáticamente según el mes seleccionado en la celda C1" sqref="C15:D15" xr:uid="{00000000-0002-0000-0D00-000024000000}"/>
    <dataValidation allowBlank="1" showInputMessage="1" prompt="El año natural se actualiza automáticamente según el año seleccionado en la celda B1" sqref="B15" xr:uid="{00000000-0002-0000-0D00-000025000000}"/>
    <dataValidation allowBlank="1" showInputMessage="1" prompt="Escriba aquí las notas del día" sqref="B4" xr:uid="{00000000-0002-0000-0D00-000026000000}"/>
    <dataValidation allowBlank="1" showInputMessage="1" prompt="Día laborable determinado automáticamente. Para cambiar los días laborables, seleccione un nuevo día de inicio de semana en la celda B2." sqref="C2:H2 B16" xr:uid="{00000000-0002-0000-0D00-000027000000}"/>
    <dataValidation allowBlank="1" showInputMessage="1" showErrorMessage="1" prompt="Escriba el año en esta celda" sqref="B1" xr:uid="{00000000-0002-0000-0D00-000029000000}"/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0D00-00002A000000}"/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D1" xr:uid="{00000000-0002-0000-0D00-00002B000000}">
      <formula1>"enero,febrero,marzo,abril,mayo,junio,julio,agosto,septiembre,octubre,noviembre,diciembre"</formula1>
    </dataValidation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0D00-00002C000000}">
      <formula1>"DOMINGO,LUNES,MARTES,MIÉRCOLES,JUEVES,VIERNES,SÁBADO"</formula1>
    </dataValidation>
  </dataValidation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CFF"/>
  </sheetPr>
  <dimension ref="A1:J168"/>
  <sheetViews>
    <sheetView topLeftCell="A7" workbookViewId="0">
      <selection activeCell="B22" sqref="B22:H22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0" max="10" width="8.75"/>
  </cols>
  <sheetData>
    <row r="1" spans="1:10" ht="46.5" x14ac:dyDescent="0.7">
      <c r="A1" s="2"/>
      <c r="B1" s="1">
        <f ca="1">YEAR(TODAY())</f>
        <v>2024</v>
      </c>
      <c r="C1" s="18" t="s">
        <v>2</v>
      </c>
      <c r="D1" s="13"/>
      <c r="E1" s="72" t="s">
        <v>8</v>
      </c>
      <c r="F1" s="72"/>
      <c r="G1" s="72"/>
      <c r="H1" s="15" t="s">
        <v>7</v>
      </c>
      <c r="J1" s="20">
        <v>3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ht="28.5" x14ac:dyDescent="0.3">
      <c r="B4" s="6"/>
      <c r="C4" s="6"/>
      <c r="D4" s="6"/>
      <c r="E4" s="6"/>
      <c r="F4" s="32" t="s">
        <v>93</v>
      </c>
      <c r="G4" s="6"/>
      <c r="H4" s="7"/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ht="28.5" x14ac:dyDescent="0.3">
      <c r="B6" s="6"/>
      <c r="C6" s="6"/>
      <c r="D6" s="6"/>
      <c r="E6" s="6"/>
      <c r="F6" s="32" t="s">
        <v>93</v>
      </c>
      <c r="G6" s="6"/>
      <c r="H6" s="9"/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ht="28.5" x14ac:dyDescent="0.3">
      <c r="B8" s="6"/>
      <c r="C8" s="6"/>
      <c r="D8" s="6"/>
      <c r="E8" s="32" t="s">
        <v>93</v>
      </c>
      <c r="F8" s="6"/>
      <c r="G8" s="6"/>
      <c r="H8" s="7"/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ht="28.5" x14ac:dyDescent="0.3">
      <c r="B10" s="6"/>
      <c r="C10" s="6"/>
      <c r="D10" s="6"/>
      <c r="E10" s="32" t="s">
        <v>139</v>
      </c>
      <c r="F10" s="6"/>
      <c r="G10" s="6"/>
      <c r="H10" s="7"/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x14ac:dyDescent="0.3">
      <c r="B12" s="6"/>
      <c r="C12" s="6"/>
      <c r="D12" s="6"/>
      <c r="E12" s="6"/>
      <c r="F12" s="6"/>
      <c r="G12" s="6"/>
      <c r="H12" s="7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6"/>
      <c r="C14" s="6"/>
      <c r="D14" s="63"/>
      <c r="E14" s="63"/>
      <c r="F14" s="63"/>
      <c r="G14" s="63"/>
      <c r="H14" s="63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72" t="s">
        <v>8</v>
      </c>
      <c r="F15" s="72"/>
      <c r="G15" s="72"/>
      <c r="H15" s="15" t="s">
        <v>7</v>
      </c>
      <c r="J15" s="20">
        <v>3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ht="28.5" x14ac:dyDescent="0.3">
      <c r="B18" s="6"/>
      <c r="C18" s="6"/>
      <c r="D18" s="6"/>
      <c r="E18" s="32" t="s">
        <v>139</v>
      </c>
      <c r="F18" s="6"/>
      <c r="G18" s="6"/>
      <c r="H18" s="7"/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ht="28.5" x14ac:dyDescent="0.3">
      <c r="B20" s="6"/>
      <c r="C20" s="6"/>
      <c r="D20" s="6"/>
      <c r="E20" s="32" t="s">
        <v>132</v>
      </c>
      <c r="F20" s="6"/>
      <c r="G20" s="6"/>
      <c r="H20" s="7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x14ac:dyDescent="0.3">
      <c r="B22" s="67" t="s">
        <v>182</v>
      </c>
      <c r="C22" s="67"/>
      <c r="D22" s="67"/>
      <c r="E22" s="67"/>
      <c r="F22" s="67"/>
      <c r="G22" s="67"/>
      <c r="H22" s="67"/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"/>
      <c r="C24" s="6"/>
      <c r="D24" s="6"/>
      <c r="E24" s="6"/>
      <c r="F24" s="6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7">
    <mergeCell ref="C29:E29"/>
    <mergeCell ref="E15:G15"/>
    <mergeCell ref="E1:G1"/>
    <mergeCell ref="D13:H13"/>
    <mergeCell ref="D14:H14"/>
    <mergeCell ref="D27:H27"/>
    <mergeCell ref="D28:H28"/>
    <mergeCell ref="B22:H22"/>
    <mergeCell ref="D140:H140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C85:E85"/>
    <mergeCell ref="D41:H41"/>
    <mergeCell ref="D42:H42"/>
    <mergeCell ref="C43:E43"/>
    <mergeCell ref="D55:H55"/>
    <mergeCell ref="D56:H56"/>
    <mergeCell ref="D69:H69"/>
    <mergeCell ref="D70:H70"/>
    <mergeCell ref="C71:E71"/>
    <mergeCell ref="D83:H83"/>
    <mergeCell ref="D84:H84"/>
    <mergeCell ref="C57:E57"/>
    <mergeCell ref="D153:H153"/>
    <mergeCell ref="D154:H154"/>
    <mergeCell ref="C155:E155"/>
    <mergeCell ref="D167:H167"/>
    <mergeCell ref="D168:H168"/>
  </mergeCells>
  <dataValidations count="14">
    <dataValidation allowBlank="1" showInputMessage="1" prompt="Fecha" sqref="B3" xr:uid="{00000000-0002-0000-0E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0E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D1" xr:uid="{00000000-0002-0000-0E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0E00-000003000000}"/>
    <dataValidation allowBlank="1" showInputMessage="1" showErrorMessage="1" prompt="Escriba el año en esta celda" sqref="B1" xr:uid="{00000000-0002-0000-0E00-000004000000}"/>
    <dataValidation allowBlank="1" showInputMessage="1" prompt="Día laborable determinado automáticamente. Para cambiar los días laborables, seleccione un nuevo día de inicio de semana en la celda B2." sqref="C2:H2 B16" xr:uid="{00000000-0002-0000-0E00-000005000000}"/>
    <dataValidation allowBlank="1" showInputMessage="1" prompt="Escriba aquí las notas del día" sqref="B4" xr:uid="{00000000-0002-0000-0E00-000007000000}"/>
    <dataValidation allowBlank="1" showInputMessage="1" prompt="El año natural se actualiza automáticamente según el año seleccionado en la celda B1" sqref="B15" xr:uid="{00000000-0002-0000-0E00-000008000000}"/>
    <dataValidation allowBlank="1" showInputMessage="1" prompt="El mes natural se actualiza automáticamente según el mes seleccionado en la celda C1" sqref="C15:D15" xr:uid="{00000000-0002-0000-0E00-000009000000}"/>
    <dataValidation allowBlank="1" showInputMessage="1" prompt="Escriba las notas del mes en la siguiente celda" sqref="D13:H13" xr:uid="{00000000-0002-0000-0E00-00000A000000}"/>
    <dataValidation allowBlank="1" showInputMessage="1" prompt="Escriba las notas del mes en esta celda" sqref="D14:H14" xr:uid="{00000000-0002-0000-0E00-00000B000000}"/>
    <dataValidation allowBlank="1" showInputMessage="1" showErrorMessage="1" prompt="El año natural se actualiza automáticamente según el año seleccionado en la celda B1" sqref="B29 B155 B141 B127 B113 B99 B85 B71 B57 B43" xr:uid="{00000000-0002-0000-0E00-00000C000000}"/>
    <dataValidation allowBlank="1" showInputMessage="1" showErrorMessage="1" prompt="El mes natural se actualiza automáticamente según el mes seleccionado en la celda C1" sqref="C141:E141 E15 E1 C155:E155 C127:E127 C113:E113 C99:E99 C85:E85 C71:E71 C57:E57 C43:E43 C29:E29" xr:uid="{00000000-0002-0000-0E00-000016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0E00-000022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24396730-F40D-479D-8A58-E85EEFC37661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9E4CC856-C41F-41C8-B030-2A64C4B0088A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24B6A1FA-B05D-4B42-BA87-512A804A05BB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D01A93FB-02BC-4A83-98BE-9A4E5E6BC89B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738E9A74-D857-40D1-BECF-D3765E6CB788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E820AED4-BB41-4980-8323-E1C51CE9DF20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CA42A6D5-6EB4-474F-AE38-79F2D0AAF88A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BCCF581F-8D88-4721-ADAB-7718398A5275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9AF7AFBE-87DD-4398-8A24-79145A8F9BFE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72744885-31FC-4958-92E8-CA450A20D267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846367C8-B44F-4469-A51C-8D3A505A925B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966EF793-DD29-42FA-A5D4-E974035DA99F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CFF"/>
  </sheetPr>
  <dimension ref="A1:J168"/>
  <sheetViews>
    <sheetView topLeftCell="A7" workbookViewId="0">
      <selection activeCell="B22" sqref="B22:H22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0" max="10" width="8.75"/>
  </cols>
  <sheetData>
    <row r="1" spans="1:10" ht="46.5" x14ac:dyDescent="0.7">
      <c r="A1" s="2"/>
      <c r="B1" s="1">
        <f ca="1">YEAR(TODAY())</f>
        <v>2024</v>
      </c>
      <c r="C1" s="18" t="s">
        <v>2</v>
      </c>
      <c r="D1" s="13"/>
      <c r="E1" s="72" t="s">
        <v>9</v>
      </c>
      <c r="F1" s="72"/>
      <c r="G1" s="72"/>
      <c r="H1" s="15" t="s">
        <v>7</v>
      </c>
      <c r="J1" s="20">
        <v>4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ht="28.5" x14ac:dyDescent="0.3">
      <c r="B4" s="6"/>
      <c r="C4" s="6"/>
      <c r="D4" s="6"/>
      <c r="E4" s="6"/>
      <c r="F4" s="32" t="s">
        <v>93</v>
      </c>
      <c r="G4" s="6"/>
      <c r="H4" s="7"/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ht="28.5" x14ac:dyDescent="0.3">
      <c r="B6" s="6"/>
      <c r="C6" s="6"/>
      <c r="D6" s="6"/>
      <c r="E6" s="6"/>
      <c r="F6" s="32" t="s">
        <v>93</v>
      </c>
      <c r="G6" s="6"/>
      <c r="H6" s="9"/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ht="28.5" x14ac:dyDescent="0.3">
      <c r="B8" s="6"/>
      <c r="C8" s="6"/>
      <c r="D8" s="6"/>
      <c r="E8" s="32" t="s">
        <v>93</v>
      </c>
      <c r="F8" s="6"/>
      <c r="G8" s="6"/>
      <c r="H8" s="7"/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ht="28.5" x14ac:dyDescent="0.3">
      <c r="B10" s="6"/>
      <c r="C10" s="6"/>
      <c r="D10" s="6"/>
      <c r="E10" s="32" t="s">
        <v>139</v>
      </c>
      <c r="F10" s="6"/>
      <c r="G10" s="6"/>
      <c r="H10" s="7"/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x14ac:dyDescent="0.3">
      <c r="B12" s="6"/>
      <c r="C12" s="6"/>
      <c r="D12" s="6"/>
      <c r="E12" s="6"/>
      <c r="F12" s="6"/>
      <c r="G12" s="6"/>
      <c r="H12" s="7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6"/>
      <c r="C14" s="6"/>
      <c r="D14" s="63"/>
      <c r="E14" s="63"/>
      <c r="F14" s="63"/>
      <c r="G14" s="63"/>
      <c r="H14" s="63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72" t="s">
        <v>9</v>
      </c>
      <c r="F15" s="72"/>
      <c r="G15" s="72"/>
      <c r="H15" s="15" t="s">
        <v>7</v>
      </c>
      <c r="J15" s="20">
        <v>4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ht="28.5" x14ac:dyDescent="0.3">
      <c r="B18" s="6"/>
      <c r="C18" s="6"/>
      <c r="D18" s="6"/>
      <c r="E18" s="32" t="s">
        <v>139</v>
      </c>
      <c r="F18" s="6"/>
      <c r="G18" s="6"/>
      <c r="H18" s="7"/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ht="28.5" x14ac:dyDescent="0.3">
      <c r="B20" s="6"/>
      <c r="C20" s="6"/>
      <c r="D20" s="6"/>
      <c r="E20" s="32" t="s">
        <v>132</v>
      </c>
      <c r="F20" s="6"/>
      <c r="G20" s="6"/>
      <c r="H20" s="7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x14ac:dyDescent="0.3">
      <c r="B22" s="67" t="s">
        <v>182</v>
      </c>
      <c r="C22" s="67"/>
      <c r="D22" s="67"/>
      <c r="E22" s="67"/>
      <c r="F22" s="67"/>
      <c r="G22" s="67"/>
      <c r="H22" s="67"/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"/>
      <c r="C24" s="6"/>
      <c r="D24" s="6"/>
      <c r="E24" s="6"/>
      <c r="F24" s="6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17" t="str">
        <f ca="1">TEXT(DATE(Calendario2Año,Calendario2MesOpción+1,1),"mmmm")</f>
        <v>marzo</v>
      </c>
      <c r="D29" s="17"/>
      <c r="E29" s="17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6">
    <mergeCell ref="E1:G1"/>
    <mergeCell ref="D13:H13"/>
    <mergeCell ref="D14:H14"/>
    <mergeCell ref="D27:H27"/>
    <mergeCell ref="D28:H28"/>
    <mergeCell ref="E15:G15"/>
    <mergeCell ref="B22:H22"/>
    <mergeCell ref="D140:H140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C85:E85"/>
    <mergeCell ref="D41:H41"/>
    <mergeCell ref="D42:H42"/>
    <mergeCell ref="C43:E43"/>
    <mergeCell ref="D55:H55"/>
    <mergeCell ref="D56:H56"/>
    <mergeCell ref="D69:H69"/>
    <mergeCell ref="D70:H70"/>
    <mergeCell ref="C71:E71"/>
    <mergeCell ref="D83:H83"/>
    <mergeCell ref="D84:H84"/>
    <mergeCell ref="C57:E57"/>
    <mergeCell ref="D153:H153"/>
    <mergeCell ref="D154:H154"/>
    <mergeCell ref="C155:E155"/>
    <mergeCell ref="D167:H167"/>
    <mergeCell ref="D168:H168"/>
  </mergeCells>
  <dataValidations count="14">
    <dataValidation allowBlank="1" showInputMessage="1" prompt="Fecha" sqref="B3" xr:uid="{00000000-0002-0000-0F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0F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D1" xr:uid="{00000000-0002-0000-0F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0F00-000003000000}"/>
    <dataValidation allowBlank="1" showInputMessage="1" showErrorMessage="1" prompt="Escriba el año en esta celda" sqref="B1" xr:uid="{00000000-0002-0000-0F00-000004000000}"/>
    <dataValidation allowBlank="1" showInputMessage="1" prompt="Día laborable determinado automáticamente. Para cambiar los días laborables, seleccione un nuevo día de inicio de semana en la celda B2." sqref="C2:H2 B16" xr:uid="{00000000-0002-0000-0F00-000005000000}"/>
    <dataValidation allowBlank="1" showInputMessage="1" prompt="Escriba aquí las notas del día" sqref="B4" xr:uid="{00000000-0002-0000-0F00-000007000000}"/>
    <dataValidation allowBlank="1" showInputMessage="1" prompt="El año natural se actualiza automáticamente según el año seleccionado en la celda B1" sqref="B15" xr:uid="{00000000-0002-0000-0F00-000008000000}"/>
    <dataValidation allowBlank="1" showInputMessage="1" prompt="El mes natural se actualiza automáticamente según el mes seleccionado en la celda C1" sqref="C15:D15" xr:uid="{00000000-0002-0000-0F00-000009000000}"/>
    <dataValidation allowBlank="1" showInputMessage="1" prompt="Escriba las notas del mes en la siguiente celda" sqref="D13:H13" xr:uid="{00000000-0002-0000-0F00-00000A000000}"/>
    <dataValidation allowBlank="1" showInputMessage="1" prompt="Escriba las notas del mes en esta celda" sqref="D14:H14" xr:uid="{00000000-0002-0000-0F00-00000B000000}"/>
    <dataValidation allowBlank="1" showInputMessage="1" showErrorMessage="1" prompt="El año natural se actualiza automáticamente según el año seleccionado en la celda B1" sqref="B29 B155 B141 B127 B113 B99 B85 B71 B57 B43" xr:uid="{00000000-0002-0000-0F00-00000C000000}"/>
    <dataValidation allowBlank="1" showInputMessage="1" showErrorMessage="1" prompt="El mes natural se actualiza automáticamente según el mes seleccionado en la celda C1" sqref="C141:E141 E15 E1 C155:E155 C127:E127 C113:E113 C99:E99 C85:E85 C71:E71 C57:E57 C43:E43 C29:E29" xr:uid="{00000000-0002-0000-0F00-000016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0F00-000022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16ED4AA4-7ECA-47DC-924D-4062442D3B02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0348B458-D0A6-41C6-A950-03C060011B0C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FE4DF1EA-5A37-4A7F-85E2-04241CC80BC1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C9428F59-C5D3-4C28-A543-D2E33014B251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93973435-12FB-495B-93A0-FFB8C5CF5A70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2A82679E-0142-478F-895F-4162C71DD96B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C86F2EB2-C391-495F-B92D-C34353FA3547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07AF3BFA-F264-40C7-9738-CC22C83CBF0D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3190810C-1F07-447E-9FDC-03AB3EFB8516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27FB6487-19EB-4FC6-92F4-965EA4134A6C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B46DC613-5005-4400-944F-0AB801AAB55E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386CF714-4063-490B-835D-99E47271FA2F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CFF"/>
  </sheetPr>
  <dimension ref="A1:J168"/>
  <sheetViews>
    <sheetView topLeftCell="A7" workbookViewId="0">
      <selection activeCell="F22" sqref="F22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0" max="10" width="8.75"/>
  </cols>
  <sheetData>
    <row r="1" spans="1:10" ht="46.5" customHeight="1" x14ac:dyDescent="0.7">
      <c r="A1" s="2"/>
      <c r="B1" s="1">
        <f ca="1">YEAR(TODAY())</f>
        <v>2024</v>
      </c>
      <c r="C1" s="18" t="s">
        <v>2</v>
      </c>
      <c r="D1" s="13"/>
      <c r="E1" s="65" t="s">
        <v>12</v>
      </c>
      <c r="F1" s="65"/>
      <c r="G1" s="65"/>
      <c r="H1" s="19" t="s">
        <v>13</v>
      </c>
      <c r="J1" s="21">
        <v>6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x14ac:dyDescent="0.3">
      <c r="B4" s="6"/>
      <c r="C4" s="6"/>
      <c r="D4" s="6"/>
      <c r="E4" s="6"/>
      <c r="F4" s="33" t="s">
        <v>94</v>
      </c>
      <c r="G4" s="6"/>
      <c r="H4" s="7"/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x14ac:dyDescent="0.3">
      <c r="B6" s="6"/>
      <c r="C6" s="6"/>
      <c r="D6" s="6"/>
      <c r="E6" s="6"/>
      <c r="F6" s="33" t="s">
        <v>94</v>
      </c>
      <c r="G6" s="6"/>
      <c r="H6" s="9"/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x14ac:dyDescent="0.3">
      <c r="B8" s="6"/>
      <c r="C8" s="6"/>
      <c r="D8" s="6"/>
      <c r="E8" s="6"/>
      <c r="G8" s="6"/>
      <c r="H8" s="7"/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x14ac:dyDescent="0.3">
      <c r="B10" s="6"/>
      <c r="C10" s="6"/>
      <c r="D10" s="6"/>
      <c r="E10" s="6"/>
      <c r="F10" s="33" t="s">
        <v>133</v>
      </c>
      <c r="G10" s="6"/>
      <c r="H10" s="7"/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x14ac:dyDescent="0.3">
      <c r="B12" s="6"/>
      <c r="C12" s="6"/>
      <c r="D12" s="6"/>
      <c r="E12" s="6"/>
      <c r="F12" s="6"/>
      <c r="G12" s="6"/>
      <c r="H12" s="7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6"/>
      <c r="C14" s="6"/>
      <c r="D14" s="63"/>
      <c r="E14" s="63"/>
      <c r="F14" s="63"/>
      <c r="G14" s="63"/>
      <c r="H14" s="63"/>
    </row>
    <row r="15" spans="1:10" ht="46.5" customHeight="1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65" t="s">
        <v>12</v>
      </c>
      <c r="F15" s="65"/>
      <c r="G15" s="65"/>
      <c r="H15" s="19" t="s">
        <v>13</v>
      </c>
      <c r="J15" s="21">
        <v>6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x14ac:dyDescent="0.3">
      <c r="B18" s="6"/>
      <c r="C18" s="6"/>
      <c r="D18" s="6"/>
      <c r="E18" s="6"/>
      <c r="F18" s="33" t="s">
        <v>94</v>
      </c>
      <c r="G18" s="6"/>
      <c r="H18" s="7"/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x14ac:dyDescent="0.3">
      <c r="B20" s="6"/>
      <c r="C20" s="6"/>
      <c r="D20" s="6"/>
      <c r="E20" s="6"/>
      <c r="F20" s="33" t="s">
        <v>94</v>
      </c>
      <c r="G20" s="6"/>
      <c r="H20" s="7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x14ac:dyDescent="0.3">
      <c r="B22" s="6"/>
      <c r="C22" s="6"/>
      <c r="D22" s="6"/>
      <c r="E22" s="6"/>
      <c r="F22" s="33" t="s">
        <v>94</v>
      </c>
      <c r="G22" s="6"/>
      <c r="H22" s="7"/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"/>
      <c r="C24" s="6"/>
      <c r="D24" s="6"/>
      <c r="E24" s="6"/>
      <c r="F24" s="6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6">
    <mergeCell ref="C29:E29"/>
    <mergeCell ref="E15:G15"/>
    <mergeCell ref="E1:G1"/>
    <mergeCell ref="D13:H13"/>
    <mergeCell ref="D14:H14"/>
    <mergeCell ref="D27:H27"/>
    <mergeCell ref="D28:H28"/>
    <mergeCell ref="D140:H140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C85:E85"/>
    <mergeCell ref="D41:H41"/>
    <mergeCell ref="D42:H42"/>
    <mergeCell ref="C43:E43"/>
    <mergeCell ref="D55:H55"/>
    <mergeCell ref="D56:H56"/>
    <mergeCell ref="D69:H69"/>
    <mergeCell ref="D70:H70"/>
    <mergeCell ref="C71:E71"/>
    <mergeCell ref="D83:H83"/>
    <mergeCell ref="D84:H84"/>
    <mergeCell ref="C57:E57"/>
    <mergeCell ref="D153:H153"/>
    <mergeCell ref="D154:H154"/>
    <mergeCell ref="C155:E155"/>
    <mergeCell ref="D167:H167"/>
    <mergeCell ref="D168:H168"/>
  </mergeCells>
  <dataValidations count="14">
    <dataValidation allowBlank="1" showInputMessage="1" prompt="Fecha" sqref="B3" xr:uid="{00000000-0002-0000-10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10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 E15" xr:uid="{00000000-0002-0000-10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1000-000004000000}"/>
    <dataValidation allowBlank="1" showInputMessage="1" showErrorMessage="1" prompt="Escriba el año en esta celda" sqref="B1" xr:uid="{00000000-0002-0000-1000-000005000000}"/>
    <dataValidation allowBlank="1" showInputMessage="1" prompt="Día laborable determinado automáticamente. Para cambiar los días laborables, seleccione un nuevo día de inicio de semana en la celda B2." sqref="C2:H2 B16" xr:uid="{00000000-0002-0000-1000-000006000000}"/>
    <dataValidation allowBlank="1" showInputMessage="1" prompt="Escriba aquí las notas del día" sqref="B4" xr:uid="{00000000-0002-0000-1000-000008000000}"/>
    <dataValidation allowBlank="1" showInputMessage="1" prompt="El año natural se actualiza automáticamente según el año seleccionado en la celda B1" sqref="B15" xr:uid="{00000000-0002-0000-1000-000009000000}"/>
    <dataValidation allowBlank="1" showInputMessage="1" prompt="El mes natural se actualiza automáticamente según el mes seleccionado en la celda C1" sqref="C15:D15" xr:uid="{00000000-0002-0000-1000-00000A000000}"/>
    <dataValidation allowBlank="1" showInputMessage="1" prompt="Escriba las notas del mes en la siguiente celda" sqref="D13:H13" xr:uid="{00000000-0002-0000-1000-00000B000000}"/>
    <dataValidation allowBlank="1" showInputMessage="1" prompt="Escriba las notas del mes en esta celda" sqref="D14:H14" xr:uid="{00000000-0002-0000-1000-00000C000000}"/>
    <dataValidation allowBlank="1" showInputMessage="1" showErrorMessage="1" prompt="El año natural se actualiza automáticamente según el año seleccionado en la celda B1" sqref="B29 B155 B141 B127 B113 B99 B85 B71 B57 B43" xr:uid="{00000000-0002-0000-1000-00000D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1000-000017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1000-000021000000}"/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A66FEE61-10B5-4CE3-B000-6131AD49D77C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48468BF8-900F-45A7-A6F4-15096C70A599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D6332D1D-C298-4AE3-8221-28CF7D8BF44F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CA671573-0162-43D5-8E4F-1E73A2281E48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D002B6F6-3A85-4B31-8120-AECE4099167D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CD43C660-7AE7-4520-8173-3AF5A587146A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3AA1CBD1-4B73-493B-AF78-7F04A07F3FE3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5B0602E4-CD1D-4904-82B6-AFA4D38DC77E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1CFC4953-EFCE-40DA-9AD9-2B29AB90C4C3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D157D12B-642C-4B22-95E5-E4F47076B13F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1EB12972-8471-4EC3-A044-98E7B8FCB251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DA8AC3F0-0230-4B31-A543-FFD9D6029C82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CFF"/>
  </sheetPr>
  <dimension ref="A1:J168"/>
  <sheetViews>
    <sheetView topLeftCell="A7" workbookViewId="0">
      <selection activeCell="B20" sqref="B20:H20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0" max="10" width="8.75"/>
  </cols>
  <sheetData>
    <row r="1" spans="1:10" ht="46.5" customHeight="1" x14ac:dyDescent="0.7">
      <c r="A1" s="2"/>
      <c r="B1" s="1">
        <f ca="1">YEAR(TODAY())</f>
        <v>2024</v>
      </c>
      <c r="C1" s="18" t="s">
        <v>2</v>
      </c>
      <c r="D1" s="13"/>
      <c r="E1" s="65" t="s">
        <v>14</v>
      </c>
      <c r="F1" s="65"/>
      <c r="G1" s="65"/>
      <c r="H1" s="19" t="s">
        <v>15</v>
      </c>
      <c r="J1" s="22">
        <v>7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ht="28.5" x14ac:dyDescent="0.3">
      <c r="B4" s="6"/>
      <c r="C4" s="6"/>
      <c r="D4" s="6"/>
      <c r="E4" s="34" t="s">
        <v>95</v>
      </c>
      <c r="F4" s="6"/>
      <c r="G4" s="6"/>
      <c r="H4" s="7"/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ht="28.5" x14ac:dyDescent="0.3">
      <c r="B6" s="6"/>
      <c r="C6" s="6"/>
      <c r="D6" s="6"/>
      <c r="E6" s="34" t="s">
        <v>95</v>
      </c>
      <c r="F6" s="6"/>
      <c r="G6" s="6"/>
      <c r="H6" s="9"/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x14ac:dyDescent="0.3">
      <c r="B8" s="6"/>
      <c r="C8" s="6"/>
      <c r="D8" s="6"/>
      <c r="E8" s="6"/>
      <c r="F8" s="6"/>
      <c r="G8" s="6"/>
      <c r="H8" s="7"/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ht="28.5" x14ac:dyDescent="0.3">
      <c r="B10" s="6"/>
      <c r="C10" s="6"/>
      <c r="D10" s="34" t="s">
        <v>95</v>
      </c>
      <c r="E10" s="6"/>
      <c r="F10" s="6"/>
      <c r="G10" s="6"/>
      <c r="H10" s="7"/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ht="28.5" x14ac:dyDescent="0.3">
      <c r="B12" s="6"/>
      <c r="C12" s="6"/>
      <c r="D12" s="34" t="s">
        <v>95</v>
      </c>
      <c r="E12" s="6"/>
      <c r="F12" s="6"/>
      <c r="G12" s="6"/>
      <c r="H12" s="7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6"/>
      <c r="C14" s="6"/>
      <c r="D14" s="63"/>
      <c r="E14" s="63"/>
      <c r="F14" s="63"/>
      <c r="G14" s="63"/>
      <c r="H14" s="63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65" t="s">
        <v>14</v>
      </c>
      <c r="F15" s="65"/>
      <c r="G15" s="65"/>
      <c r="H15" s="19" t="s">
        <v>15</v>
      </c>
      <c r="J15" s="22">
        <v>7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10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10" ht="28.5" x14ac:dyDescent="0.3">
      <c r="B18" s="6"/>
      <c r="C18" s="6"/>
      <c r="D18" s="6"/>
      <c r="E18" s="34" t="s">
        <v>95</v>
      </c>
      <c r="F18" s="6"/>
      <c r="G18" s="6"/>
      <c r="H18" s="7"/>
    </row>
    <row r="19" spans="1:10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10" x14ac:dyDescent="0.3">
      <c r="B20" s="67" t="s">
        <v>182</v>
      </c>
      <c r="C20" s="67"/>
      <c r="D20" s="67"/>
      <c r="E20" s="67"/>
      <c r="F20" s="67"/>
      <c r="G20" s="67"/>
      <c r="H20" s="67"/>
    </row>
    <row r="21" spans="1:10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10" ht="28.5" x14ac:dyDescent="0.3">
      <c r="B22" s="6"/>
      <c r="C22" s="6"/>
      <c r="D22" s="6"/>
      <c r="E22" s="6"/>
      <c r="F22" s="34" t="s">
        <v>95</v>
      </c>
      <c r="G22" s="6"/>
      <c r="H22" s="7"/>
    </row>
    <row r="23" spans="1:10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10" x14ac:dyDescent="0.3">
      <c r="B24" s="6"/>
      <c r="C24" s="6"/>
      <c r="D24" s="6"/>
      <c r="E24" s="6"/>
      <c r="F24" s="6"/>
      <c r="G24" s="6"/>
      <c r="H24" s="7"/>
    </row>
    <row r="25" spans="1:10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10" x14ac:dyDescent="0.3">
      <c r="B26" s="6"/>
      <c r="C26" s="6"/>
      <c r="D26" s="6"/>
      <c r="E26" s="6"/>
      <c r="F26" s="6"/>
      <c r="G26" s="6"/>
      <c r="H26" s="8"/>
    </row>
    <row r="27" spans="1:10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10" x14ac:dyDescent="0.3">
      <c r="B28" s="6"/>
      <c r="C28" s="6"/>
      <c r="D28" s="63"/>
      <c r="E28" s="63"/>
      <c r="F28" s="63"/>
      <c r="G28" s="63"/>
      <c r="H28" s="63"/>
    </row>
    <row r="29" spans="1:10" ht="46.5" customHeight="1" x14ac:dyDescent="0.7">
      <c r="A29" s="2"/>
      <c r="B29" s="1">
        <f ca="1">YEAR(DATE(Calendario2Año,Calendario2MesOpción+1,1))</f>
        <v>2024</v>
      </c>
      <c r="C29" s="18" t="str">
        <f ca="1">TEXT(DATE(Calendario2Año,Calendario2MesOpción+1,1),"mmmm")</f>
        <v>marzo</v>
      </c>
      <c r="D29" s="18"/>
      <c r="E29" s="65" t="s">
        <v>14</v>
      </c>
      <c r="F29" s="65"/>
      <c r="G29" s="65"/>
      <c r="H29" s="19" t="s">
        <v>15</v>
      </c>
      <c r="J29" s="22">
        <v>7</v>
      </c>
    </row>
    <row r="30" spans="1:10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10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10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7">
    <mergeCell ref="E29:G29"/>
    <mergeCell ref="E1:G1"/>
    <mergeCell ref="D13:H13"/>
    <mergeCell ref="D14:H14"/>
    <mergeCell ref="D27:H27"/>
    <mergeCell ref="D28:H28"/>
    <mergeCell ref="E15:G15"/>
    <mergeCell ref="B20:H20"/>
    <mergeCell ref="D139:H139"/>
    <mergeCell ref="D140:H140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C85:E85"/>
    <mergeCell ref="D41:H41"/>
    <mergeCell ref="D42:H42"/>
    <mergeCell ref="C43:E43"/>
    <mergeCell ref="D55:H55"/>
    <mergeCell ref="D56:H56"/>
    <mergeCell ref="D69:H69"/>
    <mergeCell ref="D70:H70"/>
    <mergeCell ref="C71:E71"/>
    <mergeCell ref="D83:H83"/>
    <mergeCell ref="D84:H84"/>
    <mergeCell ref="C57:E57"/>
    <mergeCell ref="D153:H153"/>
    <mergeCell ref="D154:H154"/>
    <mergeCell ref="C155:E155"/>
    <mergeCell ref="D167:H167"/>
    <mergeCell ref="D168:H168"/>
  </mergeCells>
  <dataValidations count="14">
    <dataValidation allowBlank="1" showInputMessage="1" prompt="Fecha" sqref="B3" xr:uid="{00000000-0002-0000-11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11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 E29 E15" xr:uid="{00000000-0002-0000-11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1100-000005000000}"/>
    <dataValidation allowBlank="1" showInputMessage="1" showErrorMessage="1" prompt="Escriba el año en esta celda" sqref="B1" xr:uid="{00000000-0002-0000-1100-000006000000}"/>
    <dataValidation allowBlank="1" showInputMessage="1" prompt="Día laborable determinado automáticamente. Para cambiar los días laborables, seleccione un nuevo día de inicio de semana en la celda B2." sqref="C2:H2 B16" xr:uid="{00000000-0002-0000-1100-000007000000}"/>
    <dataValidation allowBlank="1" showInputMessage="1" prompt="Escriba aquí las notas del día" sqref="B4" xr:uid="{00000000-0002-0000-1100-000009000000}"/>
    <dataValidation allowBlank="1" showInputMessage="1" prompt="El año natural se actualiza automáticamente según el año seleccionado en la celda B1" sqref="B15" xr:uid="{00000000-0002-0000-1100-00000A000000}"/>
    <dataValidation allowBlank="1" showInputMessage="1" prompt="El mes natural se actualiza automáticamente según el mes seleccionado en la celda C1" sqref="C15:D15" xr:uid="{00000000-0002-0000-1100-00000B000000}"/>
    <dataValidation allowBlank="1" showInputMessage="1" prompt="Escriba las notas del mes en la siguiente celda" sqref="D13:H13" xr:uid="{00000000-0002-0000-1100-00000C000000}"/>
    <dataValidation allowBlank="1" showInputMessage="1" prompt="Escriba las notas del mes en esta celda" sqref="D14:H14" xr:uid="{00000000-0002-0000-1100-00000D000000}"/>
    <dataValidation allowBlank="1" showInputMessage="1" showErrorMessage="1" prompt="El año natural se actualiza automáticamente según el año seleccionado en la celda B1" sqref="B29 B155 B141 B127 B113 B99 B85 B71 B57 B43" xr:uid="{00000000-0002-0000-1100-00000E000000}"/>
    <dataValidation allowBlank="1" showInputMessage="1" showErrorMessage="1" prompt="El mes natural se actualiza automáticamente según el mes seleccionado en la celda C1" sqref="C141:E141 C29:D29 C127:E127 C113:E113 C99:E99 C85:E85 C71:E71 C57:E57 C43:E43 C155:E155" xr:uid="{00000000-0002-0000-1100-000018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1100-000022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55064BED-2405-4271-9DCA-1A9D928446F7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2308AFF0-1513-42D1-B020-9F2B52127036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D13021ED-7F8E-4B2B-B045-004338850731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6AEFA500-C80B-4448-823E-8F87D949184A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E625EC4D-ECE3-4E9E-A40E-A0391E81B885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C436029D-12B1-4115-95B6-851331A254C8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154CA082-10EE-4D28-A1A9-42798C4DB455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03F5CB8B-0204-4CAA-889A-C5AAE451E95B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916D8B68-DBCD-4EDF-AC45-4D09DC22ECD7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39F94A6E-B5A8-4AC9-8390-13C7753D729F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62D7AE46-32DA-4421-B521-A7D7FD71732D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0CE24E53-2013-4AD3-A72A-13F93948E0F3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CFF"/>
  </sheetPr>
  <dimension ref="A1:J168"/>
  <sheetViews>
    <sheetView topLeftCell="A10" workbookViewId="0">
      <selection activeCell="B22" sqref="B22:H22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0" max="10" width="8.75"/>
  </cols>
  <sheetData>
    <row r="1" spans="1:10" ht="46.5" customHeight="1" x14ac:dyDescent="0.7">
      <c r="A1" s="2"/>
      <c r="B1" s="1">
        <f ca="1">YEAR(TODAY())</f>
        <v>2024</v>
      </c>
      <c r="C1" s="18" t="s">
        <v>2</v>
      </c>
      <c r="D1" s="13"/>
      <c r="E1" s="65" t="s">
        <v>81</v>
      </c>
      <c r="F1" s="65"/>
      <c r="G1" s="65"/>
      <c r="H1" s="15" t="s">
        <v>82</v>
      </c>
      <c r="J1" s="20">
        <v>8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ht="28.5" x14ac:dyDescent="0.3">
      <c r="B4" s="6"/>
      <c r="C4" s="6"/>
      <c r="D4" s="27" t="s">
        <v>83</v>
      </c>
      <c r="E4" s="6"/>
      <c r="F4" s="6"/>
      <c r="G4" s="6"/>
      <c r="H4" s="7"/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ht="28.5" x14ac:dyDescent="0.3">
      <c r="B6" s="6"/>
      <c r="C6" s="6"/>
      <c r="D6" s="27" t="s">
        <v>105</v>
      </c>
      <c r="E6" s="6"/>
      <c r="F6" s="6"/>
      <c r="G6" s="6"/>
      <c r="H6" s="9"/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ht="28.5" x14ac:dyDescent="0.3">
      <c r="B8" s="6"/>
      <c r="C8" s="6"/>
      <c r="D8" s="27" t="s">
        <v>105</v>
      </c>
      <c r="E8" s="6"/>
      <c r="F8" s="6"/>
      <c r="G8" s="6"/>
      <c r="H8" s="7"/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ht="28.5" x14ac:dyDescent="0.3">
      <c r="B10" s="6"/>
      <c r="C10" s="6"/>
      <c r="D10" s="6"/>
      <c r="E10" s="27" t="s">
        <v>83</v>
      </c>
      <c r="F10" s="6"/>
      <c r="G10" s="6"/>
      <c r="H10" s="7"/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ht="28.5" x14ac:dyDescent="0.3">
      <c r="B12" s="6"/>
      <c r="C12" s="6"/>
      <c r="D12" s="27" t="s">
        <v>83</v>
      </c>
      <c r="E12" s="51"/>
      <c r="F12" s="51"/>
      <c r="G12" s="51"/>
      <c r="H12" s="52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51"/>
      <c r="C14" s="51"/>
      <c r="D14" s="68"/>
      <c r="E14" s="68"/>
      <c r="F14" s="68"/>
      <c r="G14" s="68"/>
      <c r="H14" s="68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65" t="s">
        <v>81</v>
      </c>
      <c r="F15" s="65"/>
      <c r="G15" s="65"/>
      <c r="H15" s="15" t="s">
        <v>82</v>
      </c>
      <c r="J15" s="20">
        <v>8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x14ac:dyDescent="0.3">
      <c r="B18" s="51"/>
      <c r="C18" s="51"/>
      <c r="D18" s="51"/>
      <c r="E18" s="6"/>
      <c r="F18" s="6"/>
      <c r="G18" s="6"/>
      <c r="H18" s="7"/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ht="28.5" x14ac:dyDescent="0.3">
      <c r="B20" s="6"/>
      <c r="C20" s="6"/>
      <c r="D20" s="27" t="s">
        <v>83</v>
      </c>
      <c r="E20" s="6"/>
      <c r="F20" s="6"/>
      <c r="G20" s="6"/>
      <c r="H20" s="7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x14ac:dyDescent="0.3">
      <c r="B22" s="67" t="s">
        <v>182</v>
      </c>
      <c r="C22" s="67"/>
      <c r="D22" s="67"/>
      <c r="E22" s="67"/>
      <c r="F22" s="67"/>
      <c r="G22" s="67"/>
      <c r="H22" s="67"/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"/>
      <c r="C24" s="6"/>
      <c r="D24" s="6"/>
      <c r="E24" s="6"/>
      <c r="F24" s="6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7">
    <mergeCell ref="C29:E29"/>
    <mergeCell ref="E1:G1"/>
    <mergeCell ref="D13:H13"/>
    <mergeCell ref="D14:H14"/>
    <mergeCell ref="D27:H27"/>
    <mergeCell ref="D28:H28"/>
    <mergeCell ref="E15:G15"/>
    <mergeCell ref="B22:H22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D153:H153"/>
    <mergeCell ref="D154:H154"/>
    <mergeCell ref="C155:E155"/>
    <mergeCell ref="D167:H167"/>
    <mergeCell ref="D168:H168"/>
  </mergeCells>
  <dataValidations count="14">
    <dataValidation allowBlank="1" showInputMessage="1" prompt="Fecha" sqref="B3" xr:uid="{00000000-0002-0000-12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12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 E15" xr:uid="{00000000-0002-0000-12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1200-000004000000}"/>
    <dataValidation allowBlank="1" showInputMessage="1" showErrorMessage="1" prompt="Escriba el año en esta celda" sqref="B1" xr:uid="{00000000-0002-0000-1200-000005000000}"/>
    <dataValidation allowBlank="1" showInputMessage="1" prompt="Día laborable determinado automáticamente. Para cambiar los días laborables, seleccione un nuevo día de inicio de semana en la celda B2." sqref="C2:H2 B16" xr:uid="{00000000-0002-0000-1200-000006000000}"/>
    <dataValidation allowBlank="1" showInputMessage="1" prompt="Escriba aquí las notas del día" sqref="B4" xr:uid="{00000000-0002-0000-1200-000008000000}"/>
    <dataValidation allowBlank="1" showInputMessage="1" prompt="El año natural se actualiza automáticamente según el año seleccionado en la celda B1" sqref="B15" xr:uid="{00000000-0002-0000-1200-000009000000}"/>
    <dataValidation allowBlank="1" showInputMessage="1" prompt="El mes natural se actualiza automáticamente según el mes seleccionado en la celda C1" sqref="C15:D15" xr:uid="{00000000-0002-0000-1200-00000A000000}"/>
    <dataValidation allowBlank="1" showInputMessage="1" prompt="Escriba las notas del mes en la siguiente celda" sqref="D13:H13" xr:uid="{00000000-0002-0000-1200-00000B000000}"/>
    <dataValidation allowBlank="1" showInputMessage="1" prompt="Escriba las notas del mes en esta celda" sqref="D14:H14" xr:uid="{00000000-0002-0000-1200-00000C000000}"/>
    <dataValidation allowBlank="1" showInputMessage="1" showErrorMessage="1" prompt="El año natural se actualiza automáticamente según el año seleccionado en la celda B1" sqref="B29 B155 B141 B127 B113 B99 B85 B71 B57 B43" xr:uid="{00000000-0002-0000-1200-00000D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1200-000017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1200-000021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00B7889E-735D-444C-ACF9-3EDA7551C17F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BD425FD7-8614-4C5F-BE0B-F43FB06FCFF2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A6C32762-06E7-45AE-9494-0C0E26DD1D82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EC76E7D7-5CF1-40EC-B493-16B168B7BB2F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A7EBD61F-4F7E-4B6B-A9BC-8E45AB50A3A2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6E45AAB0-B67D-4A56-B48D-D97670600C35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7EC36392-CB4E-4C10-BA89-C9535461D1ED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57C8A56B-9292-4C49-AB35-D3D1B9784F03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E8388DBE-89D2-4864-9DD8-D9AE345D721E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5EF5463D-20BE-4408-9994-1632453F2BA8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F5AAE4B4-3F3C-4E9A-A59A-86D31CE2EC4E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E3E77A50-F675-44A3-A36C-9656FBD5C51B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CFF"/>
  </sheetPr>
  <dimension ref="A1:J168"/>
  <sheetViews>
    <sheetView topLeftCell="A12" workbookViewId="0">
      <selection activeCell="E22" sqref="E22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0" max="10" width="8.75"/>
  </cols>
  <sheetData>
    <row r="1" spans="1:10" ht="46.5" x14ac:dyDescent="0.7">
      <c r="A1" s="2"/>
      <c r="B1" s="1">
        <f ca="1">YEAR(TODAY())</f>
        <v>2024</v>
      </c>
      <c r="C1" s="18" t="s">
        <v>2</v>
      </c>
      <c r="D1" s="13"/>
      <c r="E1" s="73" t="s">
        <v>84</v>
      </c>
      <c r="F1" s="73"/>
      <c r="G1" s="73"/>
      <c r="H1" s="15" t="s">
        <v>170</v>
      </c>
      <c r="J1" s="20"/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ht="38.25" x14ac:dyDescent="0.3">
      <c r="B4" s="6"/>
      <c r="C4" s="6"/>
      <c r="D4" s="6"/>
      <c r="E4" s="39" t="s">
        <v>106</v>
      </c>
      <c r="F4" s="6"/>
      <c r="G4" s="6"/>
      <c r="H4" s="7"/>
      <c r="J4" s="40"/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ht="25.5" x14ac:dyDescent="0.3">
      <c r="B6" s="6"/>
      <c r="C6" s="6"/>
      <c r="D6" s="6"/>
      <c r="E6" s="39" t="s">
        <v>116</v>
      </c>
      <c r="F6" s="6"/>
      <c r="G6" s="6"/>
      <c r="H6" s="9"/>
      <c r="J6" s="40"/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x14ac:dyDescent="0.3">
      <c r="B8" s="6"/>
      <c r="C8" s="6"/>
      <c r="D8" s="6"/>
      <c r="E8" s="6"/>
      <c r="F8" s="6"/>
      <c r="G8" s="6"/>
      <c r="H8" s="7"/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ht="38.25" x14ac:dyDescent="0.3">
      <c r="B10" s="6"/>
      <c r="C10" s="6"/>
      <c r="D10" s="6"/>
      <c r="F10" s="39" t="s">
        <v>156</v>
      </c>
      <c r="G10" s="6"/>
      <c r="H10" s="7"/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ht="25.5" x14ac:dyDescent="0.3">
      <c r="B12" s="6"/>
      <c r="C12" s="6"/>
      <c r="D12" s="39" t="s">
        <v>157</v>
      </c>
      <c r="E12" s="6"/>
      <c r="F12" s="6"/>
      <c r="G12" s="6"/>
      <c r="H12" s="7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6"/>
      <c r="C14" s="6"/>
      <c r="D14" s="63"/>
      <c r="E14" s="63"/>
      <c r="F14" s="63"/>
      <c r="G14" s="63"/>
      <c r="H14" s="63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73" t="s">
        <v>84</v>
      </c>
      <c r="F15" s="73"/>
      <c r="G15" s="73"/>
      <c r="H15" s="15" t="s">
        <v>170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x14ac:dyDescent="0.3">
      <c r="B18" s="6"/>
      <c r="C18" s="6"/>
      <c r="D18" s="6"/>
      <c r="E18" s="6"/>
      <c r="F18" s="6"/>
      <c r="G18" s="6"/>
      <c r="H18" s="7"/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ht="57" x14ac:dyDescent="0.3">
      <c r="B20" s="6"/>
      <c r="C20" s="6"/>
      <c r="D20" s="33" t="s">
        <v>171</v>
      </c>
      <c r="E20" s="33" t="s">
        <v>183</v>
      </c>
      <c r="F20" s="6"/>
      <c r="G20" s="6"/>
      <c r="H20" s="7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ht="57" x14ac:dyDescent="0.3">
      <c r="B22" s="6"/>
      <c r="C22" s="6"/>
      <c r="D22" s="33" t="s">
        <v>184</v>
      </c>
      <c r="E22" s="6"/>
      <c r="F22" s="6"/>
      <c r="G22" s="6"/>
      <c r="H22" s="7"/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"/>
      <c r="C24" s="6"/>
      <c r="D24" s="6"/>
      <c r="E24" s="6"/>
      <c r="F24" s="6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6">
    <mergeCell ref="C29:E29"/>
    <mergeCell ref="E1:G1"/>
    <mergeCell ref="D13:H13"/>
    <mergeCell ref="D14:H14"/>
    <mergeCell ref="D27:H27"/>
    <mergeCell ref="D28:H28"/>
    <mergeCell ref="E15:G15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D153:H153"/>
    <mergeCell ref="D154:H154"/>
    <mergeCell ref="C155:E155"/>
    <mergeCell ref="D167:H167"/>
    <mergeCell ref="D168:H168"/>
  </mergeCells>
  <dataValidations count="14">
    <dataValidation allowBlank="1" showInputMessage="1" prompt="Fecha" sqref="B3" xr:uid="{00000000-0002-0000-13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13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D1" xr:uid="{00000000-0002-0000-13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1300-000003000000}"/>
    <dataValidation allowBlank="1" showInputMessage="1" showErrorMessage="1" prompt="Escriba el año en esta celda" sqref="B1" xr:uid="{00000000-0002-0000-1300-000004000000}"/>
    <dataValidation allowBlank="1" showInputMessage="1" prompt="Día laborable determinado automáticamente. Para cambiar los días laborables, seleccione un nuevo día de inicio de semana en la celda B2." sqref="C2:H2 B16" xr:uid="{00000000-0002-0000-1300-000005000000}"/>
    <dataValidation allowBlank="1" showInputMessage="1" prompt="Escriba aquí las notas del día" sqref="B4" xr:uid="{00000000-0002-0000-1300-000007000000}"/>
    <dataValidation allowBlank="1" showInputMessage="1" prompt="El año natural se actualiza automáticamente según el año seleccionado en la celda B1" sqref="B15" xr:uid="{00000000-0002-0000-1300-000008000000}"/>
    <dataValidation allowBlank="1" showInputMessage="1" prompt="El mes natural se actualiza automáticamente según el mes seleccionado en la celda C1" sqref="C15:D15" xr:uid="{00000000-0002-0000-1300-000009000000}"/>
    <dataValidation allowBlank="1" showInputMessage="1" prompt="Escriba las notas del mes en la siguiente celda" sqref="D13:H13" xr:uid="{00000000-0002-0000-1300-00000A000000}"/>
    <dataValidation allowBlank="1" showInputMessage="1" prompt="Escriba las notas del mes en esta celda" sqref="D14:H14" xr:uid="{00000000-0002-0000-1300-00000B000000}"/>
    <dataValidation allowBlank="1" showInputMessage="1" showErrorMessage="1" prompt="El año natural se actualiza automáticamente según el año seleccionado en la celda B1" sqref="B29 B155 B141 B127 B113 B99 B85 B71 B57 B43" xr:uid="{00000000-0002-0000-1300-00000C000000}"/>
    <dataValidation allowBlank="1" showInputMessage="1" showErrorMessage="1" prompt="El mes natural se actualiza automáticamente según el mes seleccionado en la celda C1" sqref="C141:E141 E15 E1 C155:E155 C127:E127 C113:E113 C99:E99 C85:E85 C71:E71 C57:E57 C43:E43 C29:E29" xr:uid="{00000000-0002-0000-1300-000016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1300-000022000000}"/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35572504-F440-465F-B7B3-031894024C36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B6D69FF6-7B34-46A6-A5C7-DFDA1AE0B8C5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166A65F2-E347-42C4-BD1C-E0BCEF8081D8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EE7D2FAD-F3D6-4B0F-BFBE-936DFF3D2AA1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DFE66CA1-4A3B-4177-8779-1526C27E0D50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DA559F8D-9EDC-4609-9657-D87FBD230F0B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31E6F060-331D-43EA-9DE7-24AEE883EE11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798B8830-4724-4004-A753-93B0F7C10F7D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D6D3D5BD-331B-4ADA-9AFF-B6E99BB277BA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9648D358-87B4-42AE-9C36-247BEFE03D89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42402ADC-0269-414D-8261-74CC71C1EB67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45B90306-2A11-45E9-81DC-2347B0FCBDFD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CFF"/>
  </sheetPr>
  <dimension ref="A1:I168"/>
  <sheetViews>
    <sheetView topLeftCell="A7" workbookViewId="0">
      <selection activeCell="D22" sqref="D22"/>
    </sheetView>
  </sheetViews>
  <sheetFormatPr baseColWidth="10" defaultRowHeight="16.5" x14ac:dyDescent="0.3"/>
  <cols>
    <col min="1" max="1" width="18.25" customWidth="1"/>
    <col min="2" max="7" width="17.625" customWidth="1"/>
    <col min="8" max="8" width="2.5" customWidth="1"/>
  </cols>
  <sheetData>
    <row r="1" spans="1:9" ht="46.5" x14ac:dyDescent="0.7">
      <c r="A1" s="1">
        <f ca="1">YEAR(TODAY())</f>
        <v>2024</v>
      </c>
      <c r="B1" s="18" t="s">
        <v>2</v>
      </c>
      <c r="C1" s="13"/>
      <c r="D1" s="65" t="s">
        <v>119</v>
      </c>
      <c r="E1" s="65"/>
      <c r="F1" s="65"/>
      <c r="G1" s="19" t="s">
        <v>120</v>
      </c>
      <c r="I1" s="20">
        <v>40</v>
      </c>
    </row>
    <row r="2" spans="1:9" x14ac:dyDescent="0.3">
      <c r="A2" s="4" t="s">
        <v>0</v>
      </c>
      <c r="B2" s="5" t="str">
        <f ca="1">UPPER(TEXT(B3,"dddd"))</f>
        <v>MARTES</v>
      </c>
      <c r="C2" s="4" t="str">
        <f t="shared" ref="C2:G2" ca="1" si="0">UPPER(TEXT(C3,"dddd"))</f>
        <v>MIÉRCOLES</v>
      </c>
      <c r="D2" s="5" t="str">
        <f t="shared" ca="1" si="0"/>
        <v>JUEVES</v>
      </c>
      <c r="E2" s="4" t="str">
        <f t="shared" ca="1" si="0"/>
        <v>VIERNES</v>
      </c>
      <c r="F2" s="5" t="str">
        <f t="shared" ca="1" si="0"/>
        <v>SÁBADO</v>
      </c>
      <c r="G2" s="4" t="str">
        <f t="shared" ca="1" si="0"/>
        <v>DOMINGO</v>
      </c>
    </row>
    <row r="3" spans="1:9" ht="21" x14ac:dyDescent="0.3">
      <c r="A3" s="10">
        <f t="array" aca="1" ref="A3:G3" ca="1">Días+1+DATE(Calendario1Año,Calendario1MesOpción,1)-WEEKDAY(DATE(Calendario1Año,Calendario1MesOpción,1),DíaDeLaSemanaOpción)</f>
        <v>45292</v>
      </c>
      <c r="B3" s="10">
        <f ca="1"/>
        <v>45293</v>
      </c>
      <c r="C3" s="10">
        <f ca="1"/>
        <v>45294</v>
      </c>
      <c r="D3" s="10">
        <f ca="1"/>
        <v>45295</v>
      </c>
      <c r="E3" s="10">
        <f ca="1"/>
        <v>45296</v>
      </c>
      <c r="F3" s="10">
        <f ca="1"/>
        <v>45297</v>
      </c>
      <c r="G3" s="11">
        <f ca="1"/>
        <v>45298</v>
      </c>
    </row>
    <row r="4" spans="1:9" x14ac:dyDescent="0.3">
      <c r="A4" s="6"/>
      <c r="B4" s="6"/>
      <c r="C4" s="6"/>
      <c r="D4" s="6"/>
      <c r="E4" s="7"/>
      <c r="F4" s="6"/>
      <c r="G4" s="7"/>
    </row>
    <row r="5" spans="1:9" ht="21" x14ac:dyDescent="0.3">
      <c r="A5" s="10">
        <f t="array" aca="1" ref="A5:G5" ca="1">Días+8+DATE(Calendario1Año,Calendario1MesOpción,1)-WEEKDAY(DATE(Calendario1Año,Calendario1MesOpción,1),DíaDeLaSemanaOpción)</f>
        <v>45299</v>
      </c>
      <c r="B5" s="10">
        <f ca="1"/>
        <v>45300</v>
      </c>
      <c r="C5" s="10">
        <f ca="1"/>
        <v>45301</v>
      </c>
      <c r="D5" s="10">
        <f ca="1"/>
        <v>45302</v>
      </c>
      <c r="E5" s="10">
        <f ca="1"/>
        <v>45303</v>
      </c>
      <c r="F5" s="10">
        <f ca="1"/>
        <v>45304</v>
      </c>
      <c r="G5" s="11">
        <f ca="1"/>
        <v>45305</v>
      </c>
    </row>
    <row r="6" spans="1:9" ht="28.5" x14ac:dyDescent="0.3">
      <c r="A6" s="6"/>
      <c r="C6" s="6"/>
      <c r="D6" s="7"/>
      <c r="E6" s="34" t="s">
        <v>121</v>
      </c>
      <c r="F6" s="6"/>
      <c r="G6" s="7"/>
    </row>
    <row r="7" spans="1:9" ht="21" x14ac:dyDescent="0.3">
      <c r="A7" s="10">
        <f t="array" aca="1" ref="A7:G7" ca="1">Días+15+DATE(Calendario1Año,Calendario1MesOpción,1)-WEEKDAY(DATE(Calendario1Año,Calendario1MesOpción,1),DíaDeLaSemanaOpción)</f>
        <v>45306</v>
      </c>
      <c r="B7" s="10">
        <f ca="1"/>
        <v>45307</v>
      </c>
      <c r="C7" s="10">
        <f ca="1"/>
        <v>45308</v>
      </c>
      <c r="D7" s="10">
        <f ca="1"/>
        <v>45309</v>
      </c>
      <c r="E7" s="10">
        <f ca="1"/>
        <v>45310</v>
      </c>
      <c r="F7" s="10">
        <f ca="1"/>
        <v>45311</v>
      </c>
      <c r="G7" s="11">
        <f ca="1"/>
        <v>45312</v>
      </c>
    </row>
    <row r="8" spans="1:9" ht="28.5" x14ac:dyDescent="0.3">
      <c r="A8" s="34" t="s">
        <v>121</v>
      </c>
      <c r="B8" s="34" t="s">
        <v>121</v>
      </c>
      <c r="C8" s="6"/>
      <c r="D8" s="34" t="s">
        <v>121</v>
      </c>
      <c r="E8" s="6"/>
      <c r="F8" s="6"/>
      <c r="G8" s="7"/>
    </row>
    <row r="9" spans="1:9" ht="21" x14ac:dyDescent="0.3">
      <c r="A9" s="10">
        <f t="array" aca="1" ref="A9:G9" ca="1">Días+22+DATE(Calendario1Año,Calendario1MesOpción,1)-WEEKDAY(DATE(Calendario1Año,Calendario1MesOpción,1),DíaDeLaSemanaOpción)</f>
        <v>45313</v>
      </c>
      <c r="B9" s="10">
        <f ca="1"/>
        <v>45314</v>
      </c>
      <c r="C9" s="10">
        <f ca="1"/>
        <v>45315</v>
      </c>
      <c r="D9" s="10">
        <f ca="1"/>
        <v>45316</v>
      </c>
      <c r="E9" s="10">
        <f ca="1"/>
        <v>45317</v>
      </c>
      <c r="F9" s="10">
        <f ca="1"/>
        <v>45318</v>
      </c>
      <c r="G9" s="11">
        <f ca="1"/>
        <v>45319</v>
      </c>
    </row>
    <row r="10" spans="1:9" ht="28.5" x14ac:dyDescent="0.3">
      <c r="A10" s="34" t="s">
        <v>121</v>
      </c>
      <c r="B10" s="34" t="s">
        <v>137</v>
      </c>
      <c r="C10" s="6"/>
      <c r="D10" s="34" t="s">
        <v>121</v>
      </c>
      <c r="E10" s="6"/>
      <c r="F10" s="6"/>
      <c r="G10" s="7"/>
    </row>
    <row r="11" spans="1:9" ht="21" x14ac:dyDescent="0.3">
      <c r="A11" s="10">
        <f t="array" aca="1" ref="A11:G11" ca="1">Días+29+DATE(Calendario1Año,Calendario1MesOpción,1)-WEEKDAY(DATE(Calendario1Año,Calendario1MesOpción,1),DíaDeLaSemanaOpción)</f>
        <v>45320</v>
      </c>
      <c r="B11" s="10">
        <f ca="1"/>
        <v>45321</v>
      </c>
      <c r="C11" s="10">
        <f ca="1"/>
        <v>45322</v>
      </c>
      <c r="D11" s="10">
        <f ca="1"/>
        <v>45323</v>
      </c>
      <c r="E11" s="10">
        <f ca="1"/>
        <v>45324</v>
      </c>
      <c r="F11" s="10">
        <f ca="1"/>
        <v>45325</v>
      </c>
      <c r="G11" s="11">
        <f ca="1"/>
        <v>45326</v>
      </c>
    </row>
    <row r="12" spans="1:9" ht="28.5" x14ac:dyDescent="0.3">
      <c r="A12" s="34" t="s">
        <v>137</v>
      </c>
      <c r="B12" s="34" t="s">
        <v>137</v>
      </c>
      <c r="C12" s="6"/>
      <c r="D12" s="51"/>
      <c r="E12" s="51"/>
      <c r="F12" s="51"/>
      <c r="G12" s="52"/>
    </row>
    <row r="13" spans="1:9" ht="21" x14ac:dyDescent="0.3">
      <c r="A13" s="10">
        <f t="array" aca="1" ref="A13:B13" ca="1">Días+36+DATE(Calendario1Año,Calendario1MesOpción,1)-WEEKDAY(DATE(Calendario1Año,Calendario1MesOpción,1),DíaDeLaSemanaOpción)</f>
        <v>45327</v>
      </c>
      <c r="B13" s="10">
        <f ca="1"/>
        <v>45328</v>
      </c>
      <c r="C13" s="62" t="s">
        <v>1</v>
      </c>
      <c r="D13" s="62"/>
      <c r="E13" s="62"/>
      <c r="F13" s="62"/>
      <c r="G13" s="62"/>
    </row>
    <row r="14" spans="1:9" x14ac:dyDescent="0.3">
      <c r="A14" s="51"/>
      <c r="B14" s="51"/>
      <c r="C14" s="68"/>
      <c r="D14" s="68"/>
      <c r="E14" s="68"/>
      <c r="F14" s="68"/>
      <c r="G14" s="68"/>
    </row>
    <row r="15" spans="1:9" ht="46.5" x14ac:dyDescent="0.7">
      <c r="A15" s="1">
        <f ca="1">YEAR(DATE(Calendario1Año,Calendario1MesOpción+1,1))</f>
        <v>2024</v>
      </c>
      <c r="B15" s="17" t="str">
        <f ca="1">TEXT(DATE(Calendario1Año,Calendario1MesOpción+1,1),"mmmm")</f>
        <v>febrero</v>
      </c>
      <c r="C15" s="13"/>
      <c r="D15" s="65" t="s">
        <v>119</v>
      </c>
      <c r="E15" s="65"/>
      <c r="F15" s="65"/>
      <c r="G15" s="19" t="s">
        <v>120</v>
      </c>
      <c r="I15" s="20">
        <v>40</v>
      </c>
    </row>
    <row r="16" spans="1:9" x14ac:dyDescent="0.3">
      <c r="A16" s="4" t="str">
        <f ca="1">UPPER(TEXT(A17,"dddd"))</f>
        <v>LUNES</v>
      </c>
      <c r="B16" s="5" t="str">
        <f t="shared" ref="B16:G16" ca="1" si="1">UPPER(TEXT(B17,"dddd"))</f>
        <v>MARTES</v>
      </c>
      <c r="C16" s="4" t="str">
        <f t="shared" ca="1" si="1"/>
        <v>MIÉRCOLES</v>
      </c>
      <c r="D16" s="5" t="str">
        <f t="shared" ca="1" si="1"/>
        <v>JUEVES</v>
      </c>
      <c r="E16" s="4" t="str">
        <f t="shared" ca="1" si="1"/>
        <v>VIERNES</v>
      </c>
      <c r="F16" s="5" t="str">
        <f t="shared" ca="1" si="1"/>
        <v>SÁBADO</v>
      </c>
      <c r="G16" s="4" t="str">
        <f t="shared" ca="1" si="1"/>
        <v>DOMINGO</v>
      </c>
    </row>
    <row r="17" spans="1:7" ht="21" x14ac:dyDescent="0.3">
      <c r="A17" s="10">
        <f t="array" aca="1" ref="A17:G17" ca="1">Días+1+DATE(Calendario2Año,Calendario2MesOpción,1)-WEEKDAY(DATE(Calendario2Año,Calendario2MesOpción,1),DíaDeLaSemanaOpción)</f>
        <v>45320</v>
      </c>
      <c r="B17" s="10">
        <f ca="1"/>
        <v>45321</v>
      </c>
      <c r="C17" s="10">
        <f ca="1"/>
        <v>45322</v>
      </c>
      <c r="D17" s="10">
        <f ca="1"/>
        <v>45323</v>
      </c>
      <c r="E17" s="10">
        <f ca="1"/>
        <v>45324</v>
      </c>
      <c r="F17" s="10">
        <f ca="1"/>
        <v>45325</v>
      </c>
      <c r="G17" s="11">
        <f ca="1"/>
        <v>45326</v>
      </c>
    </row>
    <row r="18" spans="1:7" ht="28.5" x14ac:dyDescent="0.3">
      <c r="A18" s="51"/>
      <c r="B18" s="51"/>
      <c r="C18" s="51"/>
      <c r="D18" s="34" t="s">
        <v>137</v>
      </c>
      <c r="E18" s="6"/>
      <c r="F18" s="6"/>
      <c r="G18" s="7"/>
    </row>
    <row r="19" spans="1:7" ht="21" x14ac:dyDescent="0.3">
      <c r="A19" s="10">
        <f t="array" aca="1" ref="A19:G19" ca="1">Días+8+DATE(Calendario2Año,Calendario2MesOpción,1)-WEEKDAY(DATE(Calendario2Año,Calendario2MesOpción,1),DíaDeLaSemanaOpción)</f>
        <v>45327</v>
      </c>
      <c r="B19" s="10">
        <f ca="1"/>
        <v>45328</v>
      </c>
      <c r="C19" s="10">
        <f ca="1"/>
        <v>45329</v>
      </c>
      <c r="D19" s="10">
        <f ca="1"/>
        <v>45330</v>
      </c>
      <c r="E19" s="10">
        <f ca="1"/>
        <v>45331</v>
      </c>
      <c r="F19" s="10">
        <f ca="1"/>
        <v>45332</v>
      </c>
      <c r="G19" s="11">
        <f ca="1"/>
        <v>45333</v>
      </c>
    </row>
    <row r="20" spans="1:7" ht="28.5" x14ac:dyDescent="0.3">
      <c r="A20" s="34" t="s">
        <v>137</v>
      </c>
      <c r="B20" s="34" t="s">
        <v>137</v>
      </c>
      <c r="C20" s="6"/>
      <c r="D20" s="34" t="s">
        <v>137</v>
      </c>
      <c r="E20" s="6"/>
      <c r="F20" s="6"/>
      <c r="G20" s="7"/>
    </row>
    <row r="21" spans="1:7" ht="21" x14ac:dyDescent="0.3">
      <c r="A21" s="10">
        <f t="array" aca="1" ref="A21:G21" ca="1">Días+15+DATE(Calendario2Año,Calendario2MesOpción,1)-WEEKDAY(DATE(Calendario2Año,Calendario2MesOpción,1),DíaDeLaSemanaOpción)</f>
        <v>45334</v>
      </c>
      <c r="B21" s="10">
        <f ca="1"/>
        <v>45335</v>
      </c>
      <c r="C21" s="10">
        <f ca="1"/>
        <v>45336</v>
      </c>
      <c r="D21" s="10">
        <f ca="1"/>
        <v>45337</v>
      </c>
      <c r="E21" s="10">
        <f ca="1"/>
        <v>45338</v>
      </c>
      <c r="F21" s="10">
        <f ca="1"/>
        <v>45339</v>
      </c>
      <c r="G21" s="11">
        <f ca="1"/>
        <v>45340</v>
      </c>
    </row>
    <row r="22" spans="1:7" ht="28.5" x14ac:dyDescent="0.3">
      <c r="A22" s="34" t="s">
        <v>137</v>
      </c>
      <c r="B22" s="34" t="s">
        <v>137</v>
      </c>
      <c r="C22" s="6"/>
      <c r="D22" s="34" t="s">
        <v>137</v>
      </c>
      <c r="E22" s="6"/>
      <c r="F22" s="6"/>
      <c r="G22" s="7"/>
    </row>
    <row r="23" spans="1:7" ht="21" x14ac:dyDescent="0.3">
      <c r="A23" s="10">
        <f t="array" aca="1" ref="A23:G23" ca="1">Días+22+DATE(Calendario2Año,Calendario2MesOpción,1)-WEEKDAY(DATE(Calendario2Año,Calendario2MesOpción,1),DíaDeLaSemanaOpción)</f>
        <v>45341</v>
      </c>
      <c r="B23" s="10">
        <f ca="1"/>
        <v>45342</v>
      </c>
      <c r="C23" s="10">
        <f ca="1"/>
        <v>45343</v>
      </c>
      <c r="D23" s="10">
        <f ca="1"/>
        <v>45344</v>
      </c>
      <c r="E23" s="10">
        <f ca="1"/>
        <v>45345</v>
      </c>
      <c r="F23" s="10">
        <f ca="1"/>
        <v>45346</v>
      </c>
      <c r="G23" s="11">
        <f ca="1"/>
        <v>45347</v>
      </c>
    </row>
    <row r="24" spans="1:7" x14ac:dyDescent="0.3">
      <c r="A24" s="6"/>
      <c r="B24" s="6"/>
      <c r="C24" s="6"/>
      <c r="D24" s="6"/>
      <c r="E24" s="6"/>
      <c r="F24" s="6"/>
      <c r="G24" s="7"/>
    </row>
    <row r="25" spans="1:7" ht="21" x14ac:dyDescent="0.3">
      <c r="A25" s="10">
        <f t="array" aca="1" ref="A25:G25" ca="1">Días+29+DATE(Calendario2Año,Calendario2MesOpción,1)-WEEKDAY(DATE(Calendario2Año,Calendario2MesOpción,1),DíaDeLaSemanaOpción)</f>
        <v>45348</v>
      </c>
      <c r="B25" s="10">
        <f ca="1"/>
        <v>45349</v>
      </c>
      <c r="C25" s="10">
        <f ca="1"/>
        <v>45350</v>
      </c>
      <c r="D25" s="10">
        <f ca="1"/>
        <v>45351</v>
      </c>
      <c r="E25" s="10">
        <f ca="1"/>
        <v>45352</v>
      </c>
      <c r="F25" s="10">
        <f ca="1"/>
        <v>45353</v>
      </c>
      <c r="G25" s="11">
        <f ca="1"/>
        <v>45354</v>
      </c>
    </row>
    <row r="26" spans="1:7" x14ac:dyDescent="0.3">
      <c r="A26" s="6"/>
      <c r="B26" s="6"/>
      <c r="C26" s="6"/>
      <c r="D26" s="6"/>
      <c r="E26" s="6"/>
      <c r="F26" s="6"/>
      <c r="G26" s="8"/>
    </row>
    <row r="27" spans="1:7" ht="21" x14ac:dyDescent="0.3">
      <c r="A27" s="10">
        <f t="array" aca="1" ref="A27:B27" ca="1">Días+36+DATE(Calendario2Año,Calendario2MesOpción,1)-WEEKDAY(DATE(Calendario2Año,Calendario2MesOpción,1),DíaDeLaSemanaOpción)</f>
        <v>45355</v>
      </c>
      <c r="B27" s="10">
        <f ca="1"/>
        <v>45356</v>
      </c>
      <c r="C27" s="62" t="s">
        <v>1</v>
      </c>
      <c r="D27" s="62"/>
      <c r="E27" s="62"/>
      <c r="F27" s="62"/>
      <c r="G27" s="62"/>
    </row>
    <row r="28" spans="1:7" x14ac:dyDescent="0.3">
      <c r="A28" s="6"/>
      <c r="B28" s="6"/>
      <c r="C28" s="63"/>
      <c r="D28" s="63"/>
      <c r="E28" s="63"/>
      <c r="F28" s="63"/>
      <c r="G28" s="63"/>
    </row>
    <row r="29" spans="1:7" ht="46.5" x14ac:dyDescent="0.7">
      <c r="A29" s="1">
        <f ca="1">YEAR(DATE(Calendario2Año,Calendario2MesOpción+1,1))</f>
        <v>2024</v>
      </c>
      <c r="B29" s="64" t="str">
        <f ca="1">TEXT(DATE(Calendario2Año,Calendario2MesOpción+1,1),"mmmm")</f>
        <v>marzo</v>
      </c>
      <c r="C29" s="64"/>
      <c r="D29" s="64"/>
      <c r="E29" s="2"/>
      <c r="F29" s="2"/>
      <c r="G29" s="2"/>
    </row>
    <row r="30" spans="1:7" x14ac:dyDescent="0.3">
      <c r="A30" s="4" t="str">
        <f ca="1">UPPER(TEXT(A31,"dddd"))</f>
        <v>LUNES</v>
      </c>
      <c r="B30" s="5" t="str">
        <f t="shared" ref="B30:G30" ca="1" si="2">UPPER(TEXT(B31,"dddd"))</f>
        <v>MARTES</v>
      </c>
      <c r="C30" s="4" t="str">
        <f t="shared" ca="1" si="2"/>
        <v>MIÉRCOLES</v>
      </c>
      <c r="D30" s="5" t="str">
        <f t="shared" ca="1" si="2"/>
        <v>JUEVES</v>
      </c>
      <c r="E30" s="4" t="str">
        <f t="shared" ca="1" si="2"/>
        <v>VIERNES</v>
      </c>
      <c r="F30" s="5" t="str">
        <f t="shared" ca="1" si="2"/>
        <v>SÁBADO</v>
      </c>
      <c r="G30" s="4" t="str">
        <f t="shared" ca="1" si="2"/>
        <v>DOMINGO</v>
      </c>
    </row>
    <row r="31" spans="1:7" ht="21" x14ac:dyDescent="0.3">
      <c r="A31" s="10">
        <f t="array" aca="1" ref="A31:G31" ca="1">Días+1+DATE(Calendario3Año,Calendario3MesOpción,1)-WEEKDAY(DATE(Calendario3Año,Calendario3MesOpción,1),DíaDeLaSemanaOpción)</f>
        <v>45348</v>
      </c>
      <c r="B31" s="10">
        <f ca="1"/>
        <v>45349</v>
      </c>
      <c r="C31" s="10">
        <f ca="1"/>
        <v>45350</v>
      </c>
      <c r="D31" s="10">
        <f ca="1"/>
        <v>45351</v>
      </c>
      <c r="E31" s="10">
        <f ca="1"/>
        <v>45352</v>
      </c>
      <c r="F31" s="10">
        <f ca="1"/>
        <v>45353</v>
      </c>
      <c r="G31" s="11">
        <f ca="1"/>
        <v>45354</v>
      </c>
    </row>
    <row r="32" spans="1:7" x14ac:dyDescent="0.3">
      <c r="A32" s="6"/>
      <c r="B32" s="6"/>
      <c r="C32" s="6"/>
      <c r="D32" s="6"/>
      <c r="E32" s="6"/>
      <c r="F32" s="6"/>
      <c r="G32" s="7"/>
    </row>
    <row r="33" spans="1:7" ht="21" x14ac:dyDescent="0.3">
      <c r="A33" s="10">
        <f t="array" aca="1" ref="A33:G33" ca="1">Días+8+DATE(Calendario3Año,Calendario3MesOpción,1)-WEEKDAY(DATE(Calendario3Año,Calendario3MesOpción,1),DíaDeLaSemanaOpción)</f>
        <v>45355</v>
      </c>
      <c r="B33" s="10">
        <f ca="1"/>
        <v>45356</v>
      </c>
      <c r="C33" s="10">
        <f ca="1"/>
        <v>45357</v>
      </c>
      <c r="D33" s="10">
        <f ca="1"/>
        <v>45358</v>
      </c>
      <c r="E33" s="10">
        <f ca="1"/>
        <v>45359</v>
      </c>
      <c r="F33" s="10">
        <f ca="1"/>
        <v>45360</v>
      </c>
      <c r="G33" s="11">
        <f ca="1"/>
        <v>45361</v>
      </c>
    </row>
    <row r="34" spans="1:7" x14ac:dyDescent="0.3">
      <c r="A34" s="6"/>
      <c r="B34" s="6"/>
      <c r="C34" s="6"/>
      <c r="D34" s="6"/>
      <c r="E34" s="6"/>
      <c r="F34" s="6"/>
      <c r="G34" s="7"/>
    </row>
    <row r="35" spans="1:7" ht="21" x14ac:dyDescent="0.3">
      <c r="A35" s="10">
        <f t="array" aca="1" ref="A35:G35" ca="1">Días+15+DATE(Calendario3Año,Calendario3MesOpción,1)-WEEKDAY(DATE(Calendario3Año,Calendario3MesOpción,1),DíaDeLaSemanaOpción)</f>
        <v>45362</v>
      </c>
      <c r="B35" s="10">
        <f ca="1"/>
        <v>45363</v>
      </c>
      <c r="C35" s="10">
        <f ca="1"/>
        <v>45364</v>
      </c>
      <c r="D35" s="10">
        <f ca="1"/>
        <v>45365</v>
      </c>
      <c r="E35" s="10">
        <f ca="1"/>
        <v>45366</v>
      </c>
      <c r="F35" s="10">
        <f ca="1"/>
        <v>45367</v>
      </c>
      <c r="G35" s="11">
        <f ca="1"/>
        <v>45368</v>
      </c>
    </row>
    <row r="36" spans="1:7" x14ac:dyDescent="0.3">
      <c r="A36" s="6"/>
      <c r="B36" s="6"/>
      <c r="C36" s="6"/>
      <c r="D36" s="6"/>
      <c r="E36" s="6"/>
      <c r="F36" s="6"/>
      <c r="G36" s="7"/>
    </row>
    <row r="37" spans="1:7" ht="21" x14ac:dyDescent="0.3">
      <c r="A37" s="10">
        <f t="array" aca="1" ref="A37:G37" ca="1">Días+22+DATE(Calendario3Año,Calendario3MesOpción,1)-WEEKDAY(DATE(Calendario3Año,Calendario3MesOpción,1),DíaDeLaSemanaOpción)</f>
        <v>45369</v>
      </c>
      <c r="B37" s="10">
        <f ca="1"/>
        <v>45370</v>
      </c>
      <c r="C37" s="10">
        <f ca="1"/>
        <v>45371</v>
      </c>
      <c r="D37" s="10">
        <f ca="1"/>
        <v>45372</v>
      </c>
      <c r="E37" s="10">
        <f ca="1"/>
        <v>45373</v>
      </c>
      <c r="F37" s="10">
        <f ca="1"/>
        <v>45374</v>
      </c>
      <c r="G37" s="11">
        <f ca="1"/>
        <v>45375</v>
      </c>
    </row>
    <row r="38" spans="1:7" x14ac:dyDescent="0.3">
      <c r="A38" s="6"/>
      <c r="B38" s="6"/>
      <c r="C38" s="6"/>
      <c r="D38" s="6"/>
      <c r="E38" s="6"/>
      <c r="F38" s="6"/>
      <c r="G38" s="7"/>
    </row>
    <row r="39" spans="1:7" ht="21" x14ac:dyDescent="0.3">
      <c r="A39" s="10">
        <f t="array" aca="1" ref="A39:G39" ca="1">Días+29+DATE(Calendario3Año,Calendario3MesOpción,1)-WEEKDAY(DATE(Calendario3Año,Calendario3MesOpción,1),DíaDeLaSemanaOpción)</f>
        <v>45376</v>
      </c>
      <c r="B39" s="10">
        <f ca="1"/>
        <v>45377</v>
      </c>
      <c r="C39" s="10">
        <f ca="1"/>
        <v>45378</v>
      </c>
      <c r="D39" s="10">
        <f ca="1"/>
        <v>45379</v>
      </c>
      <c r="E39" s="10">
        <f ca="1"/>
        <v>45380</v>
      </c>
      <c r="F39" s="10">
        <f ca="1"/>
        <v>45381</v>
      </c>
      <c r="G39" s="11">
        <f ca="1"/>
        <v>45382</v>
      </c>
    </row>
    <row r="40" spans="1:7" x14ac:dyDescent="0.3">
      <c r="A40" s="6"/>
      <c r="B40" s="6"/>
      <c r="C40" s="6"/>
      <c r="D40" s="6"/>
      <c r="E40" s="6"/>
      <c r="F40" s="6"/>
      <c r="G40" s="8"/>
    </row>
    <row r="41" spans="1:7" ht="21" x14ac:dyDescent="0.3">
      <c r="A41" s="10">
        <f t="array" aca="1" ref="A41:B41" ca="1">Días+36+DATE(Calendario3Año,Calendario3MesOpción,1)-WEEKDAY(DATE(Calendario3Año,Calendario3MesOpción,1),DíaDeLaSemanaOpción)</f>
        <v>45383</v>
      </c>
      <c r="B41" s="10">
        <f ca="1"/>
        <v>45384</v>
      </c>
      <c r="C41" s="62" t="s">
        <v>1</v>
      </c>
      <c r="D41" s="62"/>
      <c r="E41" s="62"/>
      <c r="F41" s="62"/>
      <c r="G41" s="62"/>
    </row>
    <row r="42" spans="1:7" x14ac:dyDescent="0.3">
      <c r="A42" s="6"/>
      <c r="B42" s="6"/>
      <c r="C42" s="63"/>
      <c r="D42" s="63"/>
      <c r="E42" s="63"/>
      <c r="F42" s="63"/>
      <c r="G42" s="63"/>
    </row>
    <row r="43" spans="1:7" ht="46.5" x14ac:dyDescent="0.7">
      <c r="A43" s="1">
        <f ca="1">YEAR(DATE(Calendario3Año,Calendario3MesOpción+1,1))</f>
        <v>2024</v>
      </c>
      <c r="B43" s="64" t="str">
        <f ca="1">TEXT(DATE(Calendario3Año,Calendario3MesOpción+1,1),"mmmm")</f>
        <v>abril</v>
      </c>
      <c r="C43" s="64"/>
      <c r="D43" s="64"/>
      <c r="E43" s="2"/>
      <c r="F43" s="2"/>
      <c r="G43" s="2"/>
    </row>
    <row r="44" spans="1:7" x14ac:dyDescent="0.3">
      <c r="A44" s="4" t="str">
        <f ca="1">UPPER(TEXT(A45,"dddd"))</f>
        <v>LUNES</v>
      </c>
      <c r="B44" s="5" t="str">
        <f t="shared" ref="B44:G44" ca="1" si="3">UPPER(TEXT(B45,"dddd"))</f>
        <v>MARTES</v>
      </c>
      <c r="C44" s="4" t="str">
        <f t="shared" ca="1" si="3"/>
        <v>MIÉRCOLES</v>
      </c>
      <c r="D44" s="5" t="str">
        <f t="shared" ca="1" si="3"/>
        <v>JUEVES</v>
      </c>
      <c r="E44" s="4" t="str">
        <f t="shared" ca="1" si="3"/>
        <v>VIERNES</v>
      </c>
      <c r="F44" s="5" t="str">
        <f t="shared" ca="1" si="3"/>
        <v>SÁBADO</v>
      </c>
      <c r="G44" s="4" t="str">
        <f t="shared" ca="1" si="3"/>
        <v>DOMINGO</v>
      </c>
    </row>
    <row r="45" spans="1:7" ht="21" x14ac:dyDescent="0.3">
      <c r="A45" s="10">
        <f t="array" aca="1" ref="A45:G45" ca="1">Días+1+DATE(Calendario4Año,Calendario4MesOpción,1)-WEEKDAY(DATE(Calendario4Año,Calendario4MesOpción,1),DíaDeLaSemanaOpción)</f>
        <v>45383</v>
      </c>
      <c r="B45" s="10">
        <f ca="1"/>
        <v>45384</v>
      </c>
      <c r="C45" s="10">
        <f ca="1"/>
        <v>45385</v>
      </c>
      <c r="D45" s="10">
        <f ca="1"/>
        <v>45386</v>
      </c>
      <c r="E45" s="10">
        <f ca="1"/>
        <v>45387</v>
      </c>
      <c r="F45" s="10">
        <f ca="1"/>
        <v>45388</v>
      </c>
      <c r="G45" s="11">
        <f ca="1"/>
        <v>45389</v>
      </c>
    </row>
    <row r="46" spans="1:7" x14ac:dyDescent="0.3">
      <c r="A46" s="6"/>
      <c r="B46" s="6"/>
      <c r="C46" s="6"/>
      <c r="D46" s="6"/>
      <c r="E46" s="6"/>
      <c r="F46" s="6"/>
      <c r="G46" s="7"/>
    </row>
    <row r="47" spans="1:7" ht="21" x14ac:dyDescent="0.3">
      <c r="A47" s="10">
        <f t="array" aca="1" ref="A47:G47" ca="1">Días+8+DATE(Calendario4Año,Calendario4MesOpción,1)-WEEKDAY(DATE(Calendario4Año,Calendario4MesOpción,1),DíaDeLaSemanaOpción)</f>
        <v>45390</v>
      </c>
      <c r="B47" s="10">
        <f ca="1"/>
        <v>45391</v>
      </c>
      <c r="C47" s="10">
        <f ca="1"/>
        <v>45392</v>
      </c>
      <c r="D47" s="10">
        <f ca="1"/>
        <v>45393</v>
      </c>
      <c r="E47" s="10">
        <f ca="1"/>
        <v>45394</v>
      </c>
      <c r="F47" s="10">
        <f ca="1"/>
        <v>45395</v>
      </c>
      <c r="G47" s="11">
        <f ca="1"/>
        <v>45396</v>
      </c>
    </row>
    <row r="48" spans="1:7" x14ac:dyDescent="0.3">
      <c r="A48" s="6"/>
      <c r="B48" s="6"/>
      <c r="C48" s="6"/>
      <c r="D48" s="6"/>
      <c r="E48" s="6"/>
      <c r="F48" s="6"/>
      <c r="G48" s="7"/>
    </row>
    <row r="49" spans="1:7" ht="21" x14ac:dyDescent="0.3">
      <c r="A49" s="10">
        <f t="array" aca="1" ref="A49:G49" ca="1">Días+15+DATE(Calendario4Año,Calendario4MesOpción,1)-WEEKDAY(DATE(Calendario4Año,Calendario4MesOpción,1),DíaDeLaSemanaOpción)</f>
        <v>45397</v>
      </c>
      <c r="B49" s="10">
        <f ca="1"/>
        <v>45398</v>
      </c>
      <c r="C49" s="10">
        <f ca="1"/>
        <v>45399</v>
      </c>
      <c r="D49" s="10">
        <f ca="1"/>
        <v>45400</v>
      </c>
      <c r="E49" s="10">
        <f ca="1"/>
        <v>45401</v>
      </c>
      <c r="F49" s="10">
        <f ca="1"/>
        <v>45402</v>
      </c>
      <c r="G49" s="11">
        <f ca="1"/>
        <v>45403</v>
      </c>
    </row>
    <row r="50" spans="1:7" x14ac:dyDescent="0.3">
      <c r="A50" s="6"/>
      <c r="B50" s="6"/>
      <c r="C50" s="6"/>
      <c r="D50" s="6"/>
      <c r="E50" s="6"/>
      <c r="F50" s="6"/>
      <c r="G50" s="7"/>
    </row>
    <row r="51" spans="1:7" ht="21" x14ac:dyDescent="0.3">
      <c r="A51" s="10">
        <f t="array" aca="1" ref="A51:G51" ca="1">Días+22+DATE(Calendario4Año,Calendario4MesOpción,1)-WEEKDAY(DATE(Calendario4Año,Calendario4MesOpción,1),DíaDeLaSemanaOpción)</f>
        <v>45404</v>
      </c>
      <c r="B51" s="10">
        <f ca="1"/>
        <v>45405</v>
      </c>
      <c r="C51" s="10">
        <f ca="1"/>
        <v>45406</v>
      </c>
      <c r="D51" s="10">
        <f ca="1"/>
        <v>45407</v>
      </c>
      <c r="E51" s="10">
        <f ca="1"/>
        <v>45408</v>
      </c>
      <c r="F51" s="10">
        <f ca="1"/>
        <v>45409</v>
      </c>
      <c r="G51" s="11">
        <f ca="1"/>
        <v>45410</v>
      </c>
    </row>
    <row r="52" spans="1:7" x14ac:dyDescent="0.3">
      <c r="A52" s="6"/>
      <c r="B52" s="6"/>
      <c r="C52" s="6"/>
      <c r="D52" s="6"/>
      <c r="E52" s="6"/>
      <c r="F52" s="6"/>
      <c r="G52" s="7"/>
    </row>
    <row r="53" spans="1:7" ht="21" x14ac:dyDescent="0.3">
      <c r="A53" s="10">
        <f t="array" aca="1" ref="A53:G53" ca="1">Días+29+DATE(Calendario4Año,Calendario4MesOpción,1)-WEEKDAY(DATE(Calendario4Año,Calendario4MesOpción,1),DíaDeLaSemanaOpción)</f>
        <v>45411</v>
      </c>
      <c r="B53" s="10">
        <f ca="1"/>
        <v>45412</v>
      </c>
      <c r="C53" s="10">
        <f ca="1"/>
        <v>45413</v>
      </c>
      <c r="D53" s="10">
        <f ca="1"/>
        <v>45414</v>
      </c>
      <c r="E53" s="10">
        <f ca="1"/>
        <v>45415</v>
      </c>
      <c r="F53" s="10">
        <f ca="1"/>
        <v>45416</v>
      </c>
      <c r="G53" s="11">
        <f ca="1"/>
        <v>45417</v>
      </c>
    </row>
    <row r="54" spans="1:7" x14ac:dyDescent="0.3">
      <c r="A54" s="6"/>
      <c r="B54" s="6"/>
      <c r="C54" s="6"/>
      <c r="D54" s="6"/>
      <c r="E54" s="6"/>
      <c r="F54" s="6"/>
      <c r="G54" s="8"/>
    </row>
    <row r="55" spans="1:7" ht="21" x14ac:dyDescent="0.3">
      <c r="A55" s="10">
        <f t="array" aca="1" ref="A55:B55" ca="1">Días+36+DATE(Calendario4Año,Calendario4MesOpción,1)-WEEKDAY(DATE(Calendario4Año,Calendario4MesOpción,1),DíaDeLaSemanaOpción)</f>
        <v>45418</v>
      </c>
      <c r="B55" s="10">
        <f ca="1"/>
        <v>45419</v>
      </c>
      <c r="C55" s="61" t="s">
        <v>1</v>
      </c>
      <c r="D55" s="62"/>
      <c r="E55" s="62"/>
      <c r="F55" s="62"/>
      <c r="G55" s="62"/>
    </row>
    <row r="56" spans="1:7" x14ac:dyDescent="0.3">
      <c r="A56" s="6"/>
      <c r="B56" s="6"/>
      <c r="C56" s="63"/>
      <c r="D56" s="63"/>
      <c r="E56" s="63"/>
      <c r="F56" s="63"/>
      <c r="G56" s="63"/>
    </row>
    <row r="57" spans="1:7" ht="46.5" x14ac:dyDescent="0.7">
      <c r="A57" s="1">
        <f ca="1">YEAR(DATE(Calendario4Año,Calendario4MesOpción+1,1))</f>
        <v>2024</v>
      </c>
      <c r="B57" s="64" t="str">
        <f ca="1">TEXT(DATE(Calendario4Año,Calendario4MesOpción+1,1),"mmmm")</f>
        <v>mayo</v>
      </c>
      <c r="C57" s="64"/>
      <c r="D57" s="64"/>
      <c r="E57" s="2"/>
      <c r="F57" s="2"/>
      <c r="G57" s="2"/>
    </row>
    <row r="58" spans="1:7" x14ac:dyDescent="0.3">
      <c r="A58" s="4" t="str">
        <f ca="1">UPPER(TEXT(A59,"dddd"))</f>
        <v>LUNES</v>
      </c>
      <c r="B58" s="5" t="str">
        <f t="shared" ref="B58:G58" ca="1" si="4">UPPER(TEXT(B59,"dddd"))</f>
        <v>MARTES</v>
      </c>
      <c r="C58" s="4" t="str">
        <f t="shared" ca="1" si="4"/>
        <v>MIÉRCOLES</v>
      </c>
      <c r="D58" s="5" t="str">
        <f t="shared" ca="1" si="4"/>
        <v>JUEVES</v>
      </c>
      <c r="E58" s="4" t="str">
        <f t="shared" ca="1" si="4"/>
        <v>VIERNES</v>
      </c>
      <c r="F58" s="5" t="str">
        <f t="shared" ca="1" si="4"/>
        <v>SÁBADO</v>
      </c>
      <c r="G58" s="4" t="str">
        <f t="shared" ca="1" si="4"/>
        <v>DOMINGO</v>
      </c>
    </row>
    <row r="59" spans="1:7" ht="21" x14ac:dyDescent="0.3">
      <c r="A59" s="10">
        <f t="array" aca="1" ref="A59:G59" ca="1">Días+1+DATE(Calendario5Año,Calendario5MesOpción,1)-WEEKDAY(DATE(Calendario5Año,Calendario5MesOpción,1),DíaDeLaSemanaOpción)</f>
        <v>45411</v>
      </c>
      <c r="B59" s="10">
        <f ca="1"/>
        <v>45412</v>
      </c>
      <c r="C59" s="10">
        <f ca="1"/>
        <v>45413</v>
      </c>
      <c r="D59" s="10">
        <f ca="1"/>
        <v>45414</v>
      </c>
      <c r="E59" s="10">
        <f ca="1"/>
        <v>45415</v>
      </c>
      <c r="F59" s="10">
        <f ca="1"/>
        <v>45416</v>
      </c>
      <c r="G59" s="11">
        <f ca="1"/>
        <v>45417</v>
      </c>
    </row>
    <row r="60" spans="1:7" x14ac:dyDescent="0.3">
      <c r="A60" s="6"/>
      <c r="B60" s="6"/>
      <c r="C60" s="6"/>
      <c r="D60" s="6"/>
      <c r="E60" s="6"/>
      <c r="F60" s="6"/>
      <c r="G60" s="7"/>
    </row>
    <row r="61" spans="1:7" ht="21" x14ac:dyDescent="0.3">
      <c r="A61" s="10">
        <f t="array" aca="1" ref="A61:G61" ca="1">Días+8+DATE(Calendario5Año,Calendario5MesOpción,1)-WEEKDAY(DATE(Calendario5Año,Calendario5MesOpción,1),DíaDeLaSemanaOpción)</f>
        <v>45418</v>
      </c>
      <c r="B61" s="10">
        <f ca="1"/>
        <v>45419</v>
      </c>
      <c r="C61" s="10">
        <f ca="1"/>
        <v>45420</v>
      </c>
      <c r="D61" s="10">
        <f ca="1"/>
        <v>45421</v>
      </c>
      <c r="E61" s="10">
        <f ca="1"/>
        <v>45422</v>
      </c>
      <c r="F61" s="10">
        <f ca="1"/>
        <v>45423</v>
      </c>
      <c r="G61" s="11">
        <f ca="1"/>
        <v>45424</v>
      </c>
    </row>
    <row r="62" spans="1:7" x14ac:dyDescent="0.3">
      <c r="A62" s="6"/>
      <c r="B62" s="6"/>
      <c r="C62" s="6"/>
      <c r="D62" s="6"/>
      <c r="E62" s="6"/>
      <c r="F62" s="6"/>
      <c r="G62" s="7"/>
    </row>
    <row r="63" spans="1:7" ht="21" x14ac:dyDescent="0.3">
      <c r="A63" s="10">
        <f t="array" aca="1" ref="A63:G63" ca="1">Días+15+DATE(Calendario5Año,Calendario5MesOpción,1)-WEEKDAY(DATE(Calendario5Año,Calendario5MesOpción,1),DíaDeLaSemanaOpción)</f>
        <v>45425</v>
      </c>
      <c r="B63" s="10">
        <f ca="1"/>
        <v>45426</v>
      </c>
      <c r="C63" s="10">
        <f ca="1"/>
        <v>45427</v>
      </c>
      <c r="D63" s="10">
        <f ca="1"/>
        <v>45428</v>
      </c>
      <c r="E63" s="10">
        <f ca="1"/>
        <v>45429</v>
      </c>
      <c r="F63" s="10">
        <f ca="1"/>
        <v>45430</v>
      </c>
      <c r="G63" s="11">
        <f ca="1"/>
        <v>45431</v>
      </c>
    </row>
    <row r="64" spans="1:7" x14ac:dyDescent="0.3">
      <c r="A64" s="6"/>
      <c r="B64" s="6"/>
      <c r="C64" s="6"/>
      <c r="D64" s="6"/>
      <c r="E64" s="6"/>
      <c r="F64" s="6"/>
      <c r="G64" s="7"/>
    </row>
    <row r="65" spans="1:7" ht="21" x14ac:dyDescent="0.3">
      <c r="A65" s="10">
        <f t="array" aca="1" ref="A65:G65" ca="1">Días+22+DATE(Calendario5Año,Calendario5MesOpción,1)-WEEKDAY(DATE(Calendario5Año,Calendario5MesOpción,1),DíaDeLaSemanaOpción)</f>
        <v>45432</v>
      </c>
      <c r="B65" s="10">
        <f ca="1"/>
        <v>45433</v>
      </c>
      <c r="C65" s="10">
        <f ca="1"/>
        <v>45434</v>
      </c>
      <c r="D65" s="10">
        <f ca="1"/>
        <v>45435</v>
      </c>
      <c r="E65" s="10">
        <f ca="1"/>
        <v>45436</v>
      </c>
      <c r="F65" s="10">
        <f ca="1"/>
        <v>45437</v>
      </c>
      <c r="G65" s="11">
        <f ca="1"/>
        <v>45438</v>
      </c>
    </row>
    <row r="66" spans="1:7" x14ac:dyDescent="0.3">
      <c r="A66" s="6"/>
      <c r="B66" s="6"/>
      <c r="C66" s="6"/>
      <c r="D66" s="6"/>
      <c r="E66" s="6"/>
      <c r="F66" s="6"/>
      <c r="G66" s="7"/>
    </row>
    <row r="67" spans="1:7" ht="21" x14ac:dyDescent="0.3">
      <c r="A67" s="10">
        <f t="array" aca="1" ref="A67:G67" ca="1">Días+29+DATE(Calendario5Año,Calendario5MesOpción,1)-WEEKDAY(DATE(Calendario5Año,Calendario5MesOpción,1),DíaDeLaSemanaOpción)</f>
        <v>45439</v>
      </c>
      <c r="B67" s="10">
        <f ca="1"/>
        <v>45440</v>
      </c>
      <c r="C67" s="10">
        <f ca="1"/>
        <v>45441</v>
      </c>
      <c r="D67" s="10">
        <f ca="1"/>
        <v>45442</v>
      </c>
      <c r="E67" s="10">
        <f ca="1"/>
        <v>45443</v>
      </c>
      <c r="F67" s="10">
        <f ca="1"/>
        <v>45444</v>
      </c>
      <c r="G67" s="11">
        <f ca="1"/>
        <v>45445</v>
      </c>
    </row>
    <row r="68" spans="1:7" x14ac:dyDescent="0.3">
      <c r="A68" s="6"/>
      <c r="B68" s="6"/>
      <c r="C68" s="6"/>
      <c r="D68" s="6"/>
      <c r="E68" s="6"/>
      <c r="F68" s="6"/>
      <c r="G68" s="8"/>
    </row>
    <row r="69" spans="1:7" ht="21" x14ac:dyDescent="0.3">
      <c r="A69" s="10">
        <f t="array" aca="1" ref="A69:B69" ca="1">Días+36+DATE(Calendario5Año,Calendario5MesOpción,1)-WEEKDAY(DATE(Calendario5Año,Calendario5MesOpción,1),DíaDeLaSemanaOpción)</f>
        <v>45446</v>
      </c>
      <c r="B69" s="10">
        <f ca="1"/>
        <v>45447</v>
      </c>
      <c r="C69" s="61" t="s">
        <v>1</v>
      </c>
      <c r="D69" s="62"/>
      <c r="E69" s="62"/>
      <c r="F69" s="62"/>
      <c r="G69" s="62"/>
    </row>
    <row r="70" spans="1:7" x14ac:dyDescent="0.3">
      <c r="A70" s="6"/>
      <c r="B70" s="6"/>
      <c r="C70" s="63"/>
      <c r="D70" s="63"/>
      <c r="E70" s="63"/>
      <c r="F70" s="63"/>
      <c r="G70" s="63"/>
    </row>
    <row r="71" spans="1:7" ht="46.5" x14ac:dyDescent="0.7">
      <c r="A71" s="1">
        <f ca="1">YEAR(DATE(Calendario5Año,Calendario5MesOpción+1,1))</f>
        <v>2024</v>
      </c>
      <c r="B71" s="64" t="str">
        <f ca="1">TEXT(DATE(Calendario5Año,Calendario5MesOpción+1,1),"mmmm")</f>
        <v>junio</v>
      </c>
      <c r="C71" s="64"/>
      <c r="D71" s="64"/>
      <c r="E71" s="2"/>
      <c r="F71" s="2"/>
      <c r="G71" s="2"/>
    </row>
    <row r="72" spans="1:7" x14ac:dyDescent="0.3">
      <c r="A72" s="4" t="str">
        <f ca="1">UPPER(TEXT(A73,"dddd"))</f>
        <v>LUNES</v>
      </c>
      <c r="B72" s="5" t="str">
        <f t="shared" ref="B72:G72" ca="1" si="5">UPPER(TEXT(B73,"dddd"))</f>
        <v>MARTES</v>
      </c>
      <c r="C72" s="4" t="str">
        <f t="shared" ca="1" si="5"/>
        <v>MIÉRCOLES</v>
      </c>
      <c r="D72" s="5" t="str">
        <f t="shared" ca="1" si="5"/>
        <v>JUEVES</v>
      </c>
      <c r="E72" s="4" t="str">
        <f t="shared" ca="1" si="5"/>
        <v>VIERNES</v>
      </c>
      <c r="F72" s="5" t="str">
        <f t="shared" ca="1" si="5"/>
        <v>SÁBADO</v>
      </c>
      <c r="G72" s="4" t="str">
        <f t="shared" ca="1" si="5"/>
        <v>DOMINGO</v>
      </c>
    </row>
    <row r="73" spans="1:7" ht="21" x14ac:dyDescent="0.3">
      <c r="A73" s="10">
        <f t="array" aca="1" ref="A73:G73" ca="1">Días+1+DATE(Calendario6Año,Calendario6MesOpción,1)-WEEKDAY(DATE(Calendario6Año,Calendario6MesOpción,1),DíaDeLaSemanaOpción)</f>
        <v>45439</v>
      </c>
      <c r="B73" s="10">
        <f ca="1"/>
        <v>45440</v>
      </c>
      <c r="C73" s="10">
        <f ca="1"/>
        <v>45441</v>
      </c>
      <c r="D73" s="10">
        <f ca="1"/>
        <v>45442</v>
      </c>
      <c r="E73" s="10">
        <f ca="1"/>
        <v>45443</v>
      </c>
      <c r="F73" s="10">
        <f ca="1"/>
        <v>45444</v>
      </c>
      <c r="G73" s="11">
        <f ca="1"/>
        <v>45445</v>
      </c>
    </row>
    <row r="74" spans="1:7" x14ac:dyDescent="0.3">
      <c r="A74" s="6"/>
      <c r="B74" s="6"/>
      <c r="C74" s="6"/>
      <c r="D74" s="6"/>
      <c r="E74" s="6"/>
      <c r="F74" s="6"/>
      <c r="G74" s="7"/>
    </row>
    <row r="75" spans="1:7" ht="21" x14ac:dyDescent="0.3">
      <c r="A75" s="10">
        <f t="array" aca="1" ref="A75:G75" ca="1">Días+8+DATE(Calendario6Año,Calendario6MesOpción,1)-WEEKDAY(DATE(Calendario6Año,Calendario6MesOpción,1),DíaDeLaSemanaOpción)</f>
        <v>45446</v>
      </c>
      <c r="B75" s="10">
        <f ca="1"/>
        <v>45447</v>
      </c>
      <c r="C75" s="10">
        <f ca="1"/>
        <v>45448</v>
      </c>
      <c r="D75" s="10">
        <f ca="1"/>
        <v>45449</v>
      </c>
      <c r="E75" s="10">
        <f ca="1"/>
        <v>45450</v>
      </c>
      <c r="F75" s="10">
        <f ca="1"/>
        <v>45451</v>
      </c>
      <c r="G75" s="11">
        <f ca="1"/>
        <v>45452</v>
      </c>
    </row>
    <row r="76" spans="1:7" x14ac:dyDescent="0.3">
      <c r="A76" s="6"/>
      <c r="B76" s="6"/>
      <c r="C76" s="6"/>
      <c r="D76" s="6"/>
      <c r="E76" s="6"/>
      <c r="F76" s="6"/>
      <c r="G76" s="7"/>
    </row>
    <row r="77" spans="1:7" ht="21" x14ac:dyDescent="0.3">
      <c r="A77" s="10">
        <f t="array" aca="1" ref="A77:G77" ca="1">Días+15+DATE(Calendario6Año,Calendario6MesOpción,1)-WEEKDAY(DATE(Calendario6Año,Calendario6MesOpción,1),DíaDeLaSemanaOpción)</f>
        <v>45453</v>
      </c>
      <c r="B77" s="10">
        <f ca="1"/>
        <v>45454</v>
      </c>
      <c r="C77" s="10">
        <f ca="1"/>
        <v>45455</v>
      </c>
      <c r="D77" s="10">
        <f ca="1"/>
        <v>45456</v>
      </c>
      <c r="E77" s="10">
        <f ca="1"/>
        <v>45457</v>
      </c>
      <c r="F77" s="10">
        <f ca="1"/>
        <v>45458</v>
      </c>
      <c r="G77" s="11">
        <f ca="1"/>
        <v>45459</v>
      </c>
    </row>
    <row r="78" spans="1:7" x14ac:dyDescent="0.3">
      <c r="A78" s="6"/>
      <c r="B78" s="6"/>
      <c r="C78" s="6"/>
      <c r="D78" s="6"/>
      <c r="E78" s="6"/>
      <c r="F78" s="6"/>
      <c r="G78" s="7"/>
    </row>
    <row r="79" spans="1:7" ht="21" x14ac:dyDescent="0.3">
      <c r="A79" s="10">
        <f t="array" aca="1" ref="A79:G79" ca="1">Días+22+DATE(Calendario6Año,Calendario6MesOpción,1)-WEEKDAY(DATE(Calendario6Año,Calendario6MesOpción,1),DíaDeLaSemanaOpción)</f>
        <v>45460</v>
      </c>
      <c r="B79" s="10">
        <f ca="1"/>
        <v>45461</v>
      </c>
      <c r="C79" s="10">
        <f ca="1"/>
        <v>45462</v>
      </c>
      <c r="D79" s="10">
        <f ca="1"/>
        <v>45463</v>
      </c>
      <c r="E79" s="10">
        <f ca="1"/>
        <v>45464</v>
      </c>
      <c r="F79" s="10">
        <f ca="1"/>
        <v>45465</v>
      </c>
      <c r="G79" s="11">
        <f ca="1"/>
        <v>45466</v>
      </c>
    </row>
    <row r="80" spans="1:7" x14ac:dyDescent="0.3">
      <c r="A80" s="6"/>
      <c r="B80" s="6"/>
      <c r="C80" s="6"/>
      <c r="D80" s="6"/>
      <c r="E80" s="6"/>
      <c r="F80" s="6"/>
      <c r="G80" s="7"/>
    </row>
    <row r="81" spans="1:7" ht="21" x14ac:dyDescent="0.3">
      <c r="A81" s="10">
        <f t="array" aca="1" ref="A81:G81" ca="1">Días+29+DATE(Calendario6Año,Calendario6MesOpción,1)-WEEKDAY(DATE(Calendario6Año,Calendario6MesOpción,1),DíaDeLaSemanaOpción)</f>
        <v>45467</v>
      </c>
      <c r="B81" s="10">
        <f ca="1"/>
        <v>45468</v>
      </c>
      <c r="C81" s="10">
        <f ca="1"/>
        <v>45469</v>
      </c>
      <c r="D81" s="10">
        <f ca="1"/>
        <v>45470</v>
      </c>
      <c r="E81" s="10">
        <f ca="1"/>
        <v>45471</v>
      </c>
      <c r="F81" s="10">
        <f ca="1"/>
        <v>45472</v>
      </c>
      <c r="G81" s="11">
        <f ca="1"/>
        <v>45473</v>
      </c>
    </row>
    <row r="82" spans="1:7" x14ac:dyDescent="0.3">
      <c r="A82" s="6"/>
      <c r="B82" s="6"/>
      <c r="C82" s="6"/>
      <c r="D82" s="6"/>
      <c r="E82" s="6"/>
      <c r="F82" s="6"/>
      <c r="G82" s="8"/>
    </row>
    <row r="83" spans="1:7" ht="21" x14ac:dyDescent="0.3">
      <c r="A83" s="10">
        <f t="array" aca="1" ref="A83:B83" ca="1">Días+36+DATE(Calendario6Año,Calendario6MesOpción,1)-WEEKDAY(DATE(Calendario6Año,Calendario6MesOpción,1),DíaDeLaSemanaOpción)</f>
        <v>45474</v>
      </c>
      <c r="B83" s="10">
        <f ca="1"/>
        <v>45475</v>
      </c>
      <c r="C83" s="61" t="s">
        <v>1</v>
      </c>
      <c r="D83" s="62"/>
      <c r="E83" s="62"/>
      <c r="F83" s="62"/>
      <c r="G83" s="62"/>
    </row>
    <row r="84" spans="1:7" x14ac:dyDescent="0.3">
      <c r="A84" s="6"/>
      <c r="B84" s="6"/>
      <c r="C84" s="63"/>
      <c r="D84" s="63"/>
      <c r="E84" s="63"/>
      <c r="F84" s="63"/>
      <c r="G84" s="63"/>
    </row>
    <row r="85" spans="1:7" ht="46.5" x14ac:dyDescent="0.7">
      <c r="A85" s="1">
        <f ca="1">YEAR(DATE(Calendario6Año,Calendario6MesOpción+1,1))</f>
        <v>2024</v>
      </c>
      <c r="B85" s="64" t="str">
        <f ca="1">TEXT(DATE(Calendario6Año,Calendario6MesOpción+1,1),"mmmm")</f>
        <v>julio</v>
      </c>
      <c r="C85" s="64"/>
      <c r="D85" s="64"/>
      <c r="E85" s="2"/>
      <c r="F85" s="2"/>
      <c r="G85" s="2"/>
    </row>
    <row r="86" spans="1:7" x14ac:dyDescent="0.3">
      <c r="A86" s="4" t="str">
        <f ca="1">UPPER(TEXT(A87,"dddd"))</f>
        <v>LUNES</v>
      </c>
      <c r="B86" s="5" t="str">
        <f t="shared" ref="B86:G86" ca="1" si="6">UPPER(TEXT(B87,"dddd"))</f>
        <v>MARTES</v>
      </c>
      <c r="C86" s="4" t="str">
        <f t="shared" ca="1" si="6"/>
        <v>MIÉRCOLES</v>
      </c>
      <c r="D86" s="5" t="str">
        <f t="shared" ca="1" si="6"/>
        <v>JUEVES</v>
      </c>
      <c r="E86" s="4" t="str">
        <f t="shared" ca="1" si="6"/>
        <v>VIERNES</v>
      </c>
      <c r="F86" s="5" t="str">
        <f t="shared" ca="1" si="6"/>
        <v>SÁBADO</v>
      </c>
      <c r="G86" s="4" t="str">
        <f t="shared" ca="1" si="6"/>
        <v>DOMINGO</v>
      </c>
    </row>
    <row r="87" spans="1:7" ht="21" x14ac:dyDescent="0.3">
      <c r="A87" s="10">
        <f t="array" aca="1" ref="A87:G87" ca="1">Días+1+DATE(Calendario7Año,Calendario7MesOpción,1)-WEEKDAY(DATE(Calendario7Año,Calendario7MesOpción,1),DíaDeLaSemanaOpción)</f>
        <v>45474</v>
      </c>
      <c r="B87" s="10">
        <f ca="1"/>
        <v>45475</v>
      </c>
      <c r="C87" s="10">
        <f ca="1"/>
        <v>45476</v>
      </c>
      <c r="D87" s="10">
        <f ca="1"/>
        <v>45477</v>
      </c>
      <c r="E87" s="10">
        <f ca="1"/>
        <v>45478</v>
      </c>
      <c r="F87" s="10">
        <f ca="1"/>
        <v>45479</v>
      </c>
      <c r="G87" s="11">
        <f ca="1"/>
        <v>45480</v>
      </c>
    </row>
    <row r="88" spans="1:7" x14ac:dyDescent="0.3">
      <c r="A88" s="6"/>
      <c r="B88" s="6"/>
      <c r="C88" s="6"/>
      <c r="D88" s="6"/>
      <c r="E88" s="6"/>
      <c r="F88" s="6"/>
      <c r="G88" s="7"/>
    </row>
    <row r="89" spans="1:7" ht="21" x14ac:dyDescent="0.3">
      <c r="A89" s="10">
        <f t="array" aca="1" ref="A89:G89" ca="1">Días+8+DATE(Calendario7Año,Calendario7MesOpción,1)-WEEKDAY(DATE(Calendario7Año,Calendario7MesOpción,1),DíaDeLaSemanaOpción)</f>
        <v>45481</v>
      </c>
      <c r="B89" s="10">
        <f ca="1"/>
        <v>45482</v>
      </c>
      <c r="C89" s="10">
        <f ca="1"/>
        <v>45483</v>
      </c>
      <c r="D89" s="10">
        <f ca="1"/>
        <v>45484</v>
      </c>
      <c r="E89" s="10">
        <f ca="1"/>
        <v>45485</v>
      </c>
      <c r="F89" s="10">
        <f ca="1"/>
        <v>45486</v>
      </c>
      <c r="G89" s="11">
        <f ca="1"/>
        <v>45487</v>
      </c>
    </row>
    <row r="90" spans="1:7" x14ac:dyDescent="0.3">
      <c r="A90" s="6"/>
      <c r="B90" s="6"/>
      <c r="C90" s="6"/>
      <c r="D90" s="6"/>
      <c r="E90" s="6"/>
      <c r="F90" s="6"/>
      <c r="G90" s="7"/>
    </row>
    <row r="91" spans="1:7" ht="21" x14ac:dyDescent="0.3">
      <c r="A91" s="10">
        <f t="array" aca="1" ref="A91:G91" ca="1">Días+15+DATE(Calendario7Año,Calendario7MesOpción,1)-WEEKDAY(DATE(Calendario7Año,Calendario7MesOpción,1),DíaDeLaSemanaOpción)</f>
        <v>45488</v>
      </c>
      <c r="B91" s="10">
        <f ca="1"/>
        <v>45489</v>
      </c>
      <c r="C91" s="10">
        <f ca="1"/>
        <v>45490</v>
      </c>
      <c r="D91" s="10">
        <f ca="1"/>
        <v>45491</v>
      </c>
      <c r="E91" s="10">
        <f ca="1"/>
        <v>45492</v>
      </c>
      <c r="F91" s="10">
        <f ca="1"/>
        <v>45493</v>
      </c>
      <c r="G91" s="11">
        <f ca="1"/>
        <v>45494</v>
      </c>
    </row>
    <row r="92" spans="1:7" x14ac:dyDescent="0.3">
      <c r="A92" s="6"/>
      <c r="B92" s="6"/>
      <c r="C92" s="6"/>
      <c r="D92" s="6"/>
      <c r="E92" s="6"/>
      <c r="F92" s="6"/>
      <c r="G92" s="7"/>
    </row>
    <row r="93" spans="1:7" ht="21" x14ac:dyDescent="0.3">
      <c r="A93" s="10">
        <f t="array" aca="1" ref="A93:G93" ca="1">Días+22+DATE(Calendario7Año,Calendario7MesOpción,1)-WEEKDAY(DATE(Calendario7Año,Calendario7MesOpción,1),DíaDeLaSemanaOpción)</f>
        <v>45495</v>
      </c>
      <c r="B93" s="10">
        <f ca="1"/>
        <v>45496</v>
      </c>
      <c r="C93" s="10">
        <f ca="1"/>
        <v>45497</v>
      </c>
      <c r="D93" s="10">
        <f ca="1"/>
        <v>45498</v>
      </c>
      <c r="E93" s="10">
        <f ca="1"/>
        <v>45499</v>
      </c>
      <c r="F93" s="10">
        <f ca="1"/>
        <v>45500</v>
      </c>
      <c r="G93" s="11">
        <f ca="1"/>
        <v>45501</v>
      </c>
    </row>
    <row r="94" spans="1:7" x14ac:dyDescent="0.3">
      <c r="A94" s="6"/>
      <c r="B94" s="6"/>
      <c r="C94" s="6"/>
      <c r="D94" s="6"/>
      <c r="E94" s="6"/>
      <c r="F94" s="6"/>
      <c r="G94" s="7"/>
    </row>
    <row r="95" spans="1:7" ht="21" x14ac:dyDescent="0.3">
      <c r="A95" s="10">
        <f t="array" aca="1" ref="A95:G95" ca="1">Días+29+DATE(Calendario7Año,Calendario7MesOpción,1)-WEEKDAY(DATE(Calendario7Año,Calendario7MesOpción,1),DíaDeLaSemanaOpción)</f>
        <v>45502</v>
      </c>
      <c r="B95" s="10">
        <f ca="1"/>
        <v>45503</v>
      </c>
      <c r="C95" s="10">
        <f ca="1"/>
        <v>45504</v>
      </c>
      <c r="D95" s="10">
        <f ca="1"/>
        <v>45505</v>
      </c>
      <c r="E95" s="10">
        <f ca="1"/>
        <v>45506</v>
      </c>
      <c r="F95" s="10">
        <f ca="1"/>
        <v>45507</v>
      </c>
      <c r="G95" s="11">
        <f ca="1"/>
        <v>45508</v>
      </c>
    </row>
    <row r="96" spans="1:7" x14ac:dyDescent="0.3">
      <c r="A96" s="6"/>
      <c r="B96" s="6"/>
      <c r="C96" s="6"/>
      <c r="D96" s="6"/>
      <c r="E96" s="6"/>
      <c r="F96" s="6"/>
      <c r="G96" s="8"/>
    </row>
    <row r="97" spans="1:7" ht="21" x14ac:dyDescent="0.3">
      <c r="A97" s="10">
        <f t="array" aca="1" ref="A97:B97" ca="1">Días+36+DATE(Calendario7Año,Calendario7MesOpción,1)-WEEKDAY(DATE(Calendario7Año,Calendario7MesOpción,1),DíaDeLaSemanaOpción)</f>
        <v>45509</v>
      </c>
      <c r="B97" s="10">
        <f ca="1"/>
        <v>45510</v>
      </c>
      <c r="C97" s="61" t="s">
        <v>1</v>
      </c>
      <c r="D97" s="62"/>
      <c r="E97" s="62"/>
      <c r="F97" s="62"/>
      <c r="G97" s="62"/>
    </row>
    <row r="98" spans="1:7" x14ac:dyDescent="0.3">
      <c r="A98" s="6"/>
      <c r="B98" s="6"/>
      <c r="C98" s="63"/>
      <c r="D98" s="63"/>
      <c r="E98" s="63"/>
      <c r="F98" s="63"/>
      <c r="G98" s="63"/>
    </row>
    <row r="99" spans="1:7" ht="46.5" x14ac:dyDescent="0.7">
      <c r="A99" s="1">
        <f ca="1">YEAR(DATE(Calendario7Año,Calendario7MesOpción+1,1))</f>
        <v>2024</v>
      </c>
      <c r="B99" s="64" t="str">
        <f ca="1">TEXT(DATE(Calendario7Año,Calendario7MesOpción+1,1),"mmmm")</f>
        <v>agosto</v>
      </c>
      <c r="C99" s="64"/>
      <c r="D99" s="64"/>
      <c r="E99" s="2"/>
      <c r="F99" s="2"/>
      <c r="G99" s="2"/>
    </row>
    <row r="100" spans="1:7" x14ac:dyDescent="0.3">
      <c r="A100" s="4" t="str">
        <f ca="1">UPPER(TEXT(A101,"dddd"))</f>
        <v>LUNES</v>
      </c>
      <c r="B100" s="5" t="str">
        <f t="shared" ref="B100:G100" ca="1" si="7">UPPER(TEXT(B101,"dddd"))</f>
        <v>MARTES</v>
      </c>
      <c r="C100" s="4" t="str">
        <f t="shared" ca="1" si="7"/>
        <v>MIÉRCOLES</v>
      </c>
      <c r="D100" s="5" t="str">
        <f t="shared" ca="1" si="7"/>
        <v>JUEVES</v>
      </c>
      <c r="E100" s="4" t="str">
        <f t="shared" ca="1" si="7"/>
        <v>VIERNES</v>
      </c>
      <c r="F100" s="5" t="str">
        <f t="shared" ca="1" si="7"/>
        <v>SÁBADO</v>
      </c>
      <c r="G100" s="4" t="str">
        <f t="shared" ca="1" si="7"/>
        <v>DOMINGO</v>
      </c>
    </row>
    <row r="101" spans="1:7" ht="21" x14ac:dyDescent="0.3">
      <c r="A101" s="10">
        <f t="array" aca="1" ref="A101:G101" ca="1">Días+1+DATE(Calendario8Año,Calendario8MesOpción,1)-WEEKDAY(DATE(Calendario8Año,Calendario8MesOpción,1),DíaDeLaSemanaOpción)</f>
        <v>45502</v>
      </c>
      <c r="B101" s="10">
        <f ca="1"/>
        <v>45503</v>
      </c>
      <c r="C101" s="10">
        <f ca="1"/>
        <v>45504</v>
      </c>
      <c r="D101" s="10">
        <f ca="1"/>
        <v>45505</v>
      </c>
      <c r="E101" s="10">
        <f ca="1"/>
        <v>45506</v>
      </c>
      <c r="F101" s="10">
        <f ca="1"/>
        <v>45507</v>
      </c>
      <c r="G101" s="11">
        <f ca="1"/>
        <v>45508</v>
      </c>
    </row>
    <row r="102" spans="1:7" x14ac:dyDescent="0.3">
      <c r="A102" s="6"/>
      <c r="B102" s="6"/>
      <c r="C102" s="6"/>
      <c r="D102" s="6"/>
      <c r="E102" s="6"/>
      <c r="F102" s="6"/>
      <c r="G102" s="7"/>
    </row>
    <row r="103" spans="1:7" ht="21" x14ac:dyDescent="0.3">
      <c r="A103" s="10">
        <f t="array" aca="1" ref="A103:G103" ca="1">Días+8+DATE(Calendario8Año,Calendario8MesOpción,1)-WEEKDAY(DATE(Calendario8Año,Calendario8MesOpción,1),DíaDeLaSemanaOpción)</f>
        <v>45509</v>
      </c>
      <c r="B103" s="10">
        <f ca="1"/>
        <v>45510</v>
      </c>
      <c r="C103" s="10">
        <f ca="1"/>
        <v>45511</v>
      </c>
      <c r="D103" s="10">
        <f ca="1"/>
        <v>45512</v>
      </c>
      <c r="E103" s="10">
        <f ca="1"/>
        <v>45513</v>
      </c>
      <c r="F103" s="10">
        <f ca="1"/>
        <v>45514</v>
      </c>
      <c r="G103" s="11">
        <f ca="1"/>
        <v>45515</v>
      </c>
    </row>
    <row r="104" spans="1:7" x14ac:dyDescent="0.3">
      <c r="A104" s="6"/>
      <c r="B104" s="6"/>
      <c r="C104" s="6"/>
      <c r="D104" s="6"/>
      <c r="E104" s="6"/>
      <c r="F104" s="6"/>
      <c r="G104" s="7"/>
    </row>
    <row r="105" spans="1:7" ht="21" x14ac:dyDescent="0.3">
      <c r="A105" s="10">
        <f t="array" aca="1" ref="A105:G105" ca="1">Días+15+DATE(Calendario8Año,Calendario8MesOpción,1)-WEEKDAY(DATE(Calendario8Año,Calendario8MesOpción,1),DíaDeLaSemanaOpción)</f>
        <v>45516</v>
      </c>
      <c r="B105" s="10">
        <f ca="1"/>
        <v>45517</v>
      </c>
      <c r="C105" s="10">
        <f ca="1"/>
        <v>45518</v>
      </c>
      <c r="D105" s="10">
        <f ca="1"/>
        <v>45519</v>
      </c>
      <c r="E105" s="10">
        <f ca="1"/>
        <v>45520</v>
      </c>
      <c r="F105" s="10">
        <f ca="1"/>
        <v>45521</v>
      </c>
      <c r="G105" s="11">
        <f ca="1"/>
        <v>45522</v>
      </c>
    </row>
    <row r="106" spans="1:7" x14ac:dyDescent="0.3">
      <c r="A106" s="6"/>
      <c r="B106" s="6"/>
      <c r="C106" s="6"/>
      <c r="D106" s="6"/>
      <c r="E106" s="6"/>
      <c r="F106" s="6"/>
      <c r="G106" s="7"/>
    </row>
    <row r="107" spans="1:7" ht="21" x14ac:dyDescent="0.3">
      <c r="A107" s="10">
        <f t="array" aca="1" ref="A107:G107" ca="1">Días+22+DATE(Calendario8Año,Calendario8MesOpción,1)-WEEKDAY(DATE(Calendario8Año,Calendario8MesOpción,1),DíaDeLaSemanaOpción)</f>
        <v>45523</v>
      </c>
      <c r="B107" s="10">
        <f ca="1"/>
        <v>45524</v>
      </c>
      <c r="C107" s="10">
        <f ca="1"/>
        <v>45525</v>
      </c>
      <c r="D107" s="10">
        <f ca="1"/>
        <v>45526</v>
      </c>
      <c r="E107" s="10">
        <f ca="1"/>
        <v>45527</v>
      </c>
      <c r="F107" s="10">
        <f ca="1"/>
        <v>45528</v>
      </c>
      <c r="G107" s="11">
        <f ca="1"/>
        <v>45529</v>
      </c>
    </row>
    <row r="108" spans="1:7" x14ac:dyDescent="0.3">
      <c r="A108" s="6"/>
      <c r="B108" s="6"/>
      <c r="C108" s="6"/>
      <c r="D108" s="6"/>
      <c r="E108" s="6"/>
      <c r="F108" s="6"/>
      <c r="G108" s="7"/>
    </row>
    <row r="109" spans="1:7" ht="21" x14ac:dyDescent="0.3">
      <c r="A109" s="10">
        <f t="array" aca="1" ref="A109:G109" ca="1">Días+29+DATE(Calendario8Año,Calendario8MesOpción,1)-WEEKDAY(DATE(Calendario8Año,Calendario8MesOpción,1),DíaDeLaSemanaOpción)</f>
        <v>45530</v>
      </c>
      <c r="B109" s="10">
        <f ca="1"/>
        <v>45531</v>
      </c>
      <c r="C109" s="10">
        <f ca="1"/>
        <v>45532</v>
      </c>
      <c r="D109" s="10">
        <f ca="1"/>
        <v>45533</v>
      </c>
      <c r="E109" s="10">
        <f ca="1"/>
        <v>45534</v>
      </c>
      <c r="F109" s="10">
        <f ca="1"/>
        <v>45535</v>
      </c>
      <c r="G109" s="11">
        <f ca="1"/>
        <v>45536</v>
      </c>
    </row>
    <row r="110" spans="1:7" x14ac:dyDescent="0.3">
      <c r="A110" s="6"/>
      <c r="B110" s="6"/>
      <c r="C110" s="6"/>
      <c r="D110" s="6"/>
      <c r="E110" s="6"/>
      <c r="F110" s="6"/>
      <c r="G110" s="8"/>
    </row>
    <row r="111" spans="1:7" ht="21" x14ac:dyDescent="0.3">
      <c r="A111" s="10">
        <f t="array" aca="1" ref="A111:B111" ca="1">Días+36+DATE(Calendario8Año,Calendario8MesOpción,1)-WEEKDAY(DATE(Calendario8Año,Calendario8MesOpción,1),DíaDeLaSemanaOpción)</f>
        <v>45537</v>
      </c>
      <c r="B111" s="10">
        <f ca="1"/>
        <v>45538</v>
      </c>
      <c r="C111" s="61" t="s">
        <v>1</v>
      </c>
      <c r="D111" s="62"/>
      <c r="E111" s="62"/>
      <c r="F111" s="62"/>
      <c r="G111" s="62"/>
    </row>
    <row r="112" spans="1:7" x14ac:dyDescent="0.3">
      <c r="A112" s="6"/>
      <c r="B112" s="6"/>
      <c r="C112" s="63"/>
      <c r="D112" s="63"/>
      <c r="E112" s="63"/>
      <c r="F112" s="63"/>
      <c r="G112" s="63"/>
    </row>
    <row r="113" spans="1:7" ht="46.5" x14ac:dyDescent="0.7">
      <c r="A113" s="1">
        <f ca="1">YEAR(DATE(Calendario8Año,Calendario8MesOpción+1,1))</f>
        <v>2024</v>
      </c>
      <c r="B113" s="64" t="str">
        <f ca="1">TEXT(DATE(Calendario8Año,Calendario8MesOpción+1,1),"mmmm")</f>
        <v>septiembre</v>
      </c>
      <c r="C113" s="64"/>
      <c r="D113" s="64"/>
      <c r="E113" s="2"/>
      <c r="F113" s="2"/>
      <c r="G113" s="2"/>
    </row>
    <row r="114" spans="1:7" x14ac:dyDescent="0.3">
      <c r="A114" s="4" t="str">
        <f ca="1">UPPER(TEXT(A115,"dddd"))</f>
        <v>LUNES</v>
      </c>
      <c r="B114" s="5" t="str">
        <f t="shared" ref="B114:G114" ca="1" si="8">UPPER(TEXT(B115,"dddd"))</f>
        <v>MARTES</v>
      </c>
      <c r="C114" s="4" t="str">
        <f t="shared" ca="1" si="8"/>
        <v>MIÉRCOLES</v>
      </c>
      <c r="D114" s="5" t="str">
        <f t="shared" ca="1" si="8"/>
        <v>JUEVES</v>
      </c>
      <c r="E114" s="4" t="str">
        <f t="shared" ca="1" si="8"/>
        <v>VIERNES</v>
      </c>
      <c r="F114" s="5" t="str">
        <f t="shared" ca="1" si="8"/>
        <v>SÁBADO</v>
      </c>
      <c r="G114" s="4" t="str">
        <f t="shared" ca="1" si="8"/>
        <v>DOMINGO</v>
      </c>
    </row>
    <row r="115" spans="1:7" ht="21" x14ac:dyDescent="0.3">
      <c r="A115" s="10">
        <f t="array" aca="1" ref="A115:G115" ca="1">Días+1+DATE(Calendario9Año,Calendario9MesOpción,1)-WEEKDAY(DATE(Calendario9Año,Calendario9MesOpción,1),DíaDeLaSemanaOpción)</f>
        <v>45530</v>
      </c>
      <c r="B115" s="10">
        <f ca="1"/>
        <v>45531</v>
      </c>
      <c r="C115" s="10">
        <f ca="1"/>
        <v>45532</v>
      </c>
      <c r="D115" s="10">
        <f ca="1"/>
        <v>45533</v>
      </c>
      <c r="E115" s="10">
        <f ca="1"/>
        <v>45534</v>
      </c>
      <c r="F115" s="10">
        <f ca="1"/>
        <v>45535</v>
      </c>
      <c r="G115" s="11">
        <f ca="1"/>
        <v>45536</v>
      </c>
    </row>
    <row r="116" spans="1:7" x14ac:dyDescent="0.3">
      <c r="A116" s="6"/>
      <c r="B116" s="6"/>
      <c r="C116" s="6"/>
      <c r="D116" s="6"/>
      <c r="E116" s="6"/>
      <c r="F116" s="6"/>
      <c r="G116" s="7"/>
    </row>
    <row r="117" spans="1:7" ht="21" x14ac:dyDescent="0.3">
      <c r="A117" s="10">
        <f t="array" aca="1" ref="A117:G117" ca="1">Días+8+DATE(Calendario9Año,Calendario9MesOpción,1)-WEEKDAY(DATE(Calendario9Año,Calendario9MesOpción,1),DíaDeLaSemanaOpción)</f>
        <v>45537</v>
      </c>
      <c r="B117" s="10">
        <f ca="1"/>
        <v>45538</v>
      </c>
      <c r="C117" s="10">
        <f ca="1"/>
        <v>45539</v>
      </c>
      <c r="D117" s="10">
        <f ca="1"/>
        <v>45540</v>
      </c>
      <c r="E117" s="10">
        <f ca="1"/>
        <v>45541</v>
      </c>
      <c r="F117" s="10">
        <f ca="1"/>
        <v>45542</v>
      </c>
      <c r="G117" s="11">
        <f ca="1"/>
        <v>45543</v>
      </c>
    </row>
    <row r="118" spans="1:7" x14ac:dyDescent="0.3">
      <c r="A118" s="6"/>
      <c r="B118" s="6"/>
      <c r="C118" s="6"/>
      <c r="D118" s="6"/>
      <c r="E118" s="6"/>
      <c r="F118" s="6"/>
      <c r="G118" s="7"/>
    </row>
    <row r="119" spans="1:7" ht="21" x14ac:dyDescent="0.3">
      <c r="A119" s="10">
        <f t="array" aca="1" ref="A119:G119" ca="1">Días+15+DATE(Calendario9Año,Calendario9MesOpción,1)-WEEKDAY(DATE(Calendario9Año,Calendario9MesOpción,1),DíaDeLaSemanaOpción)</f>
        <v>45544</v>
      </c>
      <c r="B119" s="10">
        <f ca="1"/>
        <v>45545</v>
      </c>
      <c r="C119" s="10">
        <f ca="1"/>
        <v>45546</v>
      </c>
      <c r="D119" s="10">
        <f ca="1"/>
        <v>45547</v>
      </c>
      <c r="E119" s="10">
        <f ca="1"/>
        <v>45548</v>
      </c>
      <c r="F119" s="10">
        <f ca="1"/>
        <v>45549</v>
      </c>
      <c r="G119" s="11">
        <f ca="1"/>
        <v>45550</v>
      </c>
    </row>
    <row r="120" spans="1:7" x14ac:dyDescent="0.3">
      <c r="A120" s="6"/>
      <c r="B120" s="6"/>
      <c r="C120" s="6"/>
      <c r="D120" s="6"/>
      <c r="E120" s="6"/>
      <c r="F120" s="6"/>
      <c r="G120" s="7"/>
    </row>
    <row r="121" spans="1:7" ht="21" x14ac:dyDescent="0.3">
      <c r="A121" s="10">
        <f t="array" aca="1" ref="A121:G121" ca="1">Días+22+DATE(Calendario9Año,Calendario9MesOpción,1)-WEEKDAY(DATE(Calendario9Año,Calendario9MesOpción,1),DíaDeLaSemanaOpción)</f>
        <v>45551</v>
      </c>
      <c r="B121" s="10">
        <f ca="1"/>
        <v>45552</v>
      </c>
      <c r="C121" s="10">
        <f ca="1"/>
        <v>45553</v>
      </c>
      <c r="D121" s="10">
        <f ca="1"/>
        <v>45554</v>
      </c>
      <c r="E121" s="10">
        <f ca="1"/>
        <v>45555</v>
      </c>
      <c r="F121" s="10">
        <f ca="1"/>
        <v>45556</v>
      </c>
      <c r="G121" s="11">
        <f ca="1"/>
        <v>45557</v>
      </c>
    </row>
    <row r="122" spans="1:7" x14ac:dyDescent="0.3">
      <c r="A122" s="6"/>
      <c r="B122" s="6"/>
      <c r="C122" s="6"/>
      <c r="D122" s="6"/>
      <c r="E122" s="6"/>
      <c r="F122" s="6"/>
      <c r="G122" s="7"/>
    </row>
    <row r="123" spans="1:7" ht="21" x14ac:dyDescent="0.3">
      <c r="A123" s="10">
        <f t="array" aca="1" ref="A123:G123" ca="1">Días+29+DATE(Calendario9Año,Calendario9MesOpción,1)-WEEKDAY(DATE(Calendario9Año,Calendario9MesOpción,1),DíaDeLaSemanaOpción)</f>
        <v>45558</v>
      </c>
      <c r="B123" s="10">
        <f ca="1"/>
        <v>45559</v>
      </c>
      <c r="C123" s="10">
        <f ca="1"/>
        <v>45560</v>
      </c>
      <c r="D123" s="10">
        <f ca="1"/>
        <v>45561</v>
      </c>
      <c r="E123" s="10">
        <f ca="1"/>
        <v>45562</v>
      </c>
      <c r="F123" s="10">
        <f ca="1"/>
        <v>45563</v>
      </c>
      <c r="G123" s="11">
        <f ca="1"/>
        <v>45564</v>
      </c>
    </row>
    <row r="124" spans="1:7" x14ac:dyDescent="0.3">
      <c r="A124" s="6"/>
      <c r="B124" s="6"/>
      <c r="C124" s="6"/>
      <c r="D124" s="6"/>
      <c r="E124" s="6"/>
      <c r="F124" s="6"/>
      <c r="G124" s="8"/>
    </row>
    <row r="125" spans="1:7" ht="21" x14ac:dyDescent="0.3">
      <c r="A125" s="10">
        <f t="array" aca="1" ref="A125:B125" ca="1">Días+36+DATE(Calendario9Año,Calendario9MesOpción,1)-WEEKDAY(DATE(Calendario9Año,Calendario9MesOpción,1),DíaDeLaSemanaOpción)</f>
        <v>45565</v>
      </c>
      <c r="B125" s="10">
        <f ca="1"/>
        <v>45566</v>
      </c>
      <c r="C125" s="61" t="s">
        <v>1</v>
      </c>
      <c r="D125" s="62"/>
      <c r="E125" s="62"/>
      <c r="F125" s="62"/>
      <c r="G125" s="62"/>
    </row>
    <row r="126" spans="1:7" x14ac:dyDescent="0.3">
      <c r="A126" s="6"/>
      <c r="B126" s="6"/>
      <c r="C126" s="63"/>
      <c r="D126" s="63"/>
      <c r="E126" s="63"/>
      <c r="F126" s="63"/>
      <c r="G126" s="63"/>
    </row>
    <row r="127" spans="1:7" ht="46.5" x14ac:dyDescent="0.7">
      <c r="A127" s="12">
        <f ca="1">YEAR(DATE(Calendario9Año,Calendario9MesOpción+1,1))</f>
        <v>2024</v>
      </c>
      <c r="B127" s="64" t="str">
        <f ca="1">TEXT(DATE(Calendario9Año,Calendario9MesOpción+1,1),"mmmm")</f>
        <v>octubre</v>
      </c>
      <c r="C127" s="64"/>
      <c r="D127" s="64"/>
      <c r="E127" s="2"/>
      <c r="F127" s="2"/>
      <c r="G127" s="2"/>
    </row>
    <row r="128" spans="1:7" x14ac:dyDescent="0.3">
      <c r="A128" s="4" t="str">
        <f ca="1">UPPER(TEXT(A129,"dddd"))</f>
        <v>LUNES</v>
      </c>
      <c r="B128" s="5" t="str">
        <f t="shared" ref="B128:G128" ca="1" si="9">UPPER(TEXT(B129,"dddd"))</f>
        <v>MARTES</v>
      </c>
      <c r="C128" s="4" t="str">
        <f t="shared" ca="1" si="9"/>
        <v>MIÉRCOLES</v>
      </c>
      <c r="D128" s="5" t="str">
        <f t="shared" ca="1" si="9"/>
        <v>JUEVES</v>
      </c>
      <c r="E128" s="4" t="str">
        <f t="shared" ca="1" si="9"/>
        <v>VIERNES</v>
      </c>
      <c r="F128" s="5" t="str">
        <f t="shared" ca="1" si="9"/>
        <v>SÁBADO</v>
      </c>
      <c r="G128" s="4" t="str">
        <f t="shared" ca="1" si="9"/>
        <v>DOMINGO</v>
      </c>
    </row>
    <row r="129" spans="1:7" ht="21" x14ac:dyDescent="0.3">
      <c r="A129" s="10">
        <f t="array" aca="1" ref="A129:G129" ca="1">Días+1+DATE(Calendario10Año,Calendario10MesOpción,1)-WEEKDAY(DATE(Calendario10Año,Calendario10MesOpción,1),DíaDeLaSemanaOpción)</f>
        <v>45565</v>
      </c>
      <c r="B129" s="10">
        <f ca="1"/>
        <v>45566</v>
      </c>
      <c r="C129" s="10">
        <f ca="1"/>
        <v>45567</v>
      </c>
      <c r="D129" s="10">
        <f ca="1"/>
        <v>45568</v>
      </c>
      <c r="E129" s="10">
        <f ca="1"/>
        <v>45569</v>
      </c>
      <c r="F129" s="10">
        <f ca="1"/>
        <v>45570</v>
      </c>
      <c r="G129" s="11">
        <f ca="1"/>
        <v>45571</v>
      </c>
    </row>
    <row r="130" spans="1:7" x14ac:dyDescent="0.3">
      <c r="A130" s="6"/>
      <c r="B130" s="6"/>
      <c r="C130" s="6"/>
      <c r="D130" s="6"/>
      <c r="E130" s="6"/>
      <c r="F130" s="6"/>
      <c r="G130" s="7"/>
    </row>
    <row r="131" spans="1:7" ht="21" x14ac:dyDescent="0.3">
      <c r="A131" s="10">
        <f t="array" aca="1" ref="A131:G131" ca="1">Días+8+DATE(Calendario10Año,Calendario10MesOpción,1)-WEEKDAY(DATE(Calendario10Año,Calendario10MesOpción,1),DíaDeLaSemanaOpción)</f>
        <v>45572</v>
      </c>
      <c r="B131" s="10">
        <f ca="1"/>
        <v>45573</v>
      </c>
      <c r="C131" s="10">
        <f ca="1"/>
        <v>45574</v>
      </c>
      <c r="D131" s="10">
        <f ca="1"/>
        <v>45575</v>
      </c>
      <c r="E131" s="10">
        <f ca="1"/>
        <v>45576</v>
      </c>
      <c r="F131" s="10">
        <f ca="1"/>
        <v>45577</v>
      </c>
      <c r="G131" s="11">
        <f ca="1"/>
        <v>45578</v>
      </c>
    </row>
    <row r="132" spans="1:7" x14ac:dyDescent="0.3">
      <c r="A132" s="6"/>
      <c r="B132" s="6"/>
      <c r="C132" s="6"/>
      <c r="D132" s="6"/>
      <c r="E132" s="6"/>
      <c r="F132" s="6"/>
      <c r="G132" s="7"/>
    </row>
    <row r="133" spans="1:7" ht="21" x14ac:dyDescent="0.3">
      <c r="A133" s="10">
        <f t="array" aca="1" ref="A133:G133" ca="1">Días+15+DATE(Calendario10Año,Calendario10MesOpción,1)-WEEKDAY(DATE(Calendario10Año,Calendario10MesOpción,1),DíaDeLaSemanaOpción)</f>
        <v>45579</v>
      </c>
      <c r="B133" s="10">
        <f ca="1"/>
        <v>45580</v>
      </c>
      <c r="C133" s="10">
        <f ca="1"/>
        <v>45581</v>
      </c>
      <c r="D133" s="10">
        <f ca="1"/>
        <v>45582</v>
      </c>
      <c r="E133" s="10">
        <f ca="1"/>
        <v>45583</v>
      </c>
      <c r="F133" s="10">
        <f ca="1"/>
        <v>45584</v>
      </c>
      <c r="G133" s="11">
        <f ca="1"/>
        <v>45585</v>
      </c>
    </row>
    <row r="134" spans="1:7" x14ac:dyDescent="0.3">
      <c r="A134" s="6"/>
      <c r="B134" s="6"/>
      <c r="C134" s="6"/>
      <c r="D134" s="6"/>
      <c r="E134" s="6"/>
      <c r="F134" s="6"/>
      <c r="G134" s="7"/>
    </row>
    <row r="135" spans="1:7" ht="21" x14ac:dyDescent="0.3">
      <c r="A135" s="10">
        <f t="array" aca="1" ref="A135:G135" ca="1">Días+22+DATE(Calendario10Año,Calendario10MesOpción,1)-WEEKDAY(DATE(Calendario10Año,Calendario10MesOpción,1),DíaDeLaSemanaOpción)</f>
        <v>45586</v>
      </c>
      <c r="B135" s="10">
        <f ca="1"/>
        <v>45587</v>
      </c>
      <c r="C135" s="10">
        <f ca="1"/>
        <v>45588</v>
      </c>
      <c r="D135" s="10">
        <f ca="1"/>
        <v>45589</v>
      </c>
      <c r="E135" s="10">
        <f ca="1"/>
        <v>45590</v>
      </c>
      <c r="F135" s="10">
        <f ca="1"/>
        <v>45591</v>
      </c>
      <c r="G135" s="11">
        <f ca="1"/>
        <v>45592</v>
      </c>
    </row>
    <row r="136" spans="1:7" x14ac:dyDescent="0.3">
      <c r="A136" s="6"/>
      <c r="B136" s="6"/>
      <c r="C136" s="6"/>
      <c r="D136" s="6"/>
      <c r="E136" s="6"/>
      <c r="F136" s="6"/>
      <c r="G136" s="7"/>
    </row>
    <row r="137" spans="1:7" ht="21" x14ac:dyDescent="0.3">
      <c r="A137" s="10">
        <f t="array" aca="1" ref="A137:G137" ca="1">Días+29+DATE(Calendario10Año,Calendario10MesOpción,1)-WEEKDAY(DATE(Calendario10Año,Calendario10MesOpción,1),DíaDeLaSemanaOpción)</f>
        <v>45593</v>
      </c>
      <c r="B137" s="10">
        <f ca="1"/>
        <v>45594</v>
      </c>
      <c r="C137" s="10">
        <f ca="1"/>
        <v>45595</v>
      </c>
      <c r="D137" s="10">
        <f ca="1"/>
        <v>45596</v>
      </c>
      <c r="E137" s="10">
        <f ca="1"/>
        <v>45597</v>
      </c>
      <c r="F137" s="10">
        <f ca="1"/>
        <v>45598</v>
      </c>
      <c r="G137" s="11">
        <f ca="1"/>
        <v>45599</v>
      </c>
    </row>
    <row r="138" spans="1:7" x14ac:dyDescent="0.3">
      <c r="A138" s="6"/>
      <c r="B138" s="6"/>
      <c r="C138" s="6"/>
      <c r="D138" s="6"/>
      <c r="E138" s="6"/>
      <c r="F138" s="6"/>
      <c r="G138" s="8"/>
    </row>
    <row r="139" spans="1:7" ht="21" x14ac:dyDescent="0.3">
      <c r="A139" s="10">
        <f t="array" aca="1" ref="A139:B139" ca="1">Días+36+DATE(Calendario10Año,Calendario10MesOpción,1)-WEEKDAY(DATE(Calendario10Año,Calendario10MesOpción,1),DíaDeLaSemanaOpción)</f>
        <v>45600</v>
      </c>
      <c r="B139" s="10">
        <f ca="1"/>
        <v>45601</v>
      </c>
      <c r="C139" s="61" t="s">
        <v>1</v>
      </c>
      <c r="D139" s="62"/>
      <c r="E139" s="62"/>
      <c r="F139" s="62"/>
      <c r="G139" s="62"/>
    </row>
    <row r="140" spans="1:7" x14ac:dyDescent="0.3">
      <c r="A140" s="6"/>
      <c r="B140" s="6"/>
      <c r="C140" s="63"/>
      <c r="D140" s="63"/>
      <c r="E140" s="63"/>
      <c r="F140" s="63"/>
      <c r="G140" s="63"/>
    </row>
    <row r="141" spans="1:7" ht="46.5" x14ac:dyDescent="0.7">
      <c r="A141" s="1">
        <f ca="1">YEAR(DATE(Calendario10Año,Calendario10MesOpción+1,1))</f>
        <v>2024</v>
      </c>
      <c r="B141" s="64" t="str">
        <f ca="1">TEXT(DATE(Calendario10Año,Calendario10MesOpción+1,1),"mmmm")</f>
        <v>noviembre</v>
      </c>
      <c r="C141" s="64"/>
      <c r="D141" s="64"/>
      <c r="E141" s="2"/>
      <c r="F141" s="2"/>
      <c r="G141" s="2"/>
    </row>
    <row r="142" spans="1:7" x14ac:dyDescent="0.3">
      <c r="A142" s="4" t="str">
        <f ca="1">UPPER(TEXT(A143,"dddd"))</f>
        <v>LUNES</v>
      </c>
      <c r="B142" s="5" t="str">
        <f t="shared" ref="B142:G142" ca="1" si="10">UPPER(TEXT(B143,"dddd"))</f>
        <v>MARTES</v>
      </c>
      <c r="C142" s="4" t="str">
        <f t="shared" ca="1" si="10"/>
        <v>MIÉRCOLES</v>
      </c>
      <c r="D142" s="5" t="str">
        <f t="shared" ca="1" si="10"/>
        <v>JUEVES</v>
      </c>
      <c r="E142" s="4" t="str">
        <f t="shared" ca="1" si="10"/>
        <v>VIERNES</v>
      </c>
      <c r="F142" s="5" t="str">
        <f t="shared" ca="1" si="10"/>
        <v>SÁBADO</v>
      </c>
      <c r="G142" s="4" t="str">
        <f t="shared" ca="1" si="10"/>
        <v>DOMINGO</v>
      </c>
    </row>
    <row r="143" spans="1:7" ht="21" x14ac:dyDescent="0.3">
      <c r="A143" s="10">
        <f t="array" aca="1" ref="A143:G143" ca="1">Días+1+DATE(Calendario11Año,Calendario11MesOpción,1)-WEEKDAY(DATE(Calendario11Año,Calendario11MesOpción,1),DíaDeLaSemanaOpción)</f>
        <v>45593</v>
      </c>
      <c r="B143" s="10">
        <f ca="1"/>
        <v>45594</v>
      </c>
      <c r="C143" s="10">
        <f ca="1"/>
        <v>45595</v>
      </c>
      <c r="D143" s="10">
        <f ca="1"/>
        <v>45596</v>
      </c>
      <c r="E143" s="10">
        <f ca="1"/>
        <v>45597</v>
      </c>
      <c r="F143" s="10">
        <f ca="1"/>
        <v>45598</v>
      </c>
      <c r="G143" s="11">
        <f ca="1"/>
        <v>45599</v>
      </c>
    </row>
    <row r="144" spans="1:7" x14ac:dyDescent="0.3">
      <c r="A144" s="6"/>
      <c r="B144" s="6"/>
      <c r="C144" s="6"/>
      <c r="D144" s="6"/>
      <c r="E144" s="6"/>
      <c r="F144" s="6"/>
      <c r="G144" s="7"/>
    </row>
    <row r="145" spans="1:7" ht="21" x14ac:dyDescent="0.3">
      <c r="A145" s="10">
        <f t="array" aca="1" ref="A145:G145" ca="1">Días+8+DATE(Calendario11Año,Calendario11MesOpción,1)-WEEKDAY(DATE(Calendario11Año,Calendario11MesOpción,1),DíaDeLaSemanaOpción)</f>
        <v>45600</v>
      </c>
      <c r="B145" s="10">
        <f ca="1"/>
        <v>45601</v>
      </c>
      <c r="C145" s="10">
        <f ca="1"/>
        <v>45602</v>
      </c>
      <c r="D145" s="10">
        <f ca="1"/>
        <v>45603</v>
      </c>
      <c r="E145" s="10">
        <f ca="1"/>
        <v>45604</v>
      </c>
      <c r="F145" s="10">
        <f ca="1"/>
        <v>45605</v>
      </c>
      <c r="G145" s="11">
        <f ca="1"/>
        <v>45606</v>
      </c>
    </row>
    <row r="146" spans="1:7" x14ac:dyDescent="0.3">
      <c r="A146" s="6"/>
      <c r="B146" s="6"/>
      <c r="C146" s="6"/>
      <c r="D146" s="6"/>
      <c r="E146" s="6"/>
      <c r="F146" s="6"/>
      <c r="G146" s="7"/>
    </row>
    <row r="147" spans="1:7" ht="21" x14ac:dyDescent="0.3">
      <c r="A147" s="10">
        <f t="array" aca="1" ref="A147:G147" ca="1">Días+15+DATE(Calendario11Año,Calendario11MesOpción,1)-WEEKDAY(DATE(Calendario11Año,Calendario11MesOpción,1),DíaDeLaSemanaOpción)</f>
        <v>45607</v>
      </c>
      <c r="B147" s="10">
        <f ca="1"/>
        <v>45608</v>
      </c>
      <c r="C147" s="10">
        <f ca="1"/>
        <v>45609</v>
      </c>
      <c r="D147" s="10">
        <f ca="1"/>
        <v>45610</v>
      </c>
      <c r="E147" s="10">
        <f ca="1"/>
        <v>45611</v>
      </c>
      <c r="F147" s="10">
        <f ca="1"/>
        <v>45612</v>
      </c>
      <c r="G147" s="11">
        <f ca="1"/>
        <v>45613</v>
      </c>
    </row>
    <row r="148" spans="1:7" x14ac:dyDescent="0.3">
      <c r="A148" s="6"/>
      <c r="B148" s="6"/>
      <c r="C148" s="6"/>
      <c r="D148" s="6"/>
      <c r="E148" s="6"/>
      <c r="F148" s="6"/>
      <c r="G148" s="7"/>
    </row>
    <row r="149" spans="1:7" ht="21" x14ac:dyDescent="0.3">
      <c r="A149" s="10">
        <f t="array" aca="1" ref="A149:G149" ca="1">Días+22+DATE(Calendario11Año,Calendario11MesOpción,1)-WEEKDAY(DATE(Calendario11Año,Calendario11MesOpción,1),DíaDeLaSemanaOpción)</f>
        <v>45614</v>
      </c>
      <c r="B149" s="10">
        <f ca="1"/>
        <v>45615</v>
      </c>
      <c r="C149" s="10">
        <f ca="1"/>
        <v>45616</v>
      </c>
      <c r="D149" s="10">
        <f ca="1"/>
        <v>45617</v>
      </c>
      <c r="E149" s="10">
        <f ca="1"/>
        <v>45618</v>
      </c>
      <c r="F149" s="10">
        <f ca="1"/>
        <v>45619</v>
      </c>
      <c r="G149" s="11">
        <f ca="1"/>
        <v>45620</v>
      </c>
    </row>
    <row r="150" spans="1:7" x14ac:dyDescent="0.3">
      <c r="A150" s="6"/>
      <c r="B150" s="6"/>
      <c r="C150" s="6"/>
      <c r="D150" s="6"/>
      <c r="E150" s="6"/>
      <c r="F150" s="6"/>
      <c r="G150" s="7"/>
    </row>
    <row r="151" spans="1:7" ht="21" x14ac:dyDescent="0.3">
      <c r="A151" s="10">
        <f t="array" aca="1" ref="A151:G151" ca="1">Días+29+DATE(Calendario11Año,Calendario11MesOpción,1)-WEEKDAY(DATE(Calendario11Año,Calendario11MesOpción,1),DíaDeLaSemanaOpción)</f>
        <v>45621</v>
      </c>
      <c r="B151" s="10">
        <f ca="1"/>
        <v>45622</v>
      </c>
      <c r="C151" s="10">
        <f ca="1"/>
        <v>45623</v>
      </c>
      <c r="D151" s="10">
        <f ca="1"/>
        <v>45624</v>
      </c>
      <c r="E151" s="10">
        <f ca="1"/>
        <v>45625</v>
      </c>
      <c r="F151" s="10">
        <f ca="1"/>
        <v>45626</v>
      </c>
      <c r="G151" s="11">
        <f ca="1"/>
        <v>45627</v>
      </c>
    </row>
    <row r="152" spans="1:7" x14ac:dyDescent="0.3">
      <c r="A152" s="6"/>
      <c r="B152" s="6"/>
      <c r="C152" s="6"/>
      <c r="D152" s="6"/>
      <c r="E152" s="6"/>
      <c r="F152" s="6"/>
      <c r="G152" s="8"/>
    </row>
    <row r="153" spans="1:7" ht="21" x14ac:dyDescent="0.3">
      <c r="A153" s="10">
        <f t="array" aca="1" ref="A153:B153" ca="1">Días+36+DATE(Calendario11Año,Calendario11MesOpción,1)-WEEKDAY(DATE(Calendario11Año,Calendario11MesOpción,1),DíaDeLaSemanaOpción)</f>
        <v>45628</v>
      </c>
      <c r="B153" s="10">
        <f ca="1"/>
        <v>45629</v>
      </c>
      <c r="C153" s="61" t="s">
        <v>1</v>
      </c>
      <c r="D153" s="62"/>
      <c r="E153" s="62"/>
      <c r="F153" s="62"/>
      <c r="G153" s="62"/>
    </row>
    <row r="154" spans="1:7" x14ac:dyDescent="0.3">
      <c r="A154" s="6"/>
      <c r="B154" s="6"/>
      <c r="C154" s="63"/>
      <c r="D154" s="63"/>
      <c r="E154" s="63"/>
      <c r="F154" s="63"/>
      <c r="G154" s="63"/>
    </row>
    <row r="155" spans="1:7" ht="46.5" x14ac:dyDescent="0.7">
      <c r="A155" s="1">
        <f ca="1">YEAR(DATE(Calendario11Año,Calendario11MesOpción+1,1))</f>
        <v>2024</v>
      </c>
      <c r="B155" s="64" t="str">
        <f ca="1">TEXT(DATE(Calendario11Año,Calendario11MesOpción+1,1),"mmmm")</f>
        <v>diciembre</v>
      </c>
      <c r="C155" s="64"/>
      <c r="D155" s="64"/>
      <c r="E155" s="2"/>
      <c r="F155" s="2"/>
      <c r="G155" s="2"/>
    </row>
    <row r="156" spans="1:7" x14ac:dyDescent="0.3">
      <c r="A156" s="4" t="str">
        <f ca="1">UPPER(TEXT(A157,"dddd"))</f>
        <v>LUNES</v>
      </c>
      <c r="B156" s="5" t="str">
        <f t="shared" ref="B156:G156" ca="1" si="11">UPPER(TEXT(B157,"dddd"))</f>
        <v>MARTES</v>
      </c>
      <c r="C156" s="4" t="str">
        <f t="shared" ca="1" si="11"/>
        <v>MIÉRCOLES</v>
      </c>
      <c r="D156" s="5" t="str">
        <f t="shared" ca="1" si="11"/>
        <v>JUEVES</v>
      </c>
      <c r="E156" s="4" t="str">
        <f t="shared" ca="1" si="11"/>
        <v>VIERNES</v>
      </c>
      <c r="F156" s="5" t="str">
        <f t="shared" ca="1" si="11"/>
        <v>SÁBADO</v>
      </c>
      <c r="G156" s="4" t="str">
        <f t="shared" ca="1" si="11"/>
        <v>DOMINGO</v>
      </c>
    </row>
    <row r="157" spans="1:7" ht="21" x14ac:dyDescent="0.3">
      <c r="A157" s="10">
        <f t="array" aca="1" ref="A157:G157" ca="1">Días+1+DATE(Calendario12Año,Calendario12MesOpción,1)-WEEKDAY(DATE(Calendario12Año,Calendario12MesOpción,1),DíaDeLaSemanaOpción)</f>
        <v>45621</v>
      </c>
      <c r="B157" s="10">
        <f ca="1"/>
        <v>45622</v>
      </c>
      <c r="C157" s="10">
        <f ca="1"/>
        <v>45623</v>
      </c>
      <c r="D157" s="10">
        <f ca="1"/>
        <v>45624</v>
      </c>
      <c r="E157" s="10">
        <f ca="1"/>
        <v>45625</v>
      </c>
      <c r="F157" s="10">
        <f ca="1"/>
        <v>45626</v>
      </c>
      <c r="G157" s="11">
        <f ca="1"/>
        <v>45627</v>
      </c>
    </row>
    <row r="158" spans="1:7" x14ac:dyDescent="0.3">
      <c r="A158" s="6"/>
      <c r="B158" s="6"/>
      <c r="C158" s="6"/>
      <c r="D158" s="6"/>
      <c r="E158" s="6"/>
      <c r="F158" s="6"/>
      <c r="G158" s="7"/>
    </row>
    <row r="159" spans="1:7" ht="21" x14ac:dyDescent="0.3">
      <c r="A159" s="10">
        <f t="array" aca="1" ref="A159:G159" ca="1">Días+8+DATE(Calendario12Año,Calendario12MesOpción,1)-WEEKDAY(DATE(Calendario12Año,Calendario12MesOpción,1),DíaDeLaSemanaOpción)</f>
        <v>45628</v>
      </c>
      <c r="B159" s="10">
        <f ca="1"/>
        <v>45629</v>
      </c>
      <c r="C159" s="10">
        <f ca="1"/>
        <v>45630</v>
      </c>
      <c r="D159" s="10">
        <f ca="1"/>
        <v>45631</v>
      </c>
      <c r="E159" s="10">
        <f ca="1"/>
        <v>45632</v>
      </c>
      <c r="F159" s="10">
        <f ca="1"/>
        <v>45633</v>
      </c>
      <c r="G159" s="11">
        <f ca="1"/>
        <v>45634</v>
      </c>
    </row>
    <row r="160" spans="1:7" x14ac:dyDescent="0.3">
      <c r="A160" s="6"/>
      <c r="B160" s="6"/>
      <c r="C160" s="6"/>
      <c r="D160" s="6"/>
      <c r="E160" s="6"/>
      <c r="F160" s="6"/>
      <c r="G160" s="7"/>
    </row>
    <row r="161" spans="1:7" ht="21" x14ac:dyDescent="0.3">
      <c r="A161" s="10">
        <f t="array" aca="1" ref="A161:G161" ca="1">Días+15+DATE(Calendario12Año,Calendario12MesOpción,1)-WEEKDAY(DATE(Calendario12Año,Calendario12MesOpción,1),DíaDeLaSemanaOpción)</f>
        <v>45635</v>
      </c>
      <c r="B161" s="10">
        <f ca="1"/>
        <v>45636</v>
      </c>
      <c r="C161" s="10">
        <f ca="1"/>
        <v>45637</v>
      </c>
      <c r="D161" s="10">
        <f ca="1"/>
        <v>45638</v>
      </c>
      <c r="E161" s="10">
        <f ca="1"/>
        <v>45639</v>
      </c>
      <c r="F161" s="10">
        <f ca="1"/>
        <v>45640</v>
      </c>
      <c r="G161" s="11">
        <f ca="1"/>
        <v>45641</v>
      </c>
    </row>
    <row r="162" spans="1:7" x14ac:dyDescent="0.3">
      <c r="A162" s="6"/>
      <c r="B162" s="6"/>
      <c r="C162" s="6"/>
      <c r="D162" s="6"/>
      <c r="E162" s="6"/>
      <c r="F162" s="6"/>
      <c r="G162" s="7"/>
    </row>
    <row r="163" spans="1:7" ht="21" x14ac:dyDescent="0.3">
      <c r="A163" s="10">
        <f t="array" aca="1" ref="A163:G163" ca="1">Días+22+DATE(Calendario12Año,Calendario12MesOpción,1)-WEEKDAY(DATE(Calendario12Año,Calendario12MesOpción,1),DíaDeLaSemanaOpción)</f>
        <v>45642</v>
      </c>
      <c r="B163" s="10">
        <f ca="1"/>
        <v>45643</v>
      </c>
      <c r="C163" s="10">
        <f ca="1"/>
        <v>45644</v>
      </c>
      <c r="D163" s="10">
        <f ca="1"/>
        <v>45645</v>
      </c>
      <c r="E163" s="10">
        <f ca="1"/>
        <v>45646</v>
      </c>
      <c r="F163" s="10">
        <f ca="1"/>
        <v>45647</v>
      </c>
      <c r="G163" s="11">
        <f ca="1"/>
        <v>45648</v>
      </c>
    </row>
    <row r="164" spans="1:7" x14ac:dyDescent="0.3">
      <c r="A164" s="6"/>
      <c r="B164" s="6"/>
      <c r="C164" s="6"/>
      <c r="D164" s="6"/>
      <c r="E164" s="6"/>
      <c r="F164" s="6"/>
      <c r="G164" s="7"/>
    </row>
    <row r="165" spans="1:7" ht="21" x14ac:dyDescent="0.3">
      <c r="A165" s="10">
        <f t="array" aca="1" ref="A165:G165" ca="1">Días+29+DATE(Calendario12Año,Calendario12MesOpción,1)-WEEKDAY(DATE(Calendario12Año,Calendario12MesOpción,1),DíaDeLaSemanaOpción)</f>
        <v>45649</v>
      </c>
      <c r="B165" s="10">
        <f ca="1"/>
        <v>45650</v>
      </c>
      <c r="C165" s="10">
        <f ca="1"/>
        <v>45651</v>
      </c>
      <c r="D165" s="10">
        <f ca="1"/>
        <v>45652</v>
      </c>
      <c r="E165" s="10">
        <f ca="1"/>
        <v>45653</v>
      </c>
      <c r="F165" s="10">
        <f ca="1"/>
        <v>45654</v>
      </c>
      <c r="G165" s="11">
        <f ca="1"/>
        <v>45655</v>
      </c>
    </row>
    <row r="166" spans="1:7" x14ac:dyDescent="0.3">
      <c r="A166" s="6"/>
      <c r="B166" s="6"/>
      <c r="C166" s="6"/>
      <c r="D166" s="6"/>
      <c r="E166" s="6"/>
      <c r="F166" s="6"/>
      <c r="G166" s="8"/>
    </row>
    <row r="167" spans="1:7" ht="21" x14ac:dyDescent="0.3">
      <c r="A167" s="10">
        <f t="array" aca="1" ref="A167:B167" ca="1">Días+36+DATE(Calendario12Año,Calendario12MesOpción,1)-WEEKDAY(DATE(Calendario12Año,Calendario12MesOpción,1),DíaDeLaSemanaOpción)</f>
        <v>45656</v>
      </c>
      <c r="B167" s="10">
        <f ca="1"/>
        <v>45657</v>
      </c>
      <c r="C167" s="61" t="s">
        <v>1</v>
      </c>
      <c r="D167" s="62"/>
      <c r="E167" s="62"/>
      <c r="F167" s="62"/>
      <c r="G167" s="62"/>
    </row>
    <row r="168" spans="1:7" x14ac:dyDescent="0.3">
      <c r="A168" s="6"/>
      <c r="B168" s="6"/>
      <c r="C168" s="63"/>
      <c r="D168" s="63"/>
      <c r="E168" s="63"/>
      <c r="F168" s="63"/>
      <c r="G168" s="63"/>
    </row>
  </sheetData>
  <mergeCells count="36">
    <mergeCell ref="B29:D29"/>
    <mergeCell ref="D1:F1"/>
    <mergeCell ref="C13:G13"/>
    <mergeCell ref="C14:G14"/>
    <mergeCell ref="C27:G27"/>
    <mergeCell ref="C28:G28"/>
    <mergeCell ref="D15:F15"/>
    <mergeCell ref="B85:D85"/>
    <mergeCell ref="C41:G41"/>
    <mergeCell ref="C42:G42"/>
    <mergeCell ref="B43:D43"/>
    <mergeCell ref="C55:G55"/>
    <mergeCell ref="C56:G56"/>
    <mergeCell ref="B57:D57"/>
    <mergeCell ref="C69:G69"/>
    <mergeCell ref="C70:G70"/>
    <mergeCell ref="B71:D71"/>
    <mergeCell ref="C83:G83"/>
    <mergeCell ref="C84:G84"/>
    <mergeCell ref="B141:D141"/>
    <mergeCell ref="C97:G97"/>
    <mergeCell ref="C98:G98"/>
    <mergeCell ref="B99:D99"/>
    <mergeCell ref="C111:G111"/>
    <mergeCell ref="C112:G112"/>
    <mergeCell ref="B113:D113"/>
    <mergeCell ref="C125:G125"/>
    <mergeCell ref="C126:G126"/>
    <mergeCell ref="B127:D127"/>
    <mergeCell ref="C139:G139"/>
    <mergeCell ref="C140:G140"/>
    <mergeCell ref="C153:G153"/>
    <mergeCell ref="C154:G154"/>
    <mergeCell ref="B155:D155"/>
    <mergeCell ref="C167:G167"/>
    <mergeCell ref="C168:G168"/>
  </mergeCells>
  <dataValidations count="12">
    <dataValidation allowBlank="1" showInputMessage="1" prompt="Fecha" sqref="A3" xr:uid="{00000000-0002-0000-14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A2" xr:uid="{00000000-0002-0000-14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B1:D1 D15" xr:uid="{00000000-0002-0000-1400-000002000000}">
      <formula1>"enero,febrero,marzo,abril,mayo,junio,julio,agosto,septiembre,octubre,noviembre,diciembre"</formula1>
    </dataValidation>
    <dataValidation allowBlank="1" showInputMessage="1" showErrorMessage="1" prompt="Escriba el año en esta celda" sqref="A1" xr:uid="{00000000-0002-0000-1400-000004000000}"/>
    <dataValidation allowBlank="1" showInputMessage="1" prompt="Día laborable determinado automáticamente. Para cambiar los días laborables, seleccione un nuevo día de inicio de semana en la celda B2." sqref="B2:G2 A16" xr:uid="{00000000-0002-0000-1400-000005000000}"/>
    <dataValidation allowBlank="1" showInputMessage="1" prompt="El año natural se actualiza automáticamente según el año seleccionado en la celda B1" sqref="A15" xr:uid="{00000000-0002-0000-1400-000007000000}"/>
    <dataValidation allowBlank="1" showInputMessage="1" prompt="El mes natural se actualiza automáticamente según el mes seleccionado en la celda C1" sqref="B15:C15" xr:uid="{00000000-0002-0000-1400-000008000000}"/>
    <dataValidation allowBlank="1" showInputMessage="1" prompt="Escriba las notas del mes en la siguiente celda" sqref="C13:G13" xr:uid="{00000000-0002-0000-1400-000009000000}"/>
    <dataValidation allowBlank="1" showInputMessage="1" prompt="Escriba las notas del mes en esta celda" sqref="C14:G14" xr:uid="{00000000-0002-0000-1400-00000A000000}"/>
    <dataValidation allowBlank="1" showInputMessage="1" showErrorMessage="1" prompt="El año natural se actualiza automáticamente según el año seleccionado en la celda B1" sqref="A29 A155 A141 A127 A113 A99 A85 A71 A57 A43" xr:uid="{00000000-0002-0000-1400-00000B000000}"/>
    <dataValidation allowBlank="1" showInputMessage="1" showErrorMessage="1" prompt="El mes natural se actualiza automáticamente según el mes seleccionado en la celda C1" sqref="B141:D141 B155:D155 B127:D127 B113:D113 B99:D99 B85:D85 B71:D71 B57:D57 B43:D43 B29:D29" xr:uid="{00000000-0002-0000-1400-000015000000}"/>
    <dataValidation allowBlank="1" showInputMessage="1" showErrorMessage="1" prompt="Día laborable determinado automáticamente. Para cambiar los días laborables, seleccione un nuevo día de inicio de semana en la celda B2." sqref="B16:G16 A156:G156 A142:G142 A128:G128 A114:G114 A100:G100 A86:G86 A72:G72 A58:G58 A44:G44 A30:G30" xr:uid="{00000000-0002-0000-1400-00001F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B2DBBD6B-3386-4BEF-8C3E-C144326E07A3}">
            <xm:f>MONTH(JoMa!A3)&lt;&gt;Calendario1MesOpción</xm:f>
            <x14:dxf>
              <font>
                <color rgb="FF747474"/>
              </font>
            </x14:dxf>
          </x14:cfRule>
          <xm:sqref>A3:G3 A5:G5 A7:G7 A9:G9 A11:G11 A13:B13</xm:sqref>
        </x14:conditionalFormatting>
        <x14:conditionalFormatting xmlns:xm="http://schemas.microsoft.com/office/excel/2006/main">
          <x14:cfRule type="expression" priority="11" id="{09235093-D084-457D-BE1F-7C03F3DF91BD}">
            <xm:f>MONTH(JoMa!A17)&lt;&gt;Calendario2MesOpción</xm:f>
            <x14:dxf>
              <font>
                <color rgb="FF747474"/>
              </font>
            </x14:dxf>
          </x14:cfRule>
          <xm:sqref>A17:G17 A19:G19 A21:G21 A23:G23 A25:G25 A27:B27</xm:sqref>
        </x14:conditionalFormatting>
        <x14:conditionalFormatting xmlns:xm="http://schemas.microsoft.com/office/excel/2006/main">
          <x14:cfRule type="expression" priority="10" id="{433756E9-C871-424C-AB5D-D34BF7A1784F}">
            <xm:f>MONTH(JoMa!A31)&lt;&gt;Calendario3MesOpción</xm:f>
            <x14:dxf>
              <font>
                <color rgb="FF747474"/>
              </font>
            </x14:dxf>
          </x14:cfRule>
          <xm:sqref>A31:G31 A33:G33 A35:G35 A37:G37 A39:G39 A41:B41</xm:sqref>
        </x14:conditionalFormatting>
        <x14:conditionalFormatting xmlns:xm="http://schemas.microsoft.com/office/excel/2006/main">
          <x14:cfRule type="expression" priority="9" id="{7AEABA21-ED3D-4B9C-B56A-9FCE23FA2992}">
            <xm:f>MONTH(JoMa!A45)&lt;&gt;Calendario4MesOpción</xm:f>
            <x14:dxf>
              <font>
                <color rgb="FF747474"/>
              </font>
            </x14:dxf>
          </x14:cfRule>
          <xm:sqref>A45:G45 A47:G47 A49:G49 A51:G51 A53:G53 A55:B55</xm:sqref>
        </x14:conditionalFormatting>
        <x14:conditionalFormatting xmlns:xm="http://schemas.microsoft.com/office/excel/2006/main">
          <x14:cfRule type="expression" priority="8" id="{17D298B3-DE1D-4C73-B19F-69FC33915E6C}">
            <xm:f>MONTH(JoMa!A59)&lt;&gt;Calendario5MesOpción</xm:f>
            <x14:dxf>
              <font>
                <color rgb="FF747474"/>
              </font>
            </x14:dxf>
          </x14:cfRule>
          <xm:sqref>A59:G59 A61:G61 A63:G63 A65:G65 A67:G67 A69:B69</xm:sqref>
        </x14:conditionalFormatting>
        <x14:conditionalFormatting xmlns:xm="http://schemas.microsoft.com/office/excel/2006/main">
          <x14:cfRule type="expression" priority="7" id="{9A8B215D-5D06-47EB-94F1-E1AB2ECB51A3}">
            <xm:f>MONTH(JoMa!A73)&lt;&gt;Calendario6MesOpción</xm:f>
            <x14:dxf>
              <font>
                <color rgb="FF747474"/>
              </font>
            </x14:dxf>
          </x14:cfRule>
          <xm:sqref>A73:G73 A75:G75 A77:G77 A79:G79 A81:G81 A83:B83</xm:sqref>
        </x14:conditionalFormatting>
        <x14:conditionalFormatting xmlns:xm="http://schemas.microsoft.com/office/excel/2006/main">
          <x14:cfRule type="expression" priority="6" id="{1E601E1E-DACE-48E8-9C42-BC77E82F8797}">
            <xm:f>MONTH(JoMa!A87)&lt;&gt;Calendario7MesOpción</xm:f>
            <x14:dxf>
              <font>
                <color rgb="FF747474"/>
              </font>
            </x14:dxf>
          </x14:cfRule>
          <xm:sqref>A87:G87 A89:G89 A91:G91 A93:G93 A95:G95 A97:B97</xm:sqref>
        </x14:conditionalFormatting>
        <x14:conditionalFormatting xmlns:xm="http://schemas.microsoft.com/office/excel/2006/main">
          <x14:cfRule type="expression" priority="5" id="{3347D2C4-171B-48A9-B63F-8049534202E3}">
            <xm:f>MONTH(JoMa!A101)&lt;&gt;Calendario8MesOpción</xm:f>
            <x14:dxf>
              <font>
                <color rgb="FF747474"/>
              </font>
            </x14:dxf>
          </x14:cfRule>
          <xm:sqref>A101:G101 A103:G103 A105:G105 A107:G107 A109:G109 A111:B111</xm:sqref>
        </x14:conditionalFormatting>
        <x14:conditionalFormatting xmlns:xm="http://schemas.microsoft.com/office/excel/2006/main">
          <x14:cfRule type="expression" priority="4" id="{D63DBB2C-AD46-43C1-8F16-18E288CA7C08}">
            <xm:f>MONTH(JoMa!A115)&lt;&gt;Calendario9MesOpción</xm:f>
            <x14:dxf>
              <font>
                <color rgb="FF747474"/>
              </font>
            </x14:dxf>
          </x14:cfRule>
          <xm:sqref>A115:G115 A117:G117 A119:G119 A121:G121 A123:G123 A125:B125</xm:sqref>
        </x14:conditionalFormatting>
        <x14:conditionalFormatting xmlns:xm="http://schemas.microsoft.com/office/excel/2006/main">
          <x14:cfRule type="expression" priority="3" id="{9D796F65-FC47-4242-AD9E-93F49AEE6464}">
            <xm:f>MONTH(JoMa!A129)&lt;&gt;Calendario10MesOpción</xm:f>
            <x14:dxf>
              <font>
                <color rgb="FF747474"/>
              </font>
            </x14:dxf>
          </x14:cfRule>
          <xm:sqref>A129:G129 A131:G131 A133:G133 A135:G135 A137:G137 A139:B139</xm:sqref>
        </x14:conditionalFormatting>
        <x14:conditionalFormatting xmlns:xm="http://schemas.microsoft.com/office/excel/2006/main">
          <x14:cfRule type="expression" priority="2" id="{DE4BE564-6076-41DF-A1E2-4268C57A5524}">
            <xm:f>MONTH(JoMa!A143)&lt;&gt;Calendario11MesOpción</xm:f>
            <x14:dxf>
              <font>
                <color rgb="FF747474"/>
              </font>
            </x14:dxf>
          </x14:cfRule>
          <xm:sqref>A143:G143 A145:G145 A147:G147 A149:G149 A151:G151 A153:B153</xm:sqref>
        </x14:conditionalFormatting>
        <x14:conditionalFormatting xmlns:xm="http://schemas.microsoft.com/office/excel/2006/main">
          <x14:cfRule type="expression" priority="1" id="{59B32BD9-B359-4708-AE2E-7B246E321456}">
            <xm:f>MONTH(JoMa!A157)&lt;&gt;Calendario12MesOpción</xm:f>
            <x14:dxf>
              <font>
                <color rgb="FF747474"/>
              </font>
            </x14:dxf>
          </x14:cfRule>
          <xm:sqref>A157:G157 A159:G159 A161:G161 A163:G163 A165:G165 A167:B167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CFF"/>
  </sheetPr>
  <dimension ref="A1:J168"/>
  <sheetViews>
    <sheetView topLeftCell="A7" workbookViewId="0">
      <selection activeCell="F22" sqref="F22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0" max="10" width="8.75"/>
  </cols>
  <sheetData>
    <row r="1" spans="1:10" ht="46.5" customHeight="1" x14ac:dyDescent="0.7">
      <c r="A1" s="2"/>
      <c r="B1" s="1">
        <f ca="1">YEAR(TODAY())</f>
        <v>2024</v>
      </c>
      <c r="C1" s="18" t="s">
        <v>2</v>
      </c>
      <c r="D1" s="13"/>
      <c r="E1" s="65" t="s">
        <v>61</v>
      </c>
      <c r="F1" s="65"/>
      <c r="G1" s="65"/>
      <c r="H1" s="19" t="s">
        <v>62</v>
      </c>
      <c r="J1" s="20">
        <v>21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ht="28.5" x14ac:dyDescent="0.3">
      <c r="B4" s="6"/>
      <c r="C4" s="6"/>
      <c r="D4" s="30" t="s">
        <v>63</v>
      </c>
      <c r="E4" s="6"/>
      <c r="F4" s="30" t="s">
        <v>64</v>
      </c>
      <c r="G4" s="6"/>
      <c r="H4" s="7"/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ht="28.5" x14ac:dyDescent="0.3">
      <c r="B6" s="34" t="s">
        <v>63</v>
      </c>
      <c r="C6" s="6"/>
      <c r="D6" s="34" t="s">
        <v>63</v>
      </c>
      <c r="E6" s="6"/>
      <c r="F6" s="36" t="s">
        <v>64</v>
      </c>
      <c r="G6" s="6"/>
      <c r="H6" s="9"/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ht="28.5" x14ac:dyDescent="0.3">
      <c r="B8" s="34" t="s">
        <v>63</v>
      </c>
      <c r="C8" s="6"/>
      <c r="D8" s="34" t="s">
        <v>63</v>
      </c>
      <c r="E8" s="6"/>
      <c r="F8" s="34" t="s">
        <v>64</v>
      </c>
      <c r="G8" s="6"/>
      <c r="H8" s="44" t="s">
        <v>92</v>
      </c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ht="28.5" x14ac:dyDescent="0.3">
      <c r="B10" s="34" t="s">
        <v>63</v>
      </c>
      <c r="C10" s="6"/>
      <c r="D10" s="34" t="s">
        <v>63</v>
      </c>
      <c r="E10" s="6"/>
      <c r="F10" s="34" t="s">
        <v>64</v>
      </c>
      <c r="G10" s="6"/>
      <c r="H10" s="7"/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ht="28.5" x14ac:dyDescent="0.3">
      <c r="B12" s="34" t="s">
        <v>63</v>
      </c>
      <c r="C12" s="6"/>
      <c r="D12" s="34" t="s">
        <v>63</v>
      </c>
      <c r="E12" s="51"/>
      <c r="F12" s="51"/>
      <c r="G12" s="51"/>
      <c r="H12" s="52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51"/>
      <c r="C14" s="51"/>
      <c r="D14" s="68"/>
      <c r="E14" s="68"/>
      <c r="F14" s="68"/>
      <c r="G14" s="68"/>
      <c r="H14" s="68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65" t="s">
        <v>61</v>
      </c>
      <c r="F15" s="65"/>
      <c r="G15" s="65"/>
      <c r="H15" s="19" t="s">
        <v>62</v>
      </c>
      <c r="J15" s="20">
        <v>21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x14ac:dyDescent="0.3">
      <c r="B18" s="51"/>
      <c r="C18" s="51"/>
      <c r="D18" s="51"/>
      <c r="E18" s="6"/>
      <c r="F18" s="6"/>
      <c r="G18" s="6"/>
      <c r="H18" s="7"/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ht="28.5" x14ac:dyDescent="0.3">
      <c r="B20" s="34" t="s">
        <v>63</v>
      </c>
      <c r="C20" s="6"/>
      <c r="D20" s="34" t="s">
        <v>63</v>
      </c>
      <c r="E20" s="6"/>
      <c r="F20" s="6"/>
      <c r="G20" s="6"/>
      <c r="H20" s="7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ht="28.5" x14ac:dyDescent="0.3">
      <c r="B22" s="34" t="s">
        <v>63</v>
      </c>
      <c r="C22" s="6"/>
      <c r="D22" s="34" t="s">
        <v>63</v>
      </c>
      <c r="E22" s="6"/>
      <c r="F22" s="6"/>
      <c r="G22" s="6"/>
      <c r="H22" s="7"/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"/>
      <c r="C24" s="6"/>
      <c r="D24" s="6"/>
      <c r="E24" s="6"/>
      <c r="F24" s="6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6">
    <mergeCell ref="C29:E29"/>
    <mergeCell ref="E1:G1"/>
    <mergeCell ref="D13:H13"/>
    <mergeCell ref="D14:H14"/>
    <mergeCell ref="D27:H27"/>
    <mergeCell ref="D28:H28"/>
    <mergeCell ref="E15:G15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D153:H153"/>
    <mergeCell ref="D154:H154"/>
    <mergeCell ref="C155:E155"/>
    <mergeCell ref="D167:H167"/>
    <mergeCell ref="D168:H168"/>
  </mergeCells>
  <dataValidations count="14">
    <dataValidation allowBlank="1" showInputMessage="1" prompt="Fecha" sqref="B3" xr:uid="{00000000-0002-0000-15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15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 E15" xr:uid="{00000000-0002-0000-15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1500-000004000000}"/>
    <dataValidation allowBlank="1" showInputMessage="1" showErrorMessage="1" prompt="Escriba el año en esta celda" sqref="B1" xr:uid="{00000000-0002-0000-1500-000005000000}"/>
    <dataValidation allowBlank="1" showInputMessage="1" prompt="Día laborable determinado automáticamente. Para cambiar los días laborables, seleccione un nuevo día de inicio de semana en la celda B2." sqref="C2:H2 B16" xr:uid="{00000000-0002-0000-1500-000006000000}"/>
    <dataValidation allowBlank="1" showInputMessage="1" prompt="Escriba aquí las notas del día" sqref="B4" xr:uid="{00000000-0002-0000-1500-000008000000}"/>
    <dataValidation allowBlank="1" showInputMessage="1" prompt="El año natural se actualiza automáticamente según el año seleccionado en la celda B1" sqref="B15" xr:uid="{00000000-0002-0000-1500-000009000000}"/>
    <dataValidation allowBlank="1" showInputMessage="1" prompt="El mes natural se actualiza automáticamente según el mes seleccionado en la celda C1" sqref="C15:D15" xr:uid="{00000000-0002-0000-1500-00000A000000}"/>
    <dataValidation allowBlank="1" showInputMessage="1" prompt="Escriba las notas del mes en la siguiente celda" sqref="D13:H13" xr:uid="{00000000-0002-0000-1500-00000B000000}"/>
    <dataValidation allowBlank="1" showInputMessage="1" prompt="Escriba las notas del mes en esta celda" sqref="D14:H14" xr:uid="{00000000-0002-0000-1500-00000C000000}"/>
    <dataValidation allowBlank="1" showInputMessage="1" showErrorMessage="1" prompt="El año natural se actualiza automáticamente según el año seleccionado en la celda B1" sqref="B29 B155 B141 B127 B113 B99 B85 B71 B57 B43" xr:uid="{00000000-0002-0000-1500-00000D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1500-000017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1500-000021000000}"/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D67EAA67-FC4C-451B-8B03-8C9E6C75D487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43F20CFC-5D3A-492C-AB6A-176105030532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7E870D1A-AA31-4AF6-83F4-267911B19CF1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E2850E1B-0FBC-4BAA-A61E-2E5E580CA65E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6FD79E30-975F-4E2B-8453-4A01E4A605CD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A3E155FA-A676-4223-A530-46BDA2596510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4E23D384-0EF3-44FC-9CCA-468E269758A3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AF2796CE-5DB7-4D60-B1B3-5CE90A0E4736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1AA97E07-0BB2-4B84-9C7C-C9684A769941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20F9AAF7-2C7F-45DE-908C-05310BB22C0F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F3E2CF9E-9999-4B78-87F3-7A7B5D6F3E2C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5DA777A3-58F0-4486-94C8-8BFD7777C026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5" tint="-0.499984740745262"/>
  </sheetPr>
  <dimension ref="A1:J168"/>
  <sheetViews>
    <sheetView topLeftCell="A7" workbookViewId="0">
      <selection activeCell="E22" sqref="E22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</cols>
  <sheetData>
    <row r="1" spans="1:10" ht="46.5" customHeight="1" x14ac:dyDescent="0.7">
      <c r="A1" s="2"/>
      <c r="B1" s="1">
        <f ca="1">YEAR(TODAY())</f>
        <v>2024</v>
      </c>
      <c r="C1" s="18" t="s">
        <v>2</v>
      </c>
      <c r="D1" s="13"/>
      <c r="E1" s="65" t="s">
        <v>112</v>
      </c>
      <c r="F1" s="65"/>
      <c r="G1" s="65"/>
      <c r="H1" s="15" t="s">
        <v>110</v>
      </c>
      <c r="J1" s="20">
        <v>34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x14ac:dyDescent="0.3">
      <c r="B4" s="6"/>
      <c r="D4" s="6"/>
      <c r="E4" s="6"/>
      <c r="F4" s="6"/>
      <c r="G4" s="6"/>
      <c r="H4" s="7"/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x14ac:dyDescent="0.3">
      <c r="B6" s="6"/>
      <c r="D6" s="6"/>
      <c r="E6" s="38" t="s">
        <v>111</v>
      </c>
      <c r="F6" s="6"/>
      <c r="G6" s="6"/>
      <c r="H6" s="9"/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x14ac:dyDescent="0.3">
      <c r="B8" s="6"/>
      <c r="C8" s="6"/>
      <c r="D8" s="6"/>
      <c r="E8" s="38" t="s">
        <v>111</v>
      </c>
      <c r="F8" s="6"/>
      <c r="G8" s="6"/>
      <c r="H8" s="7"/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x14ac:dyDescent="0.3">
      <c r="B10" s="6"/>
      <c r="C10" s="6"/>
      <c r="D10" s="6"/>
      <c r="E10" s="38" t="s">
        <v>111</v>
      </c>
      <c r="F10" s="6"/>
      <c r="G10" s="6"/>
      <c r="H10" s="7"/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x14ac:dyDescent="0.3">
      <c r="B12" s="6"/>
      <c r="C12" s="6"/>
      <c r="D12" s="6"/>
      <c r="E12" s="6"/>
      <c r="F12" s="6"/>
      <c r="G12" s="6"/>
      <c r="H12" s="7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6"/>
      <c r="C14" s="6"/>
      <c r="D14" s="63"/>
      <c r="E14" s="63"/>
      <c r="F14" s="63"/>
      <c r="G14" s="63"/>
      <c r="H14" s="63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65" t="s">
        <v>112</v>
      </c>
      <c r="F15" s="65"/>
      <c r="G15" s="65"/>
      <c r="H15" s="15" t="s">
        <v>110</v>
      </c>
      <c r="J15" s="20">
        <v>34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x14ac:dyDescent="0.3">
      <c r="B18" s="6"/>
      <c r="C18" s="6"/>
      <c r="D18" s="6"/>
      <c r="E18" s="38" t="s">
        <v>111</v>
      </c>
      <c r="F18" s="6"/>
      <c r="G18" s="6"/>
      <c r="H18" s="7"/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x14ac:dyDescent="0.3">
      <c r="B20" s="6"/>
      <c r="C20" s="6"/>
      <c r="D20" s="6"/>
      <c r="E20" s="38" t="s">
        <v>111</v>
      </c>
      <c r="F20" s="6"/>
      <c r="G20" s="6"/>
      <c r="H20" s="7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x14ac:dyDescent="0.3">
      <c r="B22" s="6"/>
      <c r="C22" s="6"/>
      <c r="D22" s="6"/>
      <c r="E22" s="38" t="s">
        <v>111</v>
      </c>
      <c r="F22" s="6"/>
      <c r="G22" s="6"/>
      <c r="H22" s="7"/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"/>
      <c r="C24" s="6"/>
      <c r="D24" s="6"/>
      <c r="E24" s="6"/>
      <c r="F24" s="6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6">
    <mergeCell ref="D153:H153"/>
    <mergeCell ref="D154:H154"/>
    <mergeCell ref="C155:E155"/>
    <mergeCell ref="D167:H167"/>
    <mergeCell ref="D168:H168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29:E29"/>
    <mergeCell ref="E1:G1"/>
    <mergeCell ref="D13:H13"/>
    <mergeCell ref="D14:H14"/>
    <mergeCell ref="D27:H27"/>
    <mergeCell ref="D28:H28"/>
    <mergeCell ref="E15:G15"/>
  </mergeCells>
  <dataValidations count="14">
    <dataValidation allowBlank="1" showInputMessage="1" prompt="Fecha" sqref="B3" xr:uid="{00000000-0002-0000-16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16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 E15" xr:uid="{00000000-0002-0000-16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1600-000004000000}"/>
    <dataValidation allowBlank="1" showInputMessage="1" showErrorMessage="1" prompt="Escriba el año en esta celda" sqref="B1" xr:uid="{00000000-0002-0000-1600-000005000000}"/>
    <dataValidation allowBlank="1" showInputMessage="1" prompt="Día laborable determinado automáticamente. Para cambiar los días laborables, seleccione un nuevo día de inicio de semana en la celda B2." sqref="C2:H2 B16" xr:uid="{00000000-0002-0000-1600-000006000000}"/>
    <dataValidation allowBlank="1" showInputMessage="1" prompt="Escriba aquí las notas del día" sqref="B4" xr:uid="{00000000-0002-0000-1600-000008000000}"/>
    <dataValidation allowBlank="1" showInputMessage="1" prompt="El año natural se actualiza automáticamente según el año seleccionado en la celda B1" sqref="B15" xr:uid="{00000000-0002-0000-1600-000009000000}"/>
    <dataValidation allowBlank="1" showInputMessage="1" prompt="El mes natural se actualiza automáticamente según el mes seleccionado en la celda C1" sqref="C15:D15" xr:uid="{00000000-0002-0000-1600-00000A000000}"/>
    <dataValidation allowBlank="1" showInputMessage="1" prompt="Escriba las notas del mes en la siguiente celda" sqref="D13:H13" xr:uid="{00000000-0002-0000-1600-00000B000000}"/>
    <dataValidation allowBlank="1" showInputMessage="1" prompt="Escriba las notas del mes en esta celda" sqref="D14:H14" xr:uid="{00000000-0002-0000-1600-00000C000000}"/>
    <dataValidation allowBlank="1" showInputMessage="1" showErrorMessage="1" prompt="El año natural se actualiza automáticamente según el año seleccionado en la celda B1" sqref="B29 B155 B141 B127 B113 B99 B85 B71 B57 B43" xr:uid="{00000000-0002-0000-1600-00000D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1600-000017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1600-000021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5DCF7A8F-0FDF-473E-A81F-74503400BC88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EE3A9E54-2572-4F59-BFD1-656D80767B39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F33F96C4-B83A-4D78-9102-6792402EFDFE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8A7D7C99-FA29-4876-9E57-BB50ED83E0C8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B4979D3A-1ECE-4999-BF17-E4161C29A244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34B235B0-CBC0-4DA3-8F4D-D242B1030945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C65259A6-EC73-4D07-B98E-65C652E9D1FE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68811796-0761-4D65-BC4D-8C62AF431589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1937079E-13B7-4401-AC6B-C819333907BB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C0CE13AF-22BB-4E61-93AF-FD72EC305914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B52CCE11-4352-4209-A7ED-EC19CA0E75CE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AFE65876-C46F-46A6-8179-9816CC44C63E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5" tint="-0.499984740745262"/>
  </sheetPr>
  <dimension ref="A1:J168"/>
  <sheetViews>
    <sheetView topLeftCell="A10" workbookViewId="0">
      <selection activeCell="B22" sqref="B22:H22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</cols>
  <sheetData>
    <row r="1" spans="1:10" ht="46.5" customHeight="1" x14ac:dyDescent="0.7">
      <c r="A1" s="2"/>
      <c r="B1" s="1">
        <f ca="1">YEAR(TODAY())</f>
        <v>2024</v>
      </c>
      <c r="C1" s="18" t="s">
        <v>2</v>
      </c>
      <c r="D1" s="13"/>
      <c r="E1" s="65" t="s">
        <v>109</v>
      </c>
      <c r="F1" s="65"/>
      <c r="G1" s="65"/>
      <c r="H1" s="15" t="s">
        <v>110</v>
      </c>
      <c r="J1" s="20">
        <v>35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x14ac:dyDescent="0.3">
      <c r="B4" s="6"/>
      <c r="D4" s="6"/>
      <c r="E4" s="6"/>
      <c r="F4" s="6"/>
      <c r="G4" s="6"/>
      <c r="H4" s="7"/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x14ac:dyDescent="0.3">
      <c r="B6" s="6"/>
      <c r="C6" s="38" t="s">
        <v>111</v>
      </c>
      <c r="D6" s="6"/>
      <c r="E6" s="6"/>
      <c r="F6" s="6"/>
      <c r="G6" s="6"/>
      <c r="H6" s="9"/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x14ac:dyDescent="0.3">
      <c r="B8" s="6"/>
      <c r="C8" s="38" t="s">
        <v>111</v>
      </c>
      <c r="D8" s="6"/>
      <c r="E8" s="6"/>
      <c r="F8" s="6"/>
      <c r="G8" s="6"/>
      <c r="H8" s="7"/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x14ac:dyDescent="0.3">
      <c r="B10" s="6"/>
      <c r="C10" s="38" t="s">
        <v>111</v>
      </c>
      <c r="D10" s="6"/>
      <c r="E10" s="6"/>
      <c r="F10" s="6"/>
      <c r="G10" s="6"/>
      <c r="H10" s="7"/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x14ac:dyDescent="0.3">
      <c r="B12" s="6"/>
      <c r="C12" s="38" t="s">
        <v>111</v>
      </c>
      <c r="D12" s="6"/>
      <c r="E12" s="6"/>
      <c r="F12" s="6"/>
      <c r="G12" s="6"/>
      <c r="H12" s="7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6"/>
      <c r="C14" s="6"/>
      <c r="D14" s="63"/>
      <c r="E14" s="63"/>
      <c r="F14" s="63"/>
      <c r="G14" s="63"/>
      <c r="H14" s="63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65" t="s">
        <v>109</v>
      </c>
      <c r="F15" s="65"/>
      <c r="G15" s="65"/>
      <c r="H15" s="15" t="s">
        <v>110</v>
      </c>
      <c r="J15" s="20">
        <v>35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x14ac:dyDescent="0.3">
      <c r="B18" s="6"/>
      <c r="C18" s="6"/>
      <c r="D18" s="6"/>
      <c r="E18" s="6"/>
      <c r="F18" s="6"/>
      <c r="G18" s="6"/>
      <c r="H18" s="7"/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x14ac:dyDescent="0.3">
      <c r="B20" s="6"/>
      <c r="C20" s="38" t="s">
        <v>111</v>
      </c>
      <c r="D20" s="6"/>
      <c r="E20" s="6"/>
      <c r="F20" s="6"/>
      <c r="G20" s="6"/>
      <c r="H20" s="7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x14ac:dyDescent="0.3">
      <c r="B22" s="67" t="s">
        <v>182</v>
      </c>
      <c r="C22" s="67"/>
      <c r="D22" s="67"/>
      <c r="E22" s="67"/>
      <c r="F22" s="67"/>
      <c r="G22" s="67"/>
      <c r="H22" s="67"/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"/>
      <c r="C24" s="6"/>
      <c r="D24" s="6"/>
      <c r="E24" s="6"/>
      <c r="F24" s="6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7">
    <mergeCell ref="D153:H153"/>
    <mergeCell ref="D154:H154"/>
    <mergeCell ref="C155:E155"/>
    <mergeCell ref="D167:H167"/>
    <mergeCell ref="D168:H168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29:E29"/>
    <mergeCell ref="E1:G1"/>
    <mergeCell ref="D13:H13"/>
    <mergeCell ref="D14:H14"/>
    <mergeCell ref="D27:H27"/>
    <mergeCell ref="D28:H28"/>
    <mergeCell ref="E15:G15"/>
    <mergeCell ref="B22:H22"/>
  </mergeCells>
  <dataValidations count="14">
    <dataValidation allowBlank="1" showInputMessage="1" prompt="Fecha" sqref="B3" xr:uid="{00000000-0002-0000-1700-000000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1700-000001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1700-00000C000000}"/>
    <dataValidation allowBlank="1" showInputMessage="1" showErrorMessage="1" prompt="El año natural se actualiza automáticamente según el año seleccionado en la celda B1" sqref="B29 B155 B141 B127 B113 B99 B85 B71 B57 B43" xr:uid="{00000000-0002-0000-1700-000016000000}"/>
    <dataValidation allowBlank="1" showInputMessage="1" prompt="Escriba las notas del mes en esta celda" sqref="D14:H14" xr:uid="{00000000-0002-0000-1700-000020000000}"/>
    <dataValidation allowBlank="1" showInputMessage="1" prompt="Escriba las notas del mes en la siguiente celda" sqref="D13:H13" xr:uid="{00000000-0002-0000-1700-000021000000}"/>
    <dataValidation allowBlank="1" showInputMessage="1" prompt="El mes natural se actualiza automáticamente según el mes seleccionado en la celda C1" sqref="C15:D15" xr:uid="{00000000-0002-0000-1700-000022000000}"/>
    <dataValidation allowBlank="1" showInputMessage="1" prompt="El año natural se actualiza automáticamente según el año seleccionado en la celda B1" sqref="B15" xr:uid="{00000000-0002-0000-1700-000023000000}"/>
    <dataValidation allowBlank="1" showInputMessage="1" prompt="Escriba aquí las notas del día" sqref="B4" xr:uid="{00000000-0002-0000-1700-000024000000}"/>
    <dataValidation allowBlank="1" showInputMessage="1" prompt="Día laborable determinado automáticamente. Para cambiar los días laborables, seleccione un nuevo día de inicio de semana en la celda B2." sqref="C2:H2 B16" xr:uid="{00000000-0002-0000-1700-000025000000}"/>
    <dataValidation allowBlank="1" showInputMessage="1" showErrorMessage="1" prompt="Escriba el año en esta celda" sqref="B1" xr:uid="{00000000-0002-0000-1700-000027000000}"/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1700-000028000000}"/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 E15" xr:uid="{00000000-0002-0000-1700-000029000000}">
      <formula1>"enero,febrero,marzo,abril,mayo,junio,julio,agosto,septiembre,octubre,noviembre,diciembre"</formula1>
    </dataValidation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1700-00002B000000}">
      <formula1>"DOMINGO,LUNES,MARTES,MIÉRCOLES,JUEVES,VIERNES,SÁBADO"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9BC8317A-A49C-4A83-B985-53E57DFAD1DC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F2445846-4801-40CD-9BE7-CA1386567912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E2ECC3E4-C800-4775-8662-6F10EC5E7697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C2BBEBD0-2891-488D-90EE-92F21DE50BAC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D1071E06-A536-4FC4-8308-AC742835D80C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67DE6269-20B4-4585-BEE0-A34AB960CBE0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E24A5B65-E2E5-4A5A-AA86-6CDFC8E2068C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D5866158-992B-4371-9658-B0CC2067929D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E9715712-4833-4BD2-82B7-CDB31298988E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A329EC5A-4790-4208-9F0A-5C9A709F81F6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39878CE6-5EDE-4A3F-AF9A-53C9C549662B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17D7CAE7-07A1-4A88-8361-16163C1CE141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5" tint="-0.499984740745262"/>
  </sheetPr>
  <dimension ref="A1:I168"/>
  <sheetViews>
    <sheetView topLeftCell="A7" workbookViewId="0">
      <selection activeCell="F22" sqref="F22"/>
    </sheetView>
  </sheetViews>
  <sheetFormatPr baseColWidth="10" defaultRowHeight="16.5" x14ac:dyDescent="0.3"/>
  <cols>
    <col min="1" max="1" width="18.25" customWidth="1"/>
    <col min="2" max="7" width="17.625" customWidth="1"/>
    <col min="8" max="8" width="2.5" customWidth="1"/>
  </cols>
  <sheetData>
    <row r="1" spans="1:9" ht="46.5" x14ac:dyDescent="0.7">
      <c r="A1" s="1">
        <f ca="1">YEAR(TODAY())</f>
        <v>2024</v>
      </c>
      <c r="B1" s="18" t="s">
        <v>2</v>
      </c>
      <c r="C1" s="13"/>
      <c r="D1" s="65" t="s">
        <v>148</v>
      </c>
      <c r="E1" s="65"/>
      <c r="F1" s="65"/>
      <c r="G1" s="19" t="s">
        <v>149</v>
      </c>
      <c r="I1" s="20">
        <v>44</v>
      </c>
    </row>
    <row r="2" spans="1:9" x14ac:dyDescent="0.3">
      <c r="A2" s="4" t="s">
        <v>0</v>
      </c>
      <c r="B2" s="5" t="str">
        <f ca="1">UPPER(TEXT(B3,"dddd"))</f>
        <v>MARTES</v>
      </c>
      <c r="C2" s="4" t="str">
        <f t="shared" ref="C2:G2" ca="1" si="0">UPPER(TEXT(C3,"dddd"))</f>
        <v>MIÉRCOLES</v>
      </c>
      <c r="D2" s="5" t="str">
        <f t="shared" ca="1" si="0"/>
        <v>JUEVES</v>
      </c>
      <c r="E2" s="4" t="str">
        <f t="shared" ca="1" si="0"/>
        <v>VIERNES</v>
      </c>
      <c r="F2" s="5" t="str">
        <f t="shared" ca="1" si="0"/>
        <v>SÁBADO</v>
      </c>
      <c r="G2" s="4" t="str">
        <f t="shared" ca="1" si="0"/>
        <v>DOMINGO</v>
      </c>
    </row>
    <row r="3" spans="1:9" ht="21" x14ac:dyDescent="0.3">
      <c r="A3" s="10">
        <f t="array" aca="1" ref="A3:G3" ca="1">Días+1+DATE(Calendario1Año,Calendario1MesOpción,1)-WEEKDAY(DATE(Calendario1Año,Calendario1MesOpción,1),DíaDeLaSemanaOpción)</f>
        <v>45292</v>
      </c>
      <c r="B3" s="10">
        <f ca="1"/>
        <v>45293</v>
      </c>
      <c r="C3" s="10">
        <f ca="1"/>
        <v>45294</v>
      </c>
      <c r="D3" s="10">
        <f ca="1"/>
        <v>45295</v>
      </c>
      <c r="E3" s="10">
        <f ca="1"/>
        <v>45296</v>
      </c>
      <c r="F3" s="10">
        <f ca="1"/>
        <v>45297</v>
      </c>
      <c r="G3" s="11">
        <f ca="1"/>
        <v>45298</v>
      </c>
    </row>
    <row r="4" spans="1:9" x14ac:dyDescent="0.3">
      <c r="A4" s="6"/>
      <c r="B4" s="6"/>
      <c r="C4" s="6"/>
      <c r="D4" s="6"/>
      <c r="E4" s="7"/>
      <c r="F4" s="6"/>
      <c r="G4" s="7"/>
    </row>
    <row r="5" spans="1:9" ht="21" x14ac:dyDescent="0.3">
      <c r="A5" s="10">
        <f t="array" aca="1" ref="A5:G5" ca="1">Días+8+DATE(Calendario1Año,Calendario1MesOpción,1)-WEEKDAY(DATE(Calendario1Año,Calendario1MesOpción,1),DíaDeLaSemanaOpción)</f>
        <v>45299</v>
      </c>
      <c r="B5" s="10">
        <f ca="1"/>
        <v>45300</v>
      </c>
      <c r="C5" s="10">
        <f ca="1"/>
        <v>45301</v>
      </c>
      <c r="D5" s="10">
        <f ca="1"/>
        <v>45302</v>
      </c>
      <c r="E5" s="10">
        <f ca="1"/>
        <v>45303</v>
      </c>
      <c r="F5" s="10">
        <f ca="1"/>
        <v>45304</v>
      </c>
      <c r="G5" s="11">
        <f ca="1"/>
        <v>45305</v>
      </c>
    </row>
    <row r="6" spans="1:9" x14ac:dyDescent="0.3">
      <c r="A6" s="6"/>
      <c r="C6" s="6"/>
      <c r="D6" s="7"/>
      <c r="E6" s="6"/>
      <c r="F6" s="6"/>
      <c r="G6" s="7"/>
    </row>
    <row r="7" spans="1:9" ht="21" x14ac:dyDescent="0.3">
      <c r="A7" s="10">
        <f t="array" aca="1" ref="A7:G7" ca="1">Días+15+DATE(Calendario1Año,Calendario1MesOpción,1)-WEEKDAY(DATE(Calendario1Año,Calendario1MesOpción,1),DíaDeLaSemanaOpción)</f>
        <v>45306</v>
      </c>
      <c r="B7" s="10">
        <f ca="1"/>
        <v>45307</v>
      </c>
      <c r="C7" s="10">
        <f ca="1"/>
        <v>45308</v>
      </c>
      <c r="D7" s="10">
        <f ca="1"/>
        <v>45309</v>
      </c>
      <c r="E7" s="10">
        <f ca="1"/>
        <v>45310</v>
      </c>
      <c r="F7" s="10">
        <f ca="1"/>
        <v>45311</v>
      </c>
      <c r="G7" s="11">
        <f ca="1"/>
        <v>45312</v>
      </c>
    </row>
    <row r="8" spans="1:9" x14ac:dyDescent="0.3">
      <c r="A8" s="43"/>
      <c r="B8" s="6"/>
      <c r="C8" s="6"/>
      <c r="D8" s="6"/>
      <c r="E8" s="24"/>
      <c r="F8" s="24"/>
      <c r="G8" s="24"/>
    </row>
    <row r="9" spans="1:9" ht="21" x14ac:dyDescent="0.3">
      <c r="A9" s="10">
        <f t="array" aca="1" ref="A9:G9" ca="1">Días+22+DATE(Calendario1Año,Calendario1MesOpción,1)-WEEKDAY(DATE(Calendario1Año,Calendario1MesOpción,1),DíaDeLaSemanaOpción)</f>
        <v>45313</v>
      </c>
      <c r="B9" s="10">
        <f ca="1"/>
        <v>45314</v>
      </c>
      <c r="C9" s="10">
        <f ca="1"/>
        <v>45315</v>
      </c>
      <c r="D9" s="10">
        <f ca="1"/>
        <v>45316</v>
      </c>
      <c r="E9" s="10">
        <f ca="1"/>
        <v>45317</v>
      </c>
      <c r="F9" s="10">
        <f ca="1"/>
        <v>45318</v>
      </c>
      <c r="G9" s="11">
        <f ca="1"/>
        <v>45319</v>
      </c>
    </row>
    <row r="10" spans="1:9" x14ac:dyDescent="0.3">
      <c r="A10" s="6"/>
      <c r="B10" s="6"/>
      <c r="C10" s="6"/>
      <c r="D10" s="6"/>
      <c r="E10" s="6"/>
      <c r="F10" s="47" t="s">
        <v>111</v>
      </c>
      <c r="G10" s="7"/>
    </row>
    <row r="11" spans="1:9" ht="21" x14ac:dyDescent="0.3">
      <c r="A11" s="10">
        <f t="array" aca="1" ref="A11:G11" ca="1">Días+29+DATE(Calendario1Año,Calendario1MesOpción,1)-WEEKDAY(DATE(Calendario1Año,Calendario1MesOpción,1),DíaDeLaSemanaOpción)</f>
        <v>45320</v>
      </c>
      <c r="B11" s="10">
        <f ca="1"/>
        <v>45321</v>
      </c>
      <c r="C11" s="10">
        <f ca="1"/>
        <v>45322</v>
      </c>
      <c r="D11" s="10">
        <f ca="1"/>
        <v>45323</v>
      </c>
      <c r="E11" s="10">
        <f ca="1"/>
        <v>45324</v>
      </c>
      <c r="F11" s="10">
        <f ca="1"/>
        <v>45325</v>
      </c>
      <c r="G11" s="11">
        <f ca="1"/>
        <v>45326</v>
      </c>
    </row>
    <row r="12" spans="1:9" x14ac:dyDescent="0.3">
      <c r="A12" s="6"/>
      <c r="B12" s="6"/>
      <c r="C12" s="6"/>
      <c r="D12" s="6"/>
      <c r="E12" s="6"/>
      <c r="F12" s="6"/>
      <c r="G12" s="7"/>
    </row>
    <row r="13" spans="1:9" ht="21" x14ac:dyDescent="0.3">
      <c r="A13" s="10">
        <f t="array" aca="1" ref="A13:B13" ca="1">Días+36+DATE(Calendario1Año,Calendario1MesOpción,1)-WEEKDAY(DATE(Calendario1Año,Calendario1MesOpción,1),DíaDeLaSemanaOpción)</f>
        <v>45327</v>
      </c>
      <c r="B13" s="10">
        <f ca="1"/>
        <v>45328</v>
      </c>
      <c r="C13" s="62" t="s">
        <v>1</v>
      </c>
      <c r="D13" s="62"/>
      <c r="E13" s="62"/>
      <c r="F13" s="62"/>
      <c r="G13" s="62"/>
    </row>
    <row r="14" spans="1:9" x14ac:dyDescent="0.3">
      <c r="A14" s="6"/>
      <c r="B14" s="6"/>
      <c r="C14" s="63"/>
      <c r="D14" s="63"/>
      <c r="E14" s="63"/>
      <c r="F14" s="63"/>
      <c r="G14" s="63"/>
    </row>
    <row r="15" spans="1:9" ht="46.5" x14ac:dyDescent="0.7">
      <c r="A15" s="1">
        <f ca="1">YEAR(DATE(Calendario1Año,Calendario1MesOpción+1,1))</f>
        <v>2024</v>
      </c>
      <c r="B15" s="17" t="str">
        <f ca="1">TEXT(DATE(Calendario1Año,Calendario1MesOpción+1,1),"mmmm")</f>
        <v>febrero</v>
      </c>
      <c r="C15" s="13"/>
      <c r="D15" s="65" t="s">
        <v>148</v>
      </c>
      <c r="E15" s="65"/>
      <c r="F15" s="65"/>
      <c r="G15" s="19" t="s">
        <v>149</v>
      </c>
      <c r="I15" s="20">
        <v>44</v>
      </c>
    </row>
    <row r="16" spans="1:9" x14ac:dyDescent="0.3">
      <c r="A16" s="4" t="str">
        <f ca="1">UPPER(TEXT(A17,"dddd"))</f>
        <v>LUNES</v>
      </c>
      <c r="B16" s="5" t="str">
        <f t="shared" ref="B16:G16" ca="1" si="1">UPPER(TEXT(B17,"dddd"))</f>
        <v>MARTES</v>
      </c>
      <c r="C16" s="4" t="str">
        <f t="shared" ca="1" si="1"/>
        <v>MIÉRCOLES</v>
      </c>
      <c r="D16" s="5" t="str">
        <f t="shared" ca="1" si="1"/>
        <v>JUEVES</v>
      </c>
      <c r="E16" s="4" t="str">
        <f t="shared" ca="1" si="1"/>
        <v>VIERNES</v>
      </c>
      <c r="F16" s="5" t="str">
        <f t="shared" ca="1" si="1"/>
        <v>SÁBADO</v>
      </c>
      <c r="G16" s="4" t="str">
        <f t="shared" ca="1" si="1"/>
        <v>DOMINGO</v>
      </c>
    </row>
    <row r="17" spans="1:7" ht="21" x14ac:dyDescent="0.3">
      <c r="A17" s="10">
        <f t="array" aca="1" ref="A17:G17" ca="1">Días+1+DATE(Calendario2Año,Calendario2MesOpción,1)-WEEKDAY(DATE(Calendario2Año,Calendario2MesOpción,1),DíaDeLaSemanaOpción)</f>
        <v>45320</v>
      </c>
      <c r="B17" s="10">
        <f ca="1"/>
        <v>45321</v>
      </c>
      <c r="C17" s="10">
        <f ca="1"/>
        <v>45322</v>
      </c>
      <c r="D17" s="10">
        <f ca="1"/>
        <v>45323</v>
      </c>
      <c r="E17" s="10">
        <f ca="1"/>
        <v>45324</v>
      </c>
      <c r="F17" s="10">
        <f ca="1"/>
        <v>45325</v>
      </c>
      <c r="G17" s="11">
        <f ca="1"/>
        <v>45326</v>
      </c>
    </row>
    <row r="18" spans="1:7" x14ac:dyDescent="0.3">
      <c r="A18" s="6"/>
      <c r="B18" s="6"/>
      <c r="C18" s="6"/>
      <c r="D18" s="6"/>
      <c r="E18" s="6"/>
      <c r="F18" s="47" t="s">
        <v>111</v>
      </c>
      <c r="G18" s="7"/>
    </row>
    <row r="19" spans="1:7" ht="21" x14ac:dyDescent="0.3">
      <c r="A19" s="10">
        <f t="array" aca="1" ref="A19:G19" ca="1">Días+8+DATE(Calendario2Año,Calendario2MesOpción,1)-WEEKDAY(DATE(Calendario2Año,Calendario2MesOpción,1),DíaDeLaSemanaOpción)</f>
        <v>45327</v>
      </c>
      <c r="B19" s="10">
        <f ca="1"/>
        <v>45328</v>
      </c>
      <c r="C19" s="10">
        <f ca="1"/>
        <v>45329</v>
      </c>
      <c r="D19" s="10">
        <f ca="1"/>
        <v>45330</v>
      </c>
      <c r="E19" s="10">
        <f ca="1"/>
        <v>45331</v>
      </c>
      <c r="F19" s="10">
        <f ca="1"/>
        <v>45332</v>
      </c>
      <c r="G19" s="11">
        <f ca="1"/>
        <v>45333</v>
      </c>
    </row>
    <row r="20" spans="1:7" x14ac:dyDescent="0.3">
      <c r="A20" s="24"/>
      <c r="B20" s="6"/>
      <c r="C20" s="6"/>
      <c r="D20" s="6"/>
      <c r="E20" s="6"/>
      <c r="F20" s="47" t="s">
        <v>111</v>
      </c>
      <c r="G20" s="7"/>
    </row>
    <row r="21" spans="1:7" ht="21" x14ac:dyDescent="0.3">
      <c r="A21" s="10">
        <f t="array" aca="1" ref="A21:G21" ca="1">Días+15+DATE(Calendario2Año,Calendario2MesOpción,1)-WEEKDAY(DATE(Calendario2Año,Calendario2MesOpción,1),DíaDeLaSemanaOpción)</f>
        <v>45334</v>
      </c>
      <c r="B21" s="10">
        <f ca="1"/>
        <v>45335</v>
      </c>
      <c r="C21" s="10">
        <f ca="1"/>
        <v>45336</v>
      </c>
      <c r="D21" s="10">
        <f ca="1"/>
        <v>45337</v>
      </c>
      <c r="E21" s="10">
        <f ca="1"/>
        <v>45338</v>
      </c>
      <c r="F21" s="10">
        <f ca="1"/>
        <v>45339</v>
      </c>
      <c r="G21" s="11">
        <f ca="1"/>
        <v>45340</v>
      </c>
    </row>
    <row r="22" spans="1:7" x14ac:dyDescent="0.3">
      <c r="A22" s="6"/>
      <c r="B22" s="6"/>
      <c r="C22" s="6"/>
      <c r="D22" s="6"/>
      <c r="E22" s="6"/>
      <c r="F22" s="47" t="s">
        <v>111</v>
      </c>
      <c r="G22" s="7"/>
    </row>
    <row r="23" spans="1:7" ht="21" x14ac:dyDescent="0.3">
      <c r="A23" s="10">
        <f t="array" aca="1" ref="A23:G23" ca="1">Días+22+DATE(Calendario2Año,Calendario2MesOpción,1)-WEEKDAY(DATE(Calendario2Año,Calendario2MesOpción,1),DíaDeLaSemanaOpción)</f>
        <v>45341</v>
      </c>
      <c r="B23" s="10">
        <f ca="1"/>
        <v>45342</v>
      </c>
      <c r="C23" s="10">
        <f ca="1"/>
        <v>45343</v>
      </c>
      <c r="D23" s="10">
        <f ca="1"/>
        <v>45344</v>
      </c>
      <c r="E23" s="10">
        <f ca="1"/>
        <v>45345</v>
      </c>
      <c r="F23" s="10">
        <f ca="1"/>
        <v>45346</v>
      </c>
      <c r="G23" s="11">
        <f ca="1"/>
        <v>45347</v>
      </c>
    </row>
    <row r="24" spans="1:7" x14ac:dyDescent="0.3">
      <c r="A24" s="6"/>
      <c r="B24" s="6"/>
      <c r="C24" s="6"/>
      <c r="D24" s="6"/>
      <c r="E24" s="6"/>
      <c r="F24" s="6"/>
      <c r="G24" s="7"/>
    </row>
    <row r="25" spans="1:7" ht="21" x14ac:dyDescent="0.3">
      <c r="A25" s="10">
        <f t="array" aca="1" ref="A25:G25" ca="1">Días+29+DATE(Calendario2Año,Calendario2MesOpción,1)-WEEKDAY(DATE(Calendario2Año,Calendario2MesOpción,1),DíaDeLaSemanaOpción)</f>
        <v>45348</v>
      </c>
      <c r="B25" s="10">
        <f ca="1"/>
        <v>45349</v>
      </c>
      <c r="C25" s="10">
        <f ca="1"/>
        <v>45350</v>
      </c>
      <c r="D25" s="10">
        <f ca="1"/>
        <v>45351</v>
      </c>
      <c r="E25" s="10">
        <f ca="1"/>
        <v>45352</v>
      </c>
      <c r="F25" s="10">
        <f ca="1"/>
        <v>45353</v>
      </c>
      <c r="G25" s="11">
        <f ca="1"/>
        <v>45354</v>
      </c>
    </row>
    <row r="26" spans="1:7" x14ac:dyDescent="0.3">
      <c r="A26" s="6"/>
      <c r="B26" s="6"/>
      <c r="C26" s="6"/>
      <c r="D26" s="6"/>
      <c r="E26" s="6"/>
      <c r="F26" s="6"/>
      <c r="G26" s="8"/>
    </row>
    <row r="27" spans="1:7" ht="21" x14ac:dyDescent="0.3">
      <c r="A27" s="10">
        <f t="array" aca="1" ref="A27:B27" ca="1">Días+36+DATE(Calendario2Año,Calendario2MesOpción,1)-WEEKDAY(DATE(Calendario2Año,Calendario2MesOpción,1),DíaDeLaSemanaOpción)</f>
        <v>45355</v>
      </c>
      <c r="B27" s="10">
        <f ca="1"/>
        <v>45356</v>
      </c>
      <c r="C27" s="62" t="s">
        <v>1</v>
      </c>
      <c r="D27" s="62"/>
      <c r="E27" s="62"/>
      <c r="F27" s="62"/>
      <c r="G27" s="62"/>
    </row>
    <row r="28" spans="1:7" x14ac:dyDescent="0.3">
      <c r="A28" s="6"/>
      <c r="B28" s="6"/>
      <c r="C28" s="63"/>
      <c r="D28" s="63"/>
      <c r="E28" s="63"/>
      <c r="F28" s="63"/>
      <c r="G28" s="63"/>
    </row>
    <row r="29" spans="1:7" ht="46.5" x14ac:dyDescent="0.7">
      <c r="A29" s="1">
        <f ca="1">YEAR(DATE(Calendario2Año,Calendario2MesOpción+1,1))</f>
        <v>2024</v>
      </c>
      <c r="B29" s="64" t="str">
        <f ca="1">TEXT(DATE(Calendario2Año,Calendario2MesOpción+1,1),"mmmm")</f>
        <v>marzo</v>
      </c>
      <c r="C29" s="64"/>
      <c r="D29" s="64"/>
      <c r="E29" s="2"/>
      <c r="F29" s="2"/>
      <c r="G29" s="2"/>
    </row>
    <row r="30" spans="1:7" x14ac:dyDescent="0.3">
      <c r="A30" s="4" t="str">
        <f ca="1">UPPER(TEXT(A31,"dddd"))</f>
        <v>LUNES</v>
      </c>
      <c r="B30" s="5" t="str">
        <f t="shared" ref="B30:G30" ca="1" si="2">UPPER(TEXT(B31,"dddd"))</f>
        <v>MARTES</v>
      </c>
      <c r="C30" s="4" t="str">
        <f t="shared" ca="1" si="2"/>
        <v>MIÉRCOLES</v>
      </c>
      <c r="D30" s="5" t="str">
        <f t="shared" ca="1" si="2"/>
        <v>JUEVES</v>
      </c>
      <c r="E30" s="4" t="str">
        <f t="shared" ca="1" si="2"/>
        <v>VIERNES</v>
      </c>
      <c r="F30" s="5" t="str">
        <f t="shared" ca="1" si="2"/>
        <v>SÁBADO</v>
      </c>
      <c r="G30" s="4" t="str">
        <f t="shared" ca="1" si="2"/>
        <v>DOMINGO</v>
      </c>
    </row>
    <row r="31" spans="1:7" ht="21" x14ac:dyDescent="0.3">
      <c r="A31" s="10">
        <f t="array" aca="1" ref="A31:G31" ca="1">Días+1+DATE(Calendario3Año,Calendario3MesOpción,1)-WEEKDAY(DATE(Calendario3Año,Calendario3MesOpción,1),DíaDeLaSemanaOpción)</f>
        <v>45348</v>
      </c>
      <c r="B31" s="10">
        <f ca="1"/>
        <v>45349</v>
      </c>
      <c r="C31" s="10">
        <f ca="1"/>
        <v>45350</v>
      </c>
      <c r="D31" s="10">
        <f ca="1"/>
        <v>45351</v>
      </c>
      <c r="E31" s="10">
        <f ca="1"/>
        <v>45352</v>
      </c>
      <c r="F31" s="10">
        <f ca="1"/>
        <v>45353</v>
      </c>
      <c r="G31" s="11">
        <f ca="1"/>
        <v>45354</v>
      </c>
    </row>
    <row r="32" spans="1:7" x14ac:dyDescent="0.3">
      <c r="A32" s="6"/>
      <c r="B32" s="6"/>
      <c r="C32" s="6"/>
      <c r="D32" s="6"/>
      <c r="E32" s="6"/>
      <c r="F32" s="6"/>
      <c r="G32" s="7"/>
    </row>
    <row r="33" spans="1:7" ht="21" x14ac:dyDescent="0.3">
      <c r="A33" s="10">
        <f t="array" aca="1" ref="A33:G33" ca="1">Días+8+DATE(Calendario3Año,Calendario3MesOpción,1)-WEEKDAY(DATE(Calendario3Año,Calendario3MesOpción,1),DíaDeLaSemanaOpción)</f>
        <v>45355</v>
      </c>
      <c r="B33" s="10">
        <f ca="1"/>
        <v>45356</v>
      </c>
      <c r="C33" s="10">
        <f ca="1"/>
        <v>45357</v>
      </c>
      <c r="D33" s="10">
        <f ca="1"/>
        <v>45358</v>
      </c>
      <c r="E33" s="10">
        <f ca="1"/>
        <v>45359</v>
      </c>
      <c r="F33" s="10">
        <f ca="1"/>
        <v>45360</v>
      </c>
      <c r="G33" s="11">
        <f ca="1"/>
        <v>45361</v>
      </c>
    </row>
    <row r="34" spans="1:7" x14ac:dyDescent="0.3">
      <c r="A34" s="6"/>
      <c r="B34" s="6"/>
      <c r="C34" s="6"/>
      <c r="D34" s="6"/>
      <c r="E34" s="6"/>
      <c r="F34" s="6"/>
      <c r="G34" s="7"/>
    </row>
    <row r="35" spans="1:7" ht="21" x14ac:dyDescent="0.3">
      <c r="A35" s="10">
        <f t="array" aca="1" ref="A35:G35" ca="1">Días+15+DATE(Calendario3Año,Calendario3MesOpción,1)-WEEKDAY(DATE(Calendario3Año,Calendario3MesOpción,1),DíaDeLaSemanaOpción)</f>
        <v>45362</v>
      </c>
      <c r="B35" s="10">
        <f ca="1"/>
        <v>45363</v>
      </c>
      <c r="C35" s="10">
        <f ca="1"/>
        <v>45364</v>
      </c>
      <c r="D35" s="10">
        <f ca="1"/>
        <v>45365</v>
      </c>
      <c r="E35" s="10">
        <f ca="1"/>
        <v>45366</v>
      </c>
      <c r="F35" s="10">
        <f ca="1"/>
        <v>45367</v>
      </c>
      <c r="G35" s="11">
        <f ca="1"/>
        <v>45368</v>
      </c>
    </row>
    <row r="36" spans="1:7" x14ac:dyDescent="0.3">
      <c r="A36" s="6"/>
      <c r="B36" s="6"/>
      <c r="C36" s="6"/>
      <c r="D36" s="6"/>
      <c r="E36" s="6"/>
      <c r="F36" s="6"/>
      <c r="G36" s="7"/>
    </row>
    <row r="37" spans="1:7" ht="21" x14ac:dyDescent="0.3">
      <c r="A37" s="10">
        <f t="array" aca="1" ref="A37:G37" ca="1">Días+22+DATE(Calendario3Año,Calendario3MesOpción,1)-WEEKDAY(DATE(Calendario3Año,Calendario3MesOpción,1),DíaDeLaSemanaOpción)</f>
        <v>45369</v>
      </c>
      <c r="B37" s="10">
        <f ca="1"/>
        <v>45370</v>
      </c>
      <c r="C37" s="10">
        <f ca="1"/>
        <v>45371</v>
      </c>
      <c r="D37" s="10">
        <f ca="1"/>
        <v>45372</v>
      </c>
      <c r="E37" s="10">
        <f ca="1"/>
        <v>45373</v>
      </c>
      <c r="F37" s="10">
        <f ca="1"/>
        <v>45374</v>
      </c>
      <c r="G37" s="11">
        <f ca="1"/>
        <v>45375</v>
      </c>
    </row>
    <row r="38" spans="1:7" x14ac:dyDescent="0.3">
      <c r="A38" s="6"/>
      <c r="B38" s="6"/>
      <c r="C38" s="6"/>
      <c r="D38" s="6"/>
      <c r="E38" s="6"/>
      <c r="F38" s="6"/>
      <c r="G38" s="7"/>
    </row>
    <row r="39" spans="1:7" ht="21" x14ac:dyDescent="0.3">
      <c r="A39" s="10">
        <f t="array" aca="1" ref="A39:G39" ca="1">Días+29+DATE(Calendario3Año,Calendario3MesOpción,1)-WEEKDAY(DATE(Calendario3Año,Calendario3MesOpción,1),DíaDeLaSemanaOpción)</f>
        <v>45376</v>
      </c>
      <c r="B39" s="10">
        <f ca="1"/>
        <v>45377</v>
      </c>
      <c r="C39" s="10">
        <f ca="1"/>
        <v>45378</v>
      </c>
      <c r="D39" s="10">
        <f ca="1"/>
        <v>45379</v>
      </c>
      <c r="E39" s="10">
        <f ca="1"/>
        <v>45380</v>
      </c>
      <c r="F39" s="10">
        <f ca="1"/>
        <v>45381</v>
      </c>
      <c r="G39" s="11">
        <f ca="1"/>
        <v>45382</v>
      </c>
    </row>
    <row r="40" spans="1:7" x14ac:dyDescent="0.3">
      <c r="A40" s="6"/>
      <c r="B40" s="6"/>
      <c r="C40" s="6"/>
      <c r="D40" s="6"/>
      <c r="E40" s="6"/>
      <c r="F40" s="6"/>
      <c r="G40" s="8"/>
    </row>
    <row r="41" spans="1:7" ht="21" x14ac:dyDescent="0.3">
      <c r="A41" s="10">
        <f t="array" aca="1" ref="A41:B41" ca="1">Días+36+DATE(Calendario3Año,Calendario3MesOpción,1)-WEEKDAY(DATE(Calendario3Año,Calendario3MesOpción,1),DíaDeLaSemanaOpción)</f>
        <v>45383</v>
      </c>
      <c r="B41" s="10">
        <f ca="1"/>
        <v>45384</v>
      </c>
      <c r="C41" s="62" t="s">
        <v>1</v>
      </c>
      <c r="D41" s="62"/>
      <c r="E41" s="62"/>
      <c r="F41" s="62"/>
      <c r="G41" s="62"/>
    </row>
    <row r="42" spans="1:7" x14ac:dyDescent="0.3">
      <c r="A42" s="6"/>
      <c r="B42" s="6"/>
      <c r="C42" s="63"/>
      <c r="D42" s="63"/>
      <c r="E42" s="63"/>
      <c r="F42" s="63"/>
      <c r="G42" s="63"/>
    </row>
    <row r="43" spans="1:7" ht="46.5" x14ac:dyDescent="0.7">
      <c r="A43" s="1">
        <f ca="1">YEAR(DATE(Calendario3Año,Calendario3MesOpción+1,1))</f>
        <v>2024</v>
      </c>
      <c r="B43" s="64" t="str">
        <f ca="1">TEXT(DATE(Calendario3Año,Calendario3MesOpción+1,1),"mmmm")</f>
        <v>abril</v>
      </c>
      <c r="C43" s="64"/>
      <c r="D43" s="64"/>
      <c r="E43" s="2"/>
      <c r="F43" s="2"/>
      <c r="G43" s="2"/>
    </row>
    <row r="44" spans="1:7" x14ac:dyDescent="0.3">
      <c r="A44" s="4" t="str">
        <f ca="1">UPPER(TEXT(A45,"dddd"))</f>
        <v>LUNES</v>
      </c>
      <c r="B44" s="5" t="str">
        <f t="shared" ref="B44:G44" ca="1" si="3">UPPER(TEXT(B45,"dddd"))</f>
        <v>MARTES</v>
      </c>
      <c r="C44" s="4" t="str">
        <f t="shared" ca="1" si="3"/>
        <v>MIÉRCOLES</v>
      </c>
      <c r="D44" s="5" t="str">
        <f t="shared" ca="1" si="3"/>
        <v>JUEVES</v>
      </c>
      <c r="E44" s="4" t="str">
        <f t="shared" ca="1" si="3"/>
        <v>VIERNES</v>
      </c>
      <c r="F44" s="5" t="str">
        <f t="shared" ca="1" si="3"/>
        <v>SÁBADO</v>
      </c>
      <c r="G44" s="4" t="str">
        <f t="shared" ca="1" si="3"/>
        <v>DOMINGO</v>
      </c>
    </row>
    <row r="45" spans="1:7" ht="21" x14ac:dyDescent="0.3">
      <c r="A45" s="10">
        <f t="array" aca="1" ref="A45:G45" ca="1">Días+1+DATE(Calendario4Año,Calendario4MesOpción,1)-WEEKDAY(DATE(Calendario4Año,Calendario4MesOpción,1),DíaDeLaSemanaOpción)</f>
        <v>45383</v>
      </c>
      <c r="B45" s="10">
        <f ca="1"/>
        <v>45384</v>
      </c>
      <c r="C45" s="10">
        <f ca="1"/>
        <v>45385</v>
      </c>
      <c r="D45" s="10">
        <f ca="1"/>
        <v>45386</v>
      </c>
      <c r="E45" s="10">
        <f ca="1"/>
        <v>45387</v>
      </c>
      <c r="F45" s="10">
        <f ca="1"/>
        <v>45388</v>
      </c>
      <c r="G45" s="11">
        <f ca="1"/>
        <v>45389</v>
      </c>
    </row>
    <row r="46" spans="1:7" x14ac:dyDescent="0.3">
      <c r="A46" s="6"/>
      <c r="B46" s="6"/>
      <c r="C46" s="6"/>
      <c r="D46" s="6"/>
      <c r="E46" s="6"/>
      <c r="F46" s="6"/>
      <c r="G46" s="7"/>
    </row>
    <row r="47" spans="1:7" ht="21" x14ac:dyDescent="0.3">
      <c r="A47" s="10">
        <f t="array" aca="1" ref="A47:G47" ca="1">Días+8+DATE(Calendario4Año,Calendario4MesOpción,1)-WEEKDAY(DATE(Calendario4Año,Calendario4MesOpción,1),DíaDeLaSemanaOpción)</f>
        <v>45390</v>
      </c>
      <c r="B47" s="10">
        <f ca="1"/>
        <v>45391</v>
      </c>
      <c r="C47" s="10">
        <f ca="1"/>
        <v>45392</v>
      </c>
      <c r="D47" s="10">
        <f ca="1"/>
        <v>45393</v>
      </c>
      <c r="E47" s="10">
        <f ca="1"/>
        <v>45394</v>
      </c>
      <c r="F47" s="10">
        <f ca="1"/>
        <v>45395</v>
      </c>
      <c r="G47" s="11">
        <f ca="1"/>
        <v>45396</v>
      </c>
    </row>
    <row r="48" spans="1:7" x14ac:dyDescent="0.3">
      <c r="A48" s="6"/>
      <c r="B48" s="6"/>
      <c r="C48" s="6"/>
      <c r="D48" s="6"/>
      <c r="E48" s="6"/>
      <c r="F48" s="6"/>
      <c r="G48" s="7"/>
    </row>
    <row r="49" spans="1:7" ht="21" x14ac:dyDescent="0.3">
      <c r="A49" s="10">
        <f t="array" aca="1" ref="A49:G49" ca="1">Días+15+DATE(Calendario4Año,Calendario4MesOpción,1)-WEEKDAY(DATE(Calendario4Año,Calendario4MesOpción,1),DíaDeLaSemanaOpción)</f>
        <v>45397</v>
      </c>
      <c r="B49" s="10">
        <f ca="1"/>
        <v>45398</v>
      </c>
      <c r="C49" s="10">
        <f ca="1"/>
        <v>45399</v>
      </c>
      <c r="D49" s="10">
        <f ca="1"/>
        <v>45400</v>
      </c>
      <c r="E49" s="10">
        <f ca="1"/>
        <v>45401</v>
      </c>
      <c r="F49" s="10">
        <f ca="1"/>
        <v>45402</v>
      </c>
      <c r="G49" s="11">
        <f ca="1"/>
        <v>45403</v>
      </c>
    </row>
    <row r="50" spans="1:7" x14ac:dyDescent="0.3">
      <c r="A50" s="6"/>
      <c r="B50" s="6"/>
      <c r="C50" s="6"/>
      <c r="D50" s="6"/>
      <c r="E50" s="6"/>
      <c r="F50" s="6"/>
      <c r="G50" s="7"/>
    </row>
    <row r="51" spans="1:7" ht="21" x14ac:dyDescent="0.3">
      <c r="A51" s="10">
        <f t="array" aca="1" ref="A51:G51" ca="1">Días+22+DATE(Calendario4Año,Calendario4MesOpción,1)-WEEKDAY(DATE(Calendario4Año,Calendario4MesOpción,1),DíaDeLaSemanaOpción)</f>
        <v>45404</v>
      </c>
      <c r="B51" s="10">
        <f ca="1"/>
        <v>45405</v>
      </c>
      <c r="C51" s="10">
        <f ca="1"/>
        <v>45406</v>
      </c>
      <c r="D51" s="10">
        <f ca="1"/>
        <v>45407</v>
      </c>
      <c r="E51" s="10">
        <f ca="1"/>
        <v>45408</v>
      </c>
      <c r="F51" s="10">
        <f ca="1"/>
        <v>45409</v>
      </c>
      <c r="G51" s="11">
        <f ca="1"/>
        <v>45410</v>
      </c>
    </row>
    <row r="52" spans="1:7" x14ac:dyDescent="0.3">
      <c r="A52" s="6"/>
      <c r="B52" s="6"/>
      <c r="C52" s="6"/>
      <c r="D52" s="6"/>
      <c r="E52" s="6"/>
      <c r="F52" s="6"/>
      <c r="G52" s="7"/>
    </row>
    <row r="53" spans="1:7" ht="21" x14ac:dyDescent="0.3">
      <c r="A53" s="10">
        <f t="array" aca="1" ref="A53:G53" ca="1">Días+29+DATE(Calendario4Año,Calendario4MesOpción,1)-WEEKDAY(DATE(Calendario4Año,Calendario4MesOpción,1),DíaDeLaSemanaOpción)</f>
        <v>45411</v>
      </c>
      <c r="B53" s="10">
        <f ca="1"/>
        <v>45412</v>
      </c>
      <c r="C53" s="10">
        <f ca="1"/>
        <v>45413</v>
      </c>
      <c r="D53" s="10">
        <f ca="1"/>
        <v>45414</v>
      </c>
      <c r="E53" s="10">
        <f ca="1"/>
        <v>45415</v>
      </c>
      <c r="F53" s="10">
        <f ca="1"/>
        <v>45416</v>
      </c>
      <c r="G53" s="11">
        <f ca="1"/>
        <v>45417</v>
      </c>
    </row>
    <row r="54" spans="1:7" x14ac:dyDescent="0.3">
      <c r="A54" s="6"/>
      <c r="B54" s="6"/>
      <c r="C54" s="6"/>
      <c r="D54" s="6"/>
      <c r="E54" s="6"/>
      <c r="F54" s="6"/>
      <c r="G54" s="8"/>
    </row>
    <row r="55" spans="1:7" ht="21" x14ac:dyDescent="0.3">
      <c r="A55" s="10">
        <f t="array" aca="1" ref="A55:B55" ca="1">Días+36+DATE(Calendario4Año,Calendario4MesOpción,1)-WEEKDAY(DATE(Calendario4Año,Calendario4MesOpción,1),DíaDeLaSemanaOpción)</f>
        <v>45418</v>
      </c>
      <c r="B55" s="10">
        <f ca="1"/>
        <v>45419</v>
      </c>
      <c r="C55" s="61" t="s">
        <v>1</v>
      </c>
      <c r="D55" s="62"/>
      <c r="E55" s="62"/>
      <c r="F55" s="62"/>
      <c r="G55" s="62"/>
    </row>
    <row r="56" spans="1:7" x14ac:dyDescent="0.3">
      <c r="A56" s="6"/>
      <c r="B56" s="6"/>
      <c r="C56" s="63"/>
      <c r="D56" s="63"/>
      <c r="E56" s="63"/>
      <c r="F56" s="63"/>
      <c r="G56" s="63"/>
    </row>
    <row r="57" spans="1:7" ht="46.5" x14ac:dyDescent="0.7">
      <c r="A57" s="1">
        <f ca="1">YEAR(DATE(Calendario4Año,Calendario4MesOpción+1,1))</f>
        <v>2024</v>
      </c>
      <c r="B57" s="64" t="str">
        <f ca="1">TEXT(DATE(Calendario4Año,Calendario4MesOpción+1,1),"mmmm")</f>
        <v>mayo</v>
      </c>
      <c r="C57" s="64"/>
      <c r="D57" s="64"/>
      <c r="E57" s="2"/>
      <c r="F57" s="2"/>
      <c r="G57" s="2"/>
    </row>
    <row r="58" spans="1:7" x14ac:dyDescent="0.3">
      <c r="A58" s="4" t="str">
        <f ca="1">UPPER(TEXT(A59,"dddd"))</f>
        <v>LUNES</v>
      </c>
      <c r="B58" s="5" t="str">
        <f t="shared" ref="B58:G58" ca="1" si="4">UPPER(TEXT(B59,"dddd"))</f>
        <v>MARTES</v>
      </c>
      <c r="C58" s="4" t="str">
        <f t="shared" ca="1" si="4"/>
        <v>MIÉRCOLES</v>
      </c>
      <c r="D58" s="5" t="str">
        <f t="shared" ca="1" si="4"/>
        <v>JUEVES</v>
      </c>
      <c r="E58" s="4" t="str">
        <f t="shared" ca="1" si="4"/>
        <v>VIERNES</v>
      </c>
      <c r="F58" s="5" t="str">
        <f t="shared" ca="1" si="4"/>
        <v>SÁBADO</v>
      </c>
      <c r="G58" s="4" t="str">
        <f t="shared" ca="1" si="4"/>
        <v>DOMINGO</v>
      </c>
    </row>
    <row r="59" spans="1:7" ht="21" x14ac:dyDescent="0.3">
      <c r="A59" s="10">
        <f t="array" aca="1" ref="A59:G59" ca="1">Días+1+DATE(Calendario5Año,Calendario5MesOpción,1)-WEEKDAY(DATE(Calendario5Año,Calendario5MesOpción,1),DíaDeLaSemanaOpción)</f>
        <v>45411</v>
      </c>
      <c r="B59" s="10">
        <f ca="1"/>
        <v>45412</v>
      </c>
      <c r="C59" s="10">
        <f ca="1"/>
        <v>45413</v>
      </c>
      <c r="D59" s="10">
        <f ca="1"/>
        <v>45414</v>
      </c>
      <c r="E59" s="10">
        <f ca="1"/>
        <v>45415</v>
      </c>
      <c r="F59" s="10">
        <f ca="1"/>
        <v>45416</v>
      </c>
      <c r="G59" s="11">
        <f ca="1"/>
        <v>45417</v>
      </c>
    </row>
    <row r="60" spans="1:7" x14ac:dyDescent="0.3">
      <c r="A60" s="6"/>
      <c r="B60" s="6"/>
      <c r="C60" s="6"/>
      <c r="D60" s="6"/>
      <c r="E60" s="6"/>
      <c r="F60" s="6"/>
      <c r="G60" s="7"/>
    </row>
    <row r="61" spans="1:7" ht="21" x14ac:dyDescent="0.3">
      <c r="A61" s="10">
        <f t="array" aca="1" ref="A61:G61" ca="1">Días+8+DATE(Calendario5Año,Calendario5MesOpción,1)-WEEKDAY(DATE(Calendario5Año,Calendario5MesOpción,1),DíaDeLaSemanaOpción)</f>
        <v>45418</v>
      </c>
      <c r="B61" s="10">
        <f ca="1"/>
        <v>45419</v>
      </c>
      <c r="C61" s="10">
        <f ca="1"/>
        <v>45420</v>
      </c>
      <c r="D61" s="10">
        <f ca="1"/>
        <v>45421</v>
      </c>
      <c r="E61" s="10">
        <f ca="1"/>
        <v>45422</v>
      </c>
      <c r="F61" s="10">
        <f ca="1"/>
        <v>45423</v>
      </c>
      <c r="G61" s="11">
        <f ca="1"/>
        <v>45424</v>
      </c>
    </row>
    <row r="62" spans="1:7" x14ac:dyDescent="0.3">
      <c r="A62" s="6"/>
      <c r="B62" s="6"/>
      <c r="C62" s="6"/>
      <c r="D62" s="6"/>
      <c r="E62" s="6"/>
      <c r="F62" s="6"/>
      <c r="G62" s="7"/>
    </row>
    <row r="63" spans="1:7" ht="21" x14ac:dyDescent="0.3">
      <c r="A63" s="10">
        <f t="array" aca="1" ref="A63:G63" ca="1">Días+15+DATE(Calendario5Año,Calendario5MesOpción,1)-WEEKDAY(DATE(Calendario5Año,Calendario5MesOpción,1),DíaDeLaSemanaOpción)</f>
        <v>45425</v>
      </c>
      <c r="B63" s="10">
        <f ca="1"/>
        <v>45426</v>
      </c>
      <c r="C63" s="10">
        <f ca="1"/>
        <v>45427</v>
      </c>
      <c r="D63" s="10">
        <f ca="1"/>
        <v>45428</v>
      </c>
      <c r="E63" s="10">
        <f ca="1"/>
        <v>45429</v>
      </c>
      <c r="F63" s="10">
        <f ca="1"/>
        <v>45430</v>
      </c>
      <c r="G63" s="11">
        <f ca="1"/>
        <v>45431</v>
      </c>
    </row>
    <row r="64" spans="1:7" x14ac:dyDescent="0.3">
      <c r="A64" s="6"/>
      <c r="B64" s="6"/>
      <c r="C64" s="6"/>
      <c r="D64" s="6"/>
      <c r="E64" s="6"/>
      <c r="F64" s="6"/>
      <c r="G64" s="7"/>
    </row>
    <row r="65" spans="1:7" ht="21" x14ac:dyDescent="0.3">
      <c r="A65" s="10">
        <f t="array" aca="1" ref="A65:G65" ca="1">Días+22+DATE(Calendario5Año,Calendario5MesOpción,1)-WEEKDAY(DATE(Calendario5Año,Calendario5MesOpción,1),DíaDeLaSemanaOpción)</f>
        <v>45432</v>
      </c>
      <c r="B65" s="10">
        <f ca="1"/>
        <v>45433</v>
      </c>
      <c r="C65" s="10">
        <f ca="1"/>
        <v>45434</v>
      </c>
      <c r="D65" s="10">
        <f ca="1"/>
        <v>45435</v>
      </c>
      <c r="E65" s="10">
        <f ca="1"/>
        <v>45436</v>
      </c>
      <c r="F65" s="10">
        <f ca="1"/>
        <v>45437</v>
      </c>
      <c r="G65" s="11">
        <f ca="1"/>
        <v>45438</v>
      </c>
    </row>
    <row r="66" spans="1:7" x14ac:dyDescent="0.3">
      <c r="A66" s="6"/>
      <c r="B66" s="6"/>
      <c r="C66" s="6"/>
      <c r="D66" s="6"/>
      <c r="E66" s="6"/>
      <c r="F66" s="6"/>
      <c r="G66" s="7"/>
    </row>
    <row r="67" spans="1:7" ht="21" x14ac:dyDescent="0.3">
      <c r="A67" s="10">
        <f t="array" aca="1" ref="A67:G67" ca="1">Días+29+DATE(Calendario5Año,Calendario5MesOpción,1)-WEEKDAY(DATE(Calendario5Año,Calendario5MesOpción,1),DíaDeLaSemanaOpción)</f>
        <v>45439</v>
      </c>
      <c r="B67" s="10">
        <f ca="1"/>
        <v>45440</v>
      </c>
      <c r="C67" s="10">
        <f ca="1"/>
        <v>45441</v>
      </c>
      <c r="D67" s="10">
        <f ca="1"/>
        <v>45442</v>
      </c>
      <c r="E67" s="10">
        <f ca="1"/>
        <v>45443</v>
      </c>
      <c r="F67" s="10">
        <f ca="1"/>
        <v>45444</v>
      </c>
      <c r="G67" s="11">
        <f ca="1"/>
        <v>45445</v>
      </c>
    </row>
    <row r="68" spans="1:7" x14ac:dyDescent="0.3">
      <c r="A68" s="6"/>
      <c r="B68" s="6"/>
      <c r="C68" s="6"/>
      <c r="D68" s="6"/>
      <c r="E68" s="6"/>
      <c r="F68" s="6"/>
      <c r="G68" s="8"/>
    </row>
    <row r="69" spans="1:7" ht="21" x14ac:dyDescent="0.3">
      <c r="A69" s="10">
        <f t="array" aca="1" ref="A69:B69" ca="1">Días+36+DATE(Calendario5Año,Calendario5MesOpción,1)-WEEKDAY(DATE(Calendario5Año,Calendario5MesOpción,1),DíaDeLaSemanaOpción)</f>
        <v>45446</v>
      </c>
      <c r="B69" s="10">
        <f ca="1"/>
        <v>45447</v>
      </c>
      <c r="C69" s="61" t="s">
        <v>1</v>
      </c>
      <c r="D69" s="62"/>
      <c r="E69" s="62"/>
      <c r="F69" s="62"/>
      <c r="G69" s="62"/>
    </row>
    <row r="70" spans="1:7" x14ac:dyDescent="0.3">
      <c r="A70" s="6"/>
      <c r="B70" s="6"/>
      <c r="C70" s="63"/>
      <c r="D70" s="63"/>
      <c r="E70" s="63"/>
      <c r="F70" s="63"/>
      <c r="G70" s="63"/>
    </row>
    <row r="71" spans="1:7" ht="46.5" x14ac:dyDescent="0.7">
      <c r="A71" s="1">
        <f ca="1">YEAR(DATE(Calendario5Año,Calendario5MesOpción+1,1))</f>
        <v>2024</v>
      </c>
      <c r="B71" s="64" t="str">
        <f ca="1">TEXT(DATE(Calendario5Año,Calendario5MesOpción+1,1),"mmmm")</f>
        <v>junio</v>
      </c>
      <c r="C71" s="64"/>
      <c r="D71" s="64"/>
      <c r="E71" s="2"/>
      <c r="F71" s="2"/>
      <c r="G71" s="2"/>
    </row>
    <row r="72" spans="1:7" x14ac:dyDescent="0.3">
      <c r="A72" s="4" t="str">
        <f ca="1">UPPER(TEXT(A73,"dddd"))</f>
        <v>LUNES</v>
      </c>
      <c r="B72" s="5" t="str">
        <f t="shared" ref="B72:G72" ca="1" si="5">UPPER(TEXT(B73,"dddd"))</f>
        <v>MARTES</v>
      </c>
      <c r="C72" s="4" t="str">
        <f t="shared" ca="1" si="5"/>
        <v>MIÉRCOLES</v>
      </c>
      <c r="D72" s="5" t="str">
        <f t="shared" ca="1" si="5"/>
        <v>JUEVES</v>
      </c>
      <c r="E72" s="4" t="str">
        <f t="shared" ca="1" si="5"/>
        <v>VIERNES</v>
      </c>
      <c r="F72" s="5" t="str">
        <f t="shared" ca="1" si="5"/>
        <v>SÁBADO</v>
      </c>
      <c r="G72" s="4" t="str">
        <f t="shared" ca="1" si="5"/>
        <v>DOMINGO</v>
      </c>
    </row>
    <row r="73" spans="1:7" ht="21" x14ac:dyDescent="0.3">
      <c r="A73" s="10">
        <f t="array" aca="1" ref="A73:G73" ca="1">Días+1+DATE(Calendario6Año,Calendario6MesOpción,1)-WEEKDAY(DATE(Calendario6Año,Calendario6MesOpción,1),DíaDeLaSemanaOpción)</f>
        <v>45439</v>
      </c>
      <c r="B73" s="10">
        <f ca="1"/>
        <v>45440</v>
      </c>
      <c r="C73" s="10">
        <f ca="1"/>
        <v>45441</v>
      </c>
      <c r="D73" s="10">
        <f ca="1"/>
        <v>45442</v>
      </c>
      <c r="E73" s="10">
        <f ca="1"/>
        <v>45443</v>
      </c>
      <c r="F73" s="10">
        <f ca="1"/>
        <v>45444</v>
      </c>
      <c r="G73" s="11">
        <f ca="1"/>
        <v>45445</v>
      </c>
    </row>
    <row r="74" spans="1:7" x14ac:dyDescent="0.3">
      <c r="A74" s="6"/>
      <c r="B74" s="6"/>
      <c r="C74" s="6"/>
      <c r="D74" s="6"/>
      <c r="E74" s="6"/>
      <c r="F74" s="6"/>
      <c r="G74" s="7"/>
    </row>
    <row r="75" spans="1:7" ht="21" x14ac:dyDescent="0.3">
      <c r="A75" s="10">
        <f t="array" aca="1" ref="A75:G75" ca="1">Días+8+DATE(Calendario6Año,Calendario6MesOpción,1)-WEEKDAY(DATE(Calendario6Año,Calendario6MesOpción,1),DíaDeLaSemanaOpción)</f>
        <v>45446</v>
      </c>
      <c r="B75" s="10">
        <f ca="1"/>
        <v>45447</v>
      </c>
      <c r="C75" s="10">
        <f ca="1"/>
        <v>45448</v>
      </c>
      <c r="D75" s="10">
        <f ca="1"/>
        <v>45449</v>
      </c>
      <c r="E75" s="10">
        <f ca="1"/>
        <v>45450</v>
      </c>
      <c r="F75" s="10">
        <f ca="1"/>
        <v>45451</v>
      </c>
      <c r="G75" s="11">
        <f ca="1"/>
        <v>45452</v>
      </c>
    </row>
    <row r="76" spans="1:7" x14ac:dyDescent="0.3">
      <c r="A76" s="6"/>
      <c r="B76" s="6"/>
      <c r="C76" s="6"/>
      <c r="D76" s="6"/>
      <c r="E76" s="6"/>
      <c r="F76" s="6"/>
      <c r="G76" s="7"/>
    </row>
    <row r="77" spans="1:7" ht="21" x14ac:dyDescent="0.3">
      <c r="A77" s="10">
        <f t="array" aca="1" ref="A77:G77" ca="1">Días+15+DATE(Calendario6Año,Calendario6MesOpción,1)-WEEKDAY(DATE(Calendario6Año,Calendario6MesOpción,1),DíaDeLaSemanaOpción)</f>
        <v>45453</v>
      </c>
      <c r="B77" s="10">
        <f ca="1"/>
        <v>45454</v>
      </c>
      <c r="C77" s="10">
        <f ca="1"/>
        <v>45455</v>
      </c>
      <c r="D77" s="10">
        <f ca="1"/>
        <v>45456</v>
      </c>
      <c r="E77" s="10">
        <f ca="1"/>
        <v>45457</v>
      </c>
      <c r="F77" s="10">
        <f ca="1"/>
        <v>45458</v>
      </c>
      <c r="G77" s="11">
        <f ca="1"/>
        <v>45459</v>
      </c>
    </row>
    <row r="78" spans="1:7" x14ac:dyDescent="0.3">
      <c r="A78" s="6"/>
      <c r="B78" s="6"/>
      <c r="C78" s="6"/>
      <c r="D78" s="6"/>
      <c r="E78" s="6"/>
      <c r="F78" s="6"/>
      <c r="G78" s="7"/>
    </row>
    <row r="79" spans="1:7" ht="21" x14ac:dyDescent="0.3">
      <c r="A79" s="10">
        <f t="array" aca="1" ref="A79:G79" ca="1">Días+22+DATE(Calendario6Año,Calendario6MesOpción,1)-WEEKDAY(DATE(Calendario6Año,Calendario6MesOpción,1),DíaDeLaSemanaOpción)</f>
        <v>45460</v>
      </c>
      <c r="B79" s="10">
        <f ca="1"/>
        <v>45461</v>
      </c>
      <c r="C79" s="10">
        <f ca="1"/>
        <v>45462</v>
      </c>
      <c r="D79" s="10">
        <f ca="1"/>
        <v>45463</v>
      </c>
      <c r="E79" s="10">
        <f ca="1"/>
        <v>45464</v>
      </c>
      <c r="F79" s="10">
        <f ca="1"/>
        <v>45465</v>
      </c>
      <c r="G79" s="11">
        <f ca="1"/>
        <v>45466</v>
      </c>
    </row>
    <row r="80" spans="1:7" x14ac:dyDescent="0.3">
      <c r="A80" s="6"/>
      <c r="B80" s="6"/>
      <c r="C80" s="6"/>
      <c r="D80" s="6"/>
      <c r="E80" s="6"/>
      <c r="F80" s="6"/>
      <c r="G80" s="7"/>
    </row>
    <row r="81" spans="1:7" ht="21" x14ac:dyDescent="0.3">
      <c r="A81" s="10">
        <f t="array" aca="1" ref="A81:G81" ca="1">Días+29+DATE(Calendario6Año,Calendario6MesOpción,1)-WEEKDAY(DATE(Calendario6Año,Calendario6MesOpción,1),DíaDeLaSemanaOpción)</f>
        <v>45467</v>
      </c>
      <c r="B81" s="10">
        <f ca="1"/>
        <v>45468</v>
      </c>
      <c r="C81" s="10">
        <f ca="1"/>
        <v>45469</v>
      </c>
      <c r="D81" s="10">
        <f ca="1"/>
        <v>45470</v>
      </c>
      <c r="E81" s="10">
        <f ca="1"/>
        <v>45471</v>
      </c>
      <c r="F81" s="10">
        <f ca="1"/>
        <v>45472</v>
      </c>
      <c r="G81" s="11">
        <f ca="1"/>
        <v>45473</v>
      </c>
    </row>
    <row r="82" spans="1:7" x14ac:dyDescent="0.3">
      <c r="A82" s="6"/>
      <c r="B82" s="6"/>
      <c r="C82" s="6"/>
      <c r="D82" s="6"/>
      <c r="E82" s="6"/>
      <c r="F82" s="6"/>
      <c r="G82" s="8"/>
    </row>
    <row r="83" spans="1:7" ht="21" x14ac:dyDescent="0.3">
      <c r="A83" s="10">
        <f t="array" aca="1" ref="A83:B83" ca="1">Días+36+DATE(Calendario6Año,Calendario6MesOpción,1)-WEEKDAY(DATE(Calendario6Año,Calendario6MesOpción,1),DíaDeLaSemanaOpción)</f>
        <v>45474</v>
      </c>
      <c r="B83" s="10">
        <f ca="1"/>
        <v>45475</v>
      </c>
      <c r="C83" s="61" t="s">
        <v>1</v>
      </c>
      <c r="D83" s="62"/>
      <c r="E83" s="62"/>
      <c r="F83" s="62"/>
      <c r="G83" s="62"/>
    </row>
    <row r="84" spans="1:7" x14ac:dyDescent="0.3">
      <c r="A84" s="6"/>
      <c r="B84" s="6"/>
      <c r="C84" s="63"/>
      <c r="D84" s="63"/>
      <c r="E84" s="63"/>
      <c r="F84" s="63"/>
      <c r="G84" s="63"/>
    </row>
    <row r="85" spans="1:7" ht="46.5" x14ac:dyDescent="0.7">
      <c r="A85" s="1">
        <f ca="1">YEAR(DATE(Calendario6Año,Calendario6MesOpción+1,1))</f>
        <v>2024</v>
      </c>
      <c r="B85" s="64" t="str">
        <f ca="1">TEXT(DATE(Calendario6Año,Calendario6MesOpción+1,1),"mmmm")</f>
        <v>julio</v>
      </c>
      <c r="C85" s="64"/>
      <c r="D85" s="64"/>
      <c r="E85" s="2"/>
      <c r="F85" s="2"/>
      <c r="G85" s="2"/>
    </row>
    <row r="86" spans="1:7" x14ac:dyDescent="0.3">
      <c r="A86" s="4" t="str">
        <f ca="1">UPPER(TEXT(A87,"dddd"))</f>
        <v>LUNES</v>
      </c>
      <c r="B86" s="5" t="str">
        <f t="shared" ref="B86:G86" ca="1" si="6">UPPER(TEXT(B87,"dddd"))</f>
        <v>MARTES</v>
      </c>
      <c r="C86" s="4" t="str">
        <f t="shared" ca="1" si="6"/>
        <v>MIÉRCOLES</v>
      </c>
      <c r="D86" s="5" t="str">
        <f t="shared" ca="1" si="6"/>
        <v>JUEVES</v>
      </c>
      <c r="E86" s="4" t="str">
        <f t="shared" ca="1" si="6"/>
        <v>VIERNES</v>
      </c>
      <c r="F86" s="5" t="str">
        <f t="shared" ca="1" si="6"/>
        <v>SÁBADO</v>
      </c>
      <c r="G86" s="4" t="str">
        <f t="shared" ca="1" si="6"/>
        <v>DOMINGO</v>
      </c>
    </row>
    <row r="87" spans="1:7" ht="21" x14ac:dyDescent="0.3">
      <c r="A87" s="10">
        <f t="array" aca="1" ref="A87:G87" ca="1">Días+1+DATE(Calendario7Año,Calendario7MesOpción,1)-WEEKDAY(DATE(Calendario7Año,Calendario7MesOpción,1),DíaDeLaSemanaOpción)</f>
        <v>45474</v>
      </c>
      <c r="B87" s="10">
        <f ca="1"/>
        <v>45475</v>
      </c>
      <c r="C87" s="10">
        <f ca="1"/>
        <v>45476</v>
      </c>
      <c r="D87" s="10">
        <f ca="1"/>
        <v>45477</v>
      </c>
      <c r="E87" s="10">
        <f ca="1"/>
        <v>45478</v>
      </c>
      <c r="F87" s="10">
        <f ca="1"/>
        <v>45479</v>
      </c>
      <c r="G87" s="11">
        <f ca="1"/>
        <v>45480</v>
      </c>
    </row>
    <row r="88" spans="1:7" x14ac:dyDescent="0.3">
      <c r="A88" s="6"/>
      <c r="B88" s="6"/>
      <c r="C88" s="6"/>
      <c r="D88" s="6"/>
      <c r="E88" s="6"/>
      <c r="F88" s="6"/>
      <c r="G88" s="7"/>
    </row>
    <row r="89" spans="1:7" ht="21" x14ac:dyDescent="0.3">
      <c r="A89" s="10">
        <f t="array" aca="1" ref="A89:G89" ca="1">Días+8+DATE(Calendario7Año,Calendario7MesOpción,1)-WEEKDAY(DATE(Calendario7Año,Calendario7MesOpción,1),DíaDeLaSemanaOpción)</f>
        <v>45481</v>
      </c>
      <c r="B89" s="10">
        <f ca="1"/>
        <v>45482</v>
      </c>
      <c r="C89" s="10">
        <f ca="1"/>
        <v>45483</v>
      </c>
      <c r="D89" s="10">
        <f ca="1"/>
        <v>45484</v>
      </c>
      <c r="E89" s="10">
        <f ca="1"/>
        <v>45485</v>
      </c>
      <c r="F89" s="10">
        <f ca="1"/>
        <v>45486</v>
      </c>
      <c r="G89" s="11">
        <f ca="1"/>
        <v>45487</v>
      </c>
    </row>
    <row r="90" spans="1:7" x14ac:dyDescent="0.3">
      <c r="A90" s="6"/>
      <c r="B90" s="6"/>
      <c r="C90" s="6"/>
      <c r="D90" s="6"/>
      <c r="E90" s="6"/>
      <c r="F90" s="6"/>
      <c r="G90" s="7"/>
    </row>
    <row r="91" spans="1:7" ht="21" x14ac:dyDescent="0.3">
      <c r="A91" s="10">
        <f t="array" aca="1" ref="A91:G91" ca="1">Días+15+DATE(Calendario7Año,Calendario7MesOpción,1)-WEEKDAY(DATE(Calendario7Año,Calendario7MesOpción,1),DíaDeLaSemanaOpción)</f>
        <v>45488</v>
      </c>
      <c r="B91" s="10">
        <f ca="1"/>
        <v>45489</v>
      </c>
      <c r="C91" s="10">
        <f ca="1"/>
        <v>45490</v>
      </c>
      <c r="D91" s="10">
        <f ca="1"/>
        <v>45491</v>
      </c>
      <c r="E91" s="10">
        <f ca="1"/>
        <v>45492</v>
      </c>
      <c r="F91" s="10">
        <f ca="1"/>
        <v>45493</v>
      </c>
      <c r="G91" s="11">
        <f ca="1"/>
        <v>45494</v>
      </c>
    </row>
    <row r="92" spans="1:7" x14ac:dyDescent="0.3">
      <c r="A92" s="6"/>
      <c r="B92" s="6"/>
      <c r="C92" s="6"/>
      <c r="D92" s="6"/>
      <c r="E92" s="6"/>
      <c r="F92" s="6"/>
      <c r="G92" s="7"/>
    </row>
    <row r="93" spans="1:7" ht="21" x14ac:dyDescent="0.3">
      <c r="A93" s="10">
        <f t="array" aca="1" ref="A93:G93" ca="1">Días+22+DATE(Calendario7Año,Calendario7MesOpción,1)-WEEKDAY(DATE(Calendario7Año,Calendario7MesOpción,1),DíaDeLaSemanaOpción)</f>
        <v>45495</v>
      </c>
      <c r="B93" s="10">
        <f ca="1"/>
        <v>45496</v>
      </c>
      <c r="C93" s="10">
        <f ca="1"/>
        <v>45497</v>
      </c>
      <c r="D93" s="10">
        <f ca="1"/>
        <v>45498</v>
      </c>
      <c r="E93" s="10">
        <f ca="1"/>
        <v>45499</v>
      </c>
      <c r="F93" s="10">
        <f ca="1"/>
        <v>45500</v>
      </c>
      <c r="G93" s="11">
        <f ca="1"/>
        <v>45501</v>
      </c>
    </row>
    <row r="94" spans="1:7" x14ac:dyDescent="0.3">
      <c r="A94" s="6"/>
      <c r="B94" s="6"/>
      <c r="C94" s="6"/>
      <c r="D94" s="6"/>
      <c r="E94" s="6"/>
      <c r="F94" s="6"/>
      <c r="G94" s="7"/>
    </row>
    <row r="95" spans="1:7" ht="21" x14ac:dyDescent="0.3">
      <c r="A95" s="10">
        <f t="array" aca="1" ref="A95:G95" ca="1">Días+29+DATE(Calendario7Año,Calendario7MesOpción,1)-WEEKDAY(DATE(Calendario7Año,Calendario7MesOpción,1),DíaDeLaSemanaOpción)</f>
        <v>45502</v>
      </c>
      <c r="B95" s="10">
        <f ca="1"/>
        <v>45503</v>
      </c>
      <c r="C95" s="10">
        <f ca="1"/>
        <v>45504</v>
      </c>
      <c r="D95" s="10">
        <f ca="1"/>
        <v>45505</v>
      </c>
      <c r="E95" s="10">
        <f ca="1"/>
        <v>45506</v>
      </c>
      <c r="F95" s="10">
        <f ca="1"/>
        <v>45507</v>
      </c>
      <c r="G95" s="11">
        <f ca="1"/>
        <v>45508</v>
      </c>
    </row>
    <row r="96" spans="1:7" x14ac:dyDescent="0.3">
      <c r="A96" s="6"/>
      <c r="B96" s="6"/>
      <c r="C96" s="6"/>
      <c r="D96" s="6"/>
      <c r="E96" s="6"/>
      <c r="F96" s="6"/>
      <c r="G96" s="8"/>
    </row>
    <row r="97" spans="1:7" ht="21" x14ac:dyDescent="0.3">
      <c r="A97" s="10">
        <f t="array" aca="1" ref="A97:B97" ca="1">Días+36+DATE(Calendario7Año,Calendario7MesOpción,1)-WEEKDAY(DATE(Calendario7Año,Calendario7MesOpción,1),DíaDeLaSemanaOpción)</f>
        <v>45509</v>
      </c>
      <c r="B97" s="10">
        <f ca="1"/>
        <v>45510</v>
      </c>
      <c r="C97" s="61" t="s">
        <v>1</v>
      </c>
      <c r="D97" s="62"/>
      <c r="E97" s="62"/>
      <c r="F97" s="62"/>
      <c r="G97" s="62"/>
    </row>
    <row r="98" spans="1:7" x14ac:dyDescent="0.3">
      <c r="A98" s="6"/>
      <c r="B98" s="6"/>
      <c r="C98" s="63"/>
      <c r="D98" s="63"/>
      <c r="E98" s="63"/>
      <c r="F98" s="63"/>
      <c r="G98" s="63"/>
    </row>
    <row r="99" spans="1:7" ht="46.5" x14ac:dyDescent="0.7">
      <c r="A99" s="1">
        <f ca="1">YEAR(DATE(Calendario7Año,Calendario7MesOpción+1,1))</f>
        <v>2024</v>
      </c>
      <c r="B99" s="64" t="str">
        <f ca="1">TEXT(DATE(Calendario7Año,Calendario7MesOpción+1,1),"mmmm")</f>
        <v>agosto</v>
      </c>
      <c r="C99" s="64"/>
      <c r="D99" s="64"/>
      <c r="E99" s="2"/>
      <c r="F99" s="2"/>
      <c r="G99" s="2"/>
    </row>
    <row r="100" spans="1:7" x14ac:dyDescent="0.3">
      <c r="A100" s="4" t="str">
        <f ca="1">UPPER(TEXT(A101,"dddd"))</f>
        <v>LUNES</v>
      </c>
      <c r="B100" s="5" t="str">
        <f t="shared" ref="B100:G100" ca="1" si="7">UPPER(TEXT(B101,"dddd"))</f>
        <v>MARTES</v>
      </c>
      <c r="C100" s="4" t="str">
        <f t="shared" ca="1" si="7"/>
        <v>MIÉRCOLES</v>
      </c>
      <c r="D100" s="5" t="str">
        <f t="shared" ca="1" si="7"/>
        <v>JUEVES</v>
      </c>
      <c r="E100" s="4" t="str">
        <f t="shared" ca="1" si="7"/>
        <v>VIERNES</v>
      </c>
      <c r="F100" s="5" t="str">
        <f t="shared" ca="1" si="7"/>
        <v>SÁBADO</v>
      </c>
      <c r="G100" s="4" t="str">
        <f t="shared" ca="1" si="7"/>
        <v>DOMINGO</v>
      </c>
    </row>
    <row r="101" spans="1:7" ht="21" x14ac:dyDescent="0.3">
      <c r="A101" s="10">
        <f t="array" aca="1" ref="A101:G101" ca="1">Días+1+DATE(Calendario8Año,Calendario8MesOpción,1)-WEEKDAY(DATE(Calendario8Año,Calendario8MesOpción,1),DíaDeLaSemanaOpción)</f>
        <v>45502</v>
      </c>
      <c r="B101" s="10">
        <f ca="1"/>
        <v>45503</v>
      </c>
      <c r="C101" s="10">
        <f ca="1"/>
        <v>45504</v>
      </c>
      <c r="D101" s="10">
        <f ca="1"/>
        <v>45505</v>
      </c>
      <c r="E101" s="10">
        <f ca="1"/>
        <v>45506</v>
      </c>
      <c r="F101" s="10">
        <f ca="1"/>
        <v>45507</v>
      </c>
      <c r="G101" s="11">
        <f ca="1"/>
        <v>45508</v>
      </c>
    </row>
    <row r="102" spans="1:7" x14ac:dyDescent="0.3">
      <c r="A102" s="6"/>
      <c r="B102" s="6"/>
      <c r="C102" s="6"/>
      <c r="D102" s="6"/>
      <c r="E102" s="6"/>
      <c r="F102" s="6"/>
      <c r="G102" s="7"/>
    </row>
    <row r="103" spans="1:7" ht="21" x14ac:dyDescent="0.3">
      <c r="A103" s="10">
        <f t="array" aca="1" ref="A103:G103" ca="1">Días+8+DATE(Calendario8Año,Calendario8MesOpción,1)-WEEKDAY(DATE(Calendario8Año,Calendario8MesOpción,1),DíaDeLaSemanaOpción)</f>
        <v>45509</v>
      </c>
      <c r="B103" s="10">
        <f ca="1"/>
        <v>45510</v>
      </c>
      <c r="C103" s="10">
        <f ca="1"/>
        <v>45511</v>
      </c>
      <c r="D103" s="10">
        <f ca="1"/>
        <v>45512</v>
      </c>
      <c r="E103" s="10">
        <f ca="1"/>
        <v>45513</v>
      </c>
      <c r="F103" s="10">
        <f ca="1"/>
        <v>45514</v>
      </c>
      <c r="G103" s="11">
        <f ca="1"/>
        <v>45515</v>
      </c>
    </row>
    <row r="104" spans="1:7" x14ac:dyDescent="0.3">
      <c r="A104" s="6"/>
      <c r="B104" s="6"/>
      <c r="C104" s="6"/>
      <c r="D104" s="6"/>
      <c r="E104" s="6"/>
      <c r="F104" s="6"/>
      <c r="G104" s="7"/>
    </row>
    <row r="105" spans="1:7" ht="21" x14ac:dyDescent="0.3">
      <c r="A105" s="10">
        <f t="array" aca="1" ref="A105:G105" ca="1">Días+15+DATE(Calendario8Año,Calendario8MesOpción,1)-WEEKDAY(DATE(Calendario8Año,Calendario8MesOpción,1),DíaDeLaSemanaOpción)</f>
        <v>45516</v>
      </c>
      <c r="B105" s="10">
        <f ca="1"/>
        <v>45517</v>
      </c>
      <c r="C105" s="10">
        <f ca="1"/>
        <v>45518</v>
      </c>
      <c r="D105" s="10">
        <f ca="1"/>
        <v>45519</v>
      </c>
      <c r="E105" s="10">
        <f ca="1"/>
        <v>45520</v>
      </c>
      <c r="F105" s="10">
        <f ca="1"/>
        <v>45521</v>
      </c>
      <c r="G105" s="11">
        <f ca="1"/>
        <v>45522</v>
      </c>
    </row>
    <row r="106" spans="1:7" x14ac:dyDescent="0.3">
      <c r="A106" s="6"/>
      <c r="B106" s="6"/>
      <c r="C106" s="6"/>
      <c r="D106" s="6"/>
      <c r="E106" s="6"/>
      <c r="F106" s="6"/>
      <c r="G106" s="7"/>
    </row>
    <row r="107" spans="1:7" ht="21" x14ac:dyDescent="0.3">
      <c r="A107" s="10">
        <f t="array" aca="1" ref="A107:G107" ca="1">Días+22+DATE(Calendario8Año,Calendario8MesOpción,1)-WEEKDAY(DATE(Calendario8Año,Calendario8MesOpción,1),DíaDeLaSemanaOpción)</f>
        <v>45523</v>
      </c>
      <c r="B107" s="10">
        <f ca="1"/>
        <v>45524</v>
      </c>
      <c r="C107" s="10">
        <f ca="1"/>
        <v>45525</v>
      </c>
      <c r="D107" s="10">
        <f ca="1"/>
        <v>45526</v>
      </c>
      <c r="E107" s="10">
        <f ca="1"/>
        <v>45527</v>
      </c>
      <c r="F107" s="10">
        <f ca="1"/>
        <v>45528</v>
      </c>
      <c r="G107" s="11">
        <f ca="1"/>
        <v>45529</v>
      </c>
    </row>
    <row r="108" spans="1:7" x14ac:dyDescent="0.3">
      <c r="A108" s="6"/>
      <c r="B108" s="6"/>
      <c r="C108" s="6"/>
      <c r="D108" s="6"/>
      <c r="E108" s="6"/>
      <c r="F108" s="6"/>
      <c r="G108" s="7"/>
    </row>
    <row r="109" spans="1:7" ht="21" x14ac:dyDescent="0.3">
      <c r="A109" s="10">
        <f t="array" aca="1" ref="A109:G109" ca="1">Días+29+DATE(Calendario8Año,Calendario8MesOpción,1)-WEEKDAY(DATE(Calendario8Año,Calendario8MesOpción,1),DíaDeLaSemanaOpción)</f>
        <v>45530</v>
      </c>
      <c r="B109" s="10">
        <f ca="1"/>
        <v>45531</v>
      </c>
      <c r="C109" s="10">
        <f ca="1"/>
        <v>45532</v>
      </c>
      <c r="D109" s="10">
        <f ca="1"/>
        <v>45533</v>
      </c>
      <c r="E109" s="10">
        <f ca="1"/>
        <v>45534</v>
      </c>
      <c r="F109" s="10">
        <f ca="1"/>
        <v>45535</v>
      </c>
      <c r="G109" s="11">
        <f ca="1"/>
        <v>45536</v>
      </c>
    </row>
    <row r="110" spans="1:7" x14ac:dyDescent="0.3">
      <c r="A110" s="6"/>
      <c r="B110" s="6"/>
      <c r="C110" s="6"/>
      <c r="D110" s="6"/>
      <c r="E110" s="6"/>
      <c r="F110" s="6"/>
      <c r="G110" s="8"/>
    </row>
    <row r="111" spans="1:7" ht="21" x14ac:dyDescent="0.3">
      <c r="A111" s="10">
        <f t="array" aca="1" ref="A111:B111" ca="1">Días+36+DATE(Calendario8Año,Calendario8MesOpción,1)-WEEKDAY(DATE(Calendario8Año,Calendario8MesOpción,1),DíaDeLaSemanaOpción)</f>
        <v>45537</v>
      </c>
      <c r="B111" s="10">
        <f ca="1"/>
        <v>45538</v>
      </c>
      <c r="C111" s="61" t="s">
        <v>1</v>
      </c>
      <c r="D111" s="62"/>
      <c r="E111" s="62"/>
      <c r="F111" s="62"/>
      <c r="G111" s="62"/>
    </row>
    <row r="112" spans="1:7" x14ac:dyDescent="0.3">
      <c r="A112" s="6"/>
      <c r="B112" s="6"/>
      <c r="C112" s="63"/>
      <c r="D112" s="63"/>
      <c r="E112" s="63"/>
      <c r="F112" s="63"/>
      <c r="G112" s="63"/>
    </row>
    <row r="113" spans="1:7" ht="46.5" x14ac:dyDescent="0.7">
      <c r="A113" s="1">
        <f ca="1">YEAR(DATE(Calendario8Año,Calendario8MesOpción+1,1))</f>
        <v>2024</v>
      </c>
      <c r="B113" s="64" t="str">
        <f ca="1">TEXT(DATE(Calendario8Año,Calendario8MesOpción+1,1),"mmmm")</f>
        <v>septiembre</v>
      </c>
      <c r="C113" s="64"/>
      <c r="D113" s="64"/>
      <c r="E113" s="2"/>
      <c r="F113" s="2"/>
      <c r="G113" s="2"/>
    </row>
    <row r="114" spans="1:7" x14ac:dyDescent="0.3">
      <c r="A114" s="4" t="str">
        <f ca="1">UPPER(TEXT(A115,"dddd"))</f>
        <v>LUNES</v>
      </c>
      <c r="B114" s="5" t="str">
        <f t="shared" ref="B114:G114" ca="1" si="8">UPPER(TEXT(B115,"dddd"))</f>
        <v>MARTES</v>
      </c>
      <c r="C114" s="4" t="str">
        <f t="shared" ca="1" si="8"/>
        <v>MIÉRCOLES</v>
      </c>
      <c r="D114" s="5" t="str">
        <f t="shared" ca="1" si="8"/>
        <v>JUEVES</v>
      </c>
      <c r="E114" s="4" t="str">
        <f t="shared" ca="1" si="8"/>
        <v>VIERNES</v>
      </c>
      <c r="F114" s="5" t="str">
        <f t="shared" ca="1" si="8"/>
        <v>SÁBADO</v>
      </c>
      <c r="G114" s="4" t="str">
        <f t="shared" ca="1" si="8"/>
        <v>DOMINGO</v>
      </c>
    </row>
    <row r="115" spans="1:7" ht="21" x14ac:dyDescent="0.3">
      <c r="A115" s="10">
        <f t="array" aca="1" ref="A115:G115" ca="1">Días+1+DATE(Calendario9Año,Calendario9MesOpción,1)-WEEKDAY(DATE(Calendario9Año,Calendario9MesOpción,1),DíaDeLaSemanaOpción)</f>
        <v>45530</v>
      </c>
      <c r="B115" s="10">
        <f ca="1"/>
        <v>45531</v>
      </c>
      <c r="C115" s="10">
        <f ca="1"/>
        <v>45532</v>
      </c>
      <c r="D115" s="10">
        <f ca="1"/>
        <v>45533</v>
      </c>
      <c r="E115" s="10">
        <f ca="1"/>
        <v>45534</v>
      </c>
      <c r="F115" s="10">
        <f ca="1"/>
        <v>45535</v>
      </c>
      <c r="G115" s="11">
        <f ca="1"/>
        <v>45536</v>
      </c>
    </row>
    <row r="116" spans="1:7" x14ac:dyDescent="0.3">
      <c r="A116" s="6"/>
      <c r="B116" s="6"/>
      <c r="C116" s="6"/>
      <c r="D116" s="6"/>
      <c r="E116" s="6"/>
      <c r="F116" s="6"/>
      <c r="G116" s="7"/>
    </row>
    <row r="117" spans="1:7" ht="21" x14ac:dyDescent="0.3">
      <c r="A117" s="10">
        <f t="array" aca="1" ref="A117:G117" ca="1">Días+8+DATE(Calendario9Año,Calendario9MesOpción,1)-WEEKDAY(DATE(Calendario9Año,Calendario9MesOpción,1),DíaDeLaSemanaOpción)</f>
        <v>45537</v>
      </c>
      <c r="B117" s="10">
        <f ca="1"/>
        <v>45538</v>
      </c>
      <c r="C117" s="10">
        <f ca="1"/>
        <v>45539</v>
      </c>
      <c r="D117" s="10">
        <f ca="1"/>
        <v>45540</v>
      </c>
      <c r="E117" s="10">
        <f ca="1"/>
        <v>45541</v>
      </c>
      <c r="F117" s="10">
        <f ca="1"/>
        <v>45542</v>
      </c>
      <c r="G117" s="11">
        <f ca="1"/>
        <v>45543</v>
      </c>
    </row>
    <row r="118" spans="1:7" x14ac:dyDescent="0.3">
      <c r="A118" s="6"/>
      <c r="B118" s="6"/>
      <c r="C118" s="6"/>
      <c r="D118" s="6"/>
      <c r="E118" s="6"/>
      <c r="F118" s="6"/>
      <c r="G118" s="7"/>
    </row>
    <row r="119" spans="1:7" ht="21" x14ac:dyDescent="0.3">
      <c r="A119" s="10">
        <f t="array" aca="1" ref="A119:G119" ca="1">Días+15+DATE(Calendario9Año,Calendario9MesOpción,1)-WEEKDAY(DATE(Calendario9Año,Calendario9MesOpción,1),DíaDeLaSemanaOpción)</f>
        <v>45544</v>
      </c>
      <c r="B119" s="10">
        <f ca="1"/>
        <v>45545</v>
      </c>
      <c r="C119" s="10">
        <f ca="1"/>
        <v>45546</v>
      </c>
      <c r="D119" s="10">
        <f ca="1"/>
        <v>45547</v>
      </c>
      <c r="E119" s="10">
        <f ca="1"/>
        <v>45548</v>
      </c>
      <c r="F119" s="10">
        <f ca="1"/>
        <v>45549</v>
      </c>
      <c r="G119" s="11">
        <f ca="1"/>
        <v>45550</v>
      </c>
    </row>
    <row r="120" spans="1:7" x14ac:dyDescent="0.3">
      <c r="A120" s="6"/>
      <c r="B120" s="6"/>
      <c r="C120" s="6"/>
      <c r="D120" s="6"/>
      <c r="E120" s="6"/>
      <c r="F120" s="6"/>
      <c r="G120" s="7"/>
    </row>
    <row r="121" spans="1:7" ht="21" x14ac:dyDescent="0.3">
      <c r="A121" s="10">
        <f t="array" aca="1" ref="A121:G121" ca="1">Días+22+DATE(Calendario9Año,Calendario9MesOpción,1)-WEEKDAY(DATE(Calendario9Año,Calendario9MesOpción,1),DíaDeLaSemanaOpción)</f>
        <v>45551</v>
      </c>
      <c r="B121" s="10">
        <f ca="1"/>
        <v>45552</v>
      </c>
      <c r="C121" s="10">
        <f ca="1"/>
        <v>45553</v>
      </c>
      <c r="D121" s="10">
        <f ca="1"/>
        <v>45554</v>
      </c>
      <c r="E121" s="10">
        <f ca="1"/>
        <v>45555</v>
      </c>
      <c r="F121" s="10">
        <f ca="1"/>
        <v>45556</v>
      </c>
      <c r="G121" s="11">
        <f ca="1"/>
        <v>45557</v>
      </c>
    </row>
    <row r="122" spans="1:7" x14ac:dyDescent="0.3">
      <c r="A122" s="6"/>
      <c r="B122" s="6"/>
      <c r="C122" s="6"/>
      <c r="D122" s="6"/>
      <c r="E122" s="6"/>
      <c r="F122" s="6"/>
      <c r="G122" s="7"/>
    </row>
    <row r="123" spans="1:7" ht="21" x14ac:dyDescent="0.3">
      <c r="A123" s="10">
        <f t="array" aca="1" ref="A123:G123" ca="1">Días+29+DATE(Calendario9Año,Calendario9MesOpción,1)-WEEKDAY(DATE(Calendario9Año,Calendario9MesOpción,1),DíaDeLaSemanaOpción)</f>
        <v>45558</v>
      </c>
      <c r="B123" s="10">
        <f ca="1"/>
        <v>45559</v>
      </c>
      <c r="C123" s="10">
        <f ca="1"/>
        <v>45560</v>
      </c>
      <c r="D123" s="10">
        <f ca="1"/>
        <v>45561</v>
      </c>
      <c r="E123" s="10">
        <f ca="1"/>
        <v>45562</v>
      </c>
      <c r="F123" s="10">
        <f ca="1"/>
        <v>45563</v>
      </c>
      <c r="G123" s="11">
        <f ca="1"/>
        <v>45564</v>
      </c>
    </row>
    <row r="124" spans="1:7" x14ac:dyDescent="0.3">
      <c r="A124" s="6"/>
      <c r="B124" s="6"/>
      <c r="C124" s="6"/>
      <c r="D124" s="6"/>
      <c r="E124" s="6"/>
      <c r="F124" s="6"/>
      <c r="G124" s="8"/>
    </row>
    <row r="125" spans="1:7" ht="21" x14ac:dyDescent="0.3">
      <c r="A125" s="10">
        <f t="array" aca="1" ref="A125:B125" ca="1">Días+36+DATE(Calendario9Año,Calendario9MesOpción,1)-WEEKDAY(DATE(Calendario9Año,Calendario9MesOpción,1),DíaDeLaSemanaOpción)</f>
        <v>45565</v>
      </c>
      <c r="B125" s="10">
        <f ca="1"/>
        <v>45566</v>
      </c>
      <c r="C125" s="61" t="s">
        <v>1</v>
      </c>
      <c r="D125" s="62"/>
      <c r="E125" s="62"/>
      <c r="F125" s="62"/>
      <c r="G125" s="62"/>
    </row>
    <row r="126" spans="1:7" x14ac:dyDescent="0.3">
      <c r="A126" s="6"/>
      <c r="B126" s="6"/>
      <c r="C126" s="63"/>
      <c r="D126" s="63"/>
      <c r="E126" s="63"/>
      <c r="F126" s="63"/>
      <c r="G126" s="63"/>
    </row>
    <row r="127" spans="1:7" ht="46.5" x14ac:dyDescent="0.7">
      <c r="A127" s="12">
        <f ca="1">YEAR(DATE(Calendario9Año,Calendario9MesOpción+1,1))</f>
        <v>2024</v>
      </c>
      <c r="B127" s="64" t="str">
        <f ca="1">TEXT(DATE(Calendario9Año,Calendario9MesOpción+1,1),"mmmm")</f>
        <v>octubre</v>
      </c>
      <c r="C127" s="64"/>
      <c r="D127" s="64"/>
      <c r="E127" s="2"/>
      <c r="F127" s="2"/>
      <c r="G127" s="2"/>
    </row>
    <row r="128" spans="1:7" x14ac:dyDescent="0.3">
      <c r="A128" s="4" t="str">
        <f ca="1">UPPER(TEXT(A129,"dddd"))</f>
        <v>LUNES</v>
      </c>
      <c r="B128" s="5" t="str">
        <f t="shared" ref="B128:G128" ca="1" si="9">UPPER(TEXT(B129,"dddd"))</f>
        <v>MARTES</v>
      </c>
      <c r="C128" s="4" t="str">
        <f t="shared" ca="1" si="9"/>
        <v>MIÉRCOLES</v>
      </c>
      <c r="D128" s="5" t="str">
        <f t="shared" ca="1" si="9"/>
        <v>JUEVES</v>
      </c>
      <c r="E128" s="4" t="str">
        <f t="shared" ca="1" si="9"/>
        <v>VIERNES</v>
      </c>
      <c r="F128" s="5" t="str">
        <f t="shared" ca="1" si="9"/>
        <v>SÁBADO</v>
      </c>
      <c r="G128" s="4" t="str">
        <f t="shared" ca="1" si="9"/>
        <v>DOMINGO</v>
      </c>
    </row>
    <row r="129" spans="1:7" ht="21" x14ac:dyDescent="0.3">
      <c r="A129" s="10">
        <f t="array" aca="1" ref="A129:G129" ca="1">Días+1+DATE(Calendario10Año,Calendario10MesOpción,1)-WEEKDAY(DATE(Calendario10Año,Calendario10MesOpción,1),DíaDeLaSemanaOpción)</f>
        <v>45565</v>
      </c>
      <c r="B129" s="10">
        <f ca="1"/>
        <v>45566</v>
      </c>
      <c r="C129" s="10">
        <f ca="1"/>
        <v>45567</v>
      </c>
      <c r="D129" s="10">
        <f ca="1"/>
        <v>45568</v>
      </c>
      <c r="E129" s="10">
        <f ca="1"/>
        <v>45569</v>
      </c>
      <c r="F129" s="10">
        <f ca="1"/>
        <v>45570</v>
      </c>
      <c r="G129" s="11">
        <f ca="1"/>
        <v>45571</v>
      </c>
    </row>
    <row r="130" spans="1:7" x14ac:dyDescent="0.3">
      <c r="A130" s="6"/>
      <c r="B130" s="6"/>
      <c r="C130" s="6"/>
      <c r="D130" s="6"/>
      <c r="E130" s="6"/>
      <c r="F130" s="6"/>
      <c r="G130" s="7"/>
    </row>
    <row r="131" spans="1:7" ht="21" x14ac:dyDescent="0.3">
      <c r="A131" s="10">
        <f t="array" aca="1" ref="A131:G131" ca="1">Días+8+DATE(Calendario10Año,Calendario10MesOpción,1)-WEEKDAY(DATE(Calendario10Año,Calendario10MesOpción,1),DíaDeLaSemanaOpción)</f>
        <v>45572</v>
      </c>
      <c r="B131" s="10">
        <f ca="1"/>
        <v>45573</v>
      </c>
      <c r="C131" s="10">
        <f ca="1"/>
        <v>45574</v>
      </c>
      <c r="D131" s="10">
        <f ca="1"/>
        <v>45575</v>
      </c>
      <c r="E131" s="10">
        <f ca="1"/>
        <v>45576</v>
      </c>
      <c r="F131" s="10">
        <f ca="1"/>
        <v>45577</v>
      </c>
      <c r="G131" s="11">
        <f ca="1"/>
        <v>45578</v>
      </c>
    </row>
    <row r="132" spans="1:7" x14ac:dyDescent="0.3">
      <c r="A132" s="6"/>
      <c r="B132" s="6"/>
      <c r="C132" s="6"/>
      <c r="D132" s="6"/>
      <c r="E132" s="6"/>
      <c r="F132" s="6"/>
      <c r="G132" s="7"/>
    </row>
    <row r="133" spans="1:7" ht="21" x14ac:dyDescent="0.3">
      <c r="A133" s="10">
        <f t="array" aca="1" ref="A133:G133" ca="1">Días+15+DATE(Calendario10Año,Calendario10MesOpción,1)-WEEKDAY(DATE(Calendario10Año,Calendario10MesOpción,1),DíaDeLaSemanaOpción)</f>
        <v>45579</v>
      </c>
      <c r="B133" s="10">
        <f ca="1"/>
        <v>45580</v>
      </c>
      <c r="C133" s="10">
        <f ca="1"/>
        <v>45581</v>
      </c>
      <c r="D133" s="10">
        <f ca="1"/>
        <v>45582</v>
      </c>
      <c r="E133" s="10">
        <f ca="1"/>
        <v>45583</v>
      </c>
      <c r="F133" s="10">
        <f ca="1"/>
        <v>45584</v>
      </c>
      <c r="G133" s="11">
        <f ca="1"/>
        <v>45585</v>
      </c>
    </row>
    <row r="134" spans="1:7" x14ac:dyDescent="0.3">
      <c r="A134" s="6"/>
      <c r="B134" s="6"/>
      <c r="C134" s="6"/>
      <c r="D134" s="6"/>
      <c r="E134" s="6"/>
      <c r="F134" s="6"/>
      <c r="G134" s="7"/>
    </row>
    <row r="135" spans="1:7" ht="21" x14ac:dyDescent="0.3">
      <c r="A135" s="10">
        <f t="array" aca="1" ref="A135:G135" ca="1">Días+22+DATE(Calendario10Año,Calendario10MesOpción,1)-WEEKDAY(DATE(Calendario10Año,Calendario10MesOpción,1),DíaDeLaSemanaOpción)</f>
        <v>45586</v>
      </c>
      <c r="B135" s="10">
        <f ca="1"/>
        <v>45587</v>
      </c>
      <c r="C135" s="10">
        <f ca="1"/>
        <v>45588</v>
      </c>
      <c r="D135" s="10">
        <f ca="1"/>
        <v>45589</v>
      </c>
      <c r="E135" s="10">
        <f ca="1"/>
        <v>45590</v>
      </c>
      <c r="F135" s="10">
        <f ca="1"/>
        <v>45591</v>
      </c>
      <c r="G135" s="11">
        <f ca="1"/>
        <v>45592</v>
      </c>
    </row>
    <row r="136" spans="1:7" x14ac:dyDescent="0.3">
      <c r="A136" s="6"/>
      <c r="B136" s="6"/>
      <c r="C136" s="6"/>
      <c r="D136" s="6"/>
      <c r="E136" s="6"/>
      <c r="F136" s="6"/>
      <c r="G136" s="7"/>
    </row>
    <row r="137" spans="1:7" ht="21" x14ac:dyDescent="0.3">
      <c r="A137" s="10">
        <f t="array" aca="1" ref="A137:G137" ca="1">Días+29+DATE(Calendario10Año,Calendario10MesOpción,1)-WEEKDAY(DATE(Calendario10Año,Calendario10MesOpción,1),DíaDeLaSemanaOpción)</f>
        <v>45593</v>
      </c>
      <c r="B137" s="10">
        <f ca="1"/>
        <v>45594</v>
      </c>
      <c r="C137" s="10">
        <f ca="1"/>
        <v>45595</v>
      </c>
      <c r="D137" s="10">
        <f ca="1"/>
        <v>45596</v>
      </c>
      <c r="E137" s="10">
        <f ca="1"/>
        <v>45597</v>
      </c>
      <c r="F137" s="10">
        <f ca="1"/>
        <v>45598</v>
      </c>
      <c r="G137" s="11">
        <f ca="1"/>
        <v>45599</v>
      </c>
    </row>
    <row r="138" spans="1:7" x14ac:dyDescent="0.3">
      <c r="A138" s="6"/>
      <c r="B138" s="6"/>
      <c r="C138" s="6"/>
      <c r="D138" s="6"/>
      <c r="E138" s="6"/>
      <c r="F138" s="6"/>
      <c r="G138" s="8"/>
    </row>
    <row r="139" spans="1:7" ht="21" x14ac:dyDescent="0.3">
      <c r="A139" s="10">
        <f t="array" aca="1" ref="A139:B139" ca="1">Días+36+DATE(Calendario10Año,Calendario10MesOpción,1)-WEEKDAY(DATE(Calendario10Año,Calendario10MesOpción,1),DíaDeLaSemanaOpción)</f>
        <v>45600</v>
      </c>
      <c r="B139" s="10">
        <f ca="1"/>
        <v>45601</v>
      </c>
      <c r="C139" s="61" t="s">
        <v>1</v>
      </c>
      <c r="D139" s="62"/>
      <c r="E139" s="62"/>
      <c r="F139" s="62"/>
      <c r="G139" s="62"/>
    </row>
    <row r="140" spans="1:7" x14ac:dyDescent="0.3">
      <c r="A140" s="6"/>
      <c r="B140" s="6"/>
      <c r="C140" s="63"/>
      <c r="D140" s="63"/>
      <c r="E140" s="63"/>
      <c r="F140" s="63"/>
      <c r="G140" s="63"/>
    </row>
    <row r="141" spans="1:7" ht="46.5" x14ac:dyDescent="0.7">
      <c r="A141" s="1">
        <f ca="1">YEAR(DATE(Calendario10Año,Calendario10MesOpción+1,1))</f>
        <v>2024</v>
      </c>
      <c r="B141" s="64" t="str">
        <f ca="1">TEXT(DATE(Calendario10Año,Calendario10MesOpción+1,1),"mmmm")</f>
        <v>noviembre</v>
      </c>
      <c r="C141" s="64"/>
      <c r="D141" s="64"/>
      <c r="E141" s="2"/>
      <c r="F141" s="2"/>
      <c r="G141" s="2"/>
    </row>
    <row r="142" spans="1:7" x14ac:dyDescent="0.3">
      <c r="A142" s="4" t="str">
        <f ca="1">UPPER(TEXT(A143,"dddd"))</f>
        <v>LUNES</v>
      </c>
      <c r="B142" s="5" t="str">
        <f t="shared" ref="B142:G142" ca="1" si="10">UPPER(TEXT(B143,"dddd"))</f>
        <v>MARTES</v>
      </c>
      <c r="C142" s="4" t="str">
        <f t="shared" ca="1" si="10"/>
        <v>MIÉRCOLES</v>
      </c>
      <c r="D142" s="5" t="str">
        <f t="shared" ca="1" si="10"/>
        <v>JUEVES</v>
      </c>
      <c r="E142" s="4" t="str">
        <f t="shared" ca="1" si="10"/>
        <v>VIERNES</v>
      </c>
      <c r="F142" s="5" t="str">
        <f t="shared" ca="1" si="10"/>
        <v>SÁBADO</v>
      </c>
      <c r="G142" s="4" t="str">
        <f t="shared" ca="1" si="10"/>
        <v>DOMINGO</v>
      </c>
    </row>
    <row r="143" spans="1:7" ht="21" x14ac:dyDescent="0.3">
      <c r="A143" s="10">
        <f t="array" aca="1" ref="A143:G143" ca="1">Días+1+DATE(Calendario11Año,Calendario11MesOpción,1)-WEEKDAY(DATE(Calendario11Año,Calendario11MesOpción,1),DíaDeLaSemanaOpción)</f>
        <v>45593</v>
      </c>
      <c r="B143" s="10">
        <f ca="1"/>
        <v>45594</v>
      </c>
      <c r="C143" s="10">
        <f ca="1"/>
        <v>45595</v>
      </c>
      <c r="D143" s="10">
        <f ca="1"/>
        <v>45596</v>
      </c>
      <c r="E143" s="10">
        <f ca="1"/>
        <v>45597</v>
      </c>
      <c r="F143" s="10">
        <f ca="1"/>
        <v>45598</v>
      </c>
      <c r="G143" s="11">
        <f ca="1"/>
        <v>45599</v>
      </c>
    </row>
    <row r="144" spans="1:7" x14ac:dyDescent="0.3">
      <c r="A144" s="6"/>
      <c r="B144" s="6"/>
      <c r="C144" s="6"/>
      <c r="D144" s="6"/>
      <c r="E144" s="6"/>
      <c r="F144" s="6"/>
      <c r="G144" s="7"/>
    </row>
    <row r="145" spans="1:7" ht="21" x14ac:dyDescent="0.3">
      <c r="A145" s="10">
        <f t="array" aca="1" ref="A145:G145" ca="1">Días+8+DATE(Calendario11Año,Calendario11MesOpción,1)-WEEKDAY(DATE(Calendario11Año,Calendario11MesOpción,1),DíaDeLaSemanaOpción)</f>
        <v>45600</v>
      </c>
      <c r="B145" s="10">
        <f ca="1"/>
        <v>45601</v>
      </c>
      <c r="C145" s="10">
        <f ca="1"/>
        <v>45602</v>
      </c>
      <c r="D145" s="10">
        <f ca="1"/>
        <v>45603</v>
      </c>
      <c r="E145" s="10">
        <f ca="1"/>
        <v>45604</v>
      </c>
      <c r="F145" s="10">
        <f ca="1"/>
        <v>45605</v>
      </c>
      <c r="G145" s="11">
        <f ca="1"/>
        <v>45606</v>
      </c>
    </row>
    <row r="146" spans="1:7" x14ac:dyDescent="0.3">
      <c r="A146" s="6"/>
      <c r="B146" s="6"/>
      <c r="C146" s="6"/>
      <c r="D146" s="6"/>
      <c r="E146" s="6"/>
      <c r="F146" s="6"/>
      <c r="G146" s="7"/>
    </row>
    <row r="147" spans="1:7" ht="21" x14ac:dyDescent="0.3">
      <c r="A147" s="10">
        <f t="array" aca="1" ref="A147:G147" ca="1">Días+15+DATE(Calendario11Año,Calendario11MesOpción,1)-WEEKDAY(DATE(Calendario11Año,Calendario11MesOpción,1),DíaDeLaSemanaOpción)</f>
        <v>45607</v>
      </c>
      <c r="B147" s="10">
        <f ca="1"/>
        <v>45608</v>
      </c>
      <c r="C147" s="10">
        <f ca="1"/>
        <v>45609</v>
      </c>
      <c r="D147" s="10">
        <f ca="1"/>
        <v>45610</v>
      </c>
      <c r="E147" s="10">
        <f ca="1"/>
        <v>45611</v>
      </c>
      <c r="F147" s="10">
        <f ca="1"/>
        <v>45612</v>
      </c>
      <c r="G147" s="11">
        <f ca="1"/>
        <v>45613</v>
      </c>
    </row>
    <row r="148" spans="1:7" x14ac:dyDescent="0.3">
      <c r="A148" s="6"/>
      <c r="B148" s="6"/>
      <c r="C148" s="6"/>
      <c r="D148" s="6"/>
      <c r="E148" s="6"/>
      <c r="F148" s="6"/>
      <c r="G148" s="7"/>
    </row>
    <row r="149" spans="1:7" ht="21" x14ac:dyDescent="0.3">
      <c r="A149" s="10">
        <f t="array" aca="1" ref="A149:G149" ca="1">Días+22+DATE(Calendario11Año,Calendario11MesOpción,1)-WEEKDAY(DATE(Calendario11Año,Calendario11MesOpción,1),DíaDeLaSemanaOpción)</f>
        <v>45614</v>
      </c>
      <c r="B149" s="10">
        <f ca="1"/>
        <v>45615</v>
      </c>
      <c r="C149" s="10">
        <f ca="1"/>
        <v>45616</v>
      </c>
      <c r="D149" s="10">
        <f ca="1"/>
        <v>45617</v>
      </c>
      <c r="E149" s="10">
        <f ca="1"/>
        <v>45618</v>
      </c>
      <c r="F149" s="10">
        <f ca="1"/>
        <v>45619</v>
      </c>
      <c r="G149" s="11">
        <f ca="1"/>
        <v>45620</v>
      </c>
    </row>
    <row r="150" spans="1:7" x14ac:dyDescent="0.3">
      <c r="A150" s="6"/>
      <c r="B150" s="6"/>
      <c r="C150" s="6"/>
      <c r="D150" s="6"/>
      <c r="E150" s="6"/>
      <c r="F150" s="6"/>
      <c r="G150" s="7"/>
    </row>
    <row r="151" spans="1:7" ht="21" x14ac:dyDescent="0.3">
      <c r="A151" s="10">
        <f t="array" aca="1" ref="A151:G151" ca="1">Días+29+DATE(Calendario11Año,Calendario11MesOpción,1)-WEEKDAY(DATE(Calendario11Año,Calendario11MesOpción,1),DíaDeLaSemanaOpción)</f>
        <v>45621</v>
      </c>
      <c r="B151" s="10">
        <f ca="1"/>
        <v>45622</v>
      </c>
      <c r="C151" s="10">
        <f ca="1"/>
        <v>45623</v>
      </c>
      <c r="D151" s="10">
        <f ca="1"/>
        <v>45624</v>
      </c>
      <c r="E151" s="10">
        <f ca="1"/>
        <v>45625</v>
      </c>
      <c r="F151" s="10">
        <f ca="1"/>
        <v>45626</v>
      </c>
      <c r="G151" s="11">
        <f ca="1"/>
        <v>45627</v>
      </c>
    </row>
    <row r="152" spans="1:7" x14ac:dyDescent="0.3">
      <c r="A152" s="6"/>
      <c r="B152" s="6"/>
      <c r="C152" s="6"/>
      <c r="D152" s="6"/>
      <c r="E152" s="6"/>
      <c r="F152" s="6"/>
      <c r="G152" s="8"/>
    </row>
    <row r="153" spans="1:7" ht="21" x14ac:dyDescent="0.3">
      <c r="A153" s="10">
        <f t="array" aca="1" ref="A153:B153" ca="1">Días+36+DATE(Calendario11Año,Calendario11MesOpción,1)-WEEKDAY(DATE(Calendario11Año,Calendario11MesOpción,1),DíaDeLaSemanaOpción)</f>
        <v>45628</v>
      </c>
      <c r="B153" s="10">
        <f ca="1"/>
        <v>45629</v>
      </c>
      <c r="C153" s="61" t="s">
        <v>1</v>
      </c>
      <c r="D153" s="62"/>
      <c r="E153" s="62"/>
      <c r="F153" s="62"/>
      <c r="G153" s="62"/>
    </row>
    <row r="154" spans="1:7" x14ac:dyDescent="0.3">
      <c r="A154" s="6"/>
      <c r="B154" s="6"/>
      <c r="C154" s="63"/>
      <c r="D154" s="63"/>
      <c r="E154" s="63"/>
      <c r="F154" s="63"/>
      <c r="G154" s="63"/>
    </row>
    <row r="155" spans="1:7" ht="46.5" x14ac:dyDescent="0.7">
      <c r="A155" s="1">
        <f ca="1">YEAR(DATE(Calendario11Año,Calendario11MesOpción+1,1))</f>
        <v>2024</v>
      </c>
      <c r="B155" s="64" t="str">
        <f ca="1">TEXT(DATE(Calendario11Año,Calendario11MesOpción+1,1),"mmmm")</f>
        <v>diciembre</v>
      </c>
      <c r="C155" s="64"/>
      <c r="D155" s="64"/>
      <c r="E155" s="2"/>
      <c r="F155" s="2"/>
      <c r="G155" s="2"/>
    </row>
    <row r="156" spans="1:7" x14ac:dyDescent="0.3">
      <c r="A156" s="4" t="str">
        <f ca="1">UPPER(TEXT(A157,"dddd"))</f>
        <v>LUNES</v>
      </c>
      <c r="B156" s="5" t="str">
        <f t="shared" ref="B156:G156" ca="1" si="11">UPPER(TEXT(B157,"dddd"))</f>
        <v>MARTES</v>
      </c>
      <c r="C156" s="4" t="str">
        <f t="shared" ca="1" si="11"/>
        <v>MIÉRCOLES</v>
      </c>
      <c r="D156" s="5" t="str">
        <f t="shared" ca="1" si="11"/>
        <v>JUEVES</v>
      </c>
      <c r="E156" s="4" t="str">
        <f t="shared" ca="1" si="11"/>
        <v>VIERNES</v>
      </c>
      <c r="F156" s="5" t="str">
        <f t="shared" ca="1" si="11"/>
        <v>SÁBADO</v>
      </c>
      <c r="G156" s="4" t="str">
        <f t="shared" ca="1" si="11"/>
        <v>DOMINGO</v>
      </c>
    </row>
    <row r="157" spans="1:7" ht="21" x14ac:dyDescent="0.3">
      <c r="A157" s="10">
        <f t="array" aca="1" ref="A157:G157" ca="1">Días+1+DATE(Calendario12Año,Calendario12MesOpción,1)-WEEKDAY(DATE(Calendario12Año,Calendario12MesOpción,1),DíaDeLaSemanaOpción)</f>
        <v>45621</v>
      </c>
      <c r="B157" s="10">
        <f ca="1"/>
        <v>45622</v>
      </c>
      <c r="C157" s="10">
        <f ca="1"/>
        <v>45623</v>
      </c>
      <c r="D157" s="10">
        <f ca="1"/>
        <v>45624</v>
      </c>
      <c r="E157" s="10">
        <f ca="1"/>
        <v>45625</v>
      </c>
      <c r="F157" s="10">
        <f ca="1"/>
        <v>45626</v>
      </c>
      <c r="G157" s="11">
        <f ca="1"/>
        <v>45627</v>
      </c>
    </row>
    <row r="158" spans="1:7" x14ac:dyDescent="0.3">
      <c r="A158" s="6"/>
      <c r="B158" s="6"/>
      <c r="C158" s="6"/>
      <c r="D158" s="6"/>
      <c r="E158" s="6"/>
      <c r="F158" s="6"/>
      <c r="G158" s="7"/>
    </row>
    <row r="159" spans="1:7" ht="21" x14ac:dyDescent="0.3">
      <c r="A159" s="10">
        <f t="array" aca="1" ref="A159:G159" ca="1">Días+8+DATE(Calendario12Año,Calendario12MesOpción,1)-WEEKDAY(DATE(Calendario12Año,Calendario12MesOpción,1),DíaDeLaSemanaOpción)</f>
        <v>45628</v>
      </c>
      <c r="B159" s="10">
        <f ca="1"/>
        <v>45629</v>
      </c>
      <c r="C159" s="10">
        <f ca="1"/>
        <v>45630</v>
      </c>
      <c r="D159" s="10">
        <f ca="1"/>
        <v>45631</v>
      </c>
      <c r="E159" s="10">
        <f ca="1"/>
        <v>45632</v>
      </c>
      <c r="F159" s="10">
        <f ca="1"/>
        <v>45633</v>
      </c>
      <c r="G159" s="11">
        <f ca="1"/>
        <v>45634</v>
      </c>
    </row>
    <row r="160" spans="1:7" x14ac:dyDescent="0.3">
      <c r="A160" s="6"/>
      <c r="B160" s="6"/>
      <c r="C160" s="6"/>
      <c r="D160" s="6"/>
      <c r="E160" s="6"/>
      <c r="F160" s="6"/>
      <c r="G160" s="7"/>
    </row>
    <row r="161" spans="1:7" ht="21" x14ac:dyDescent="0.3">
      <c r="A161" s="10">
        <f t="array" aca="1" ref="A161:G161" ca="1">Días+15+DATE(Calendario12Año,Calendario12MesOpción,1)-WEEKDAY(DATE(Calendario12Año,Calendario12MesOpción,1),DíaDeLaSemanaOpción)</f>
        <v>45635</v>
      </c>
      <c r="B161" s="10">
        <f ca="1"/>
        <v>45636</v>
      </c>
      <c r="C161" s="10">
        <f ca="1"/>
        <v>45637</v>
      </c>
      <c r="D161" s="10">
        <f ca="1"/>
        <v>45638</v>
      </c>
      <c r="E161" s="10">
        <f ca="1"/>
        <v>45639</v>
      </c>
      <c r="F161" s="10">
        <f ca="1"/>
        <v>45640</v>
      </c>
      <c r="G161" s="11">
        <f ca="1"/>
        <v>45641</v>
      </c>
    </row>
    <row r="162" spans="1:7" x14ac:dyDescent="0.3">
      <c r="A162" s="6"/>
      <c r="B162" s="6"/>
      <c r="C162" s="6"/>
      <c r="D162" s="6"/>
      <c r="E162" s="6"/>
      <c r="F162" s="6"/>
      <c r="G162" s="7"/>
    </row>
    <row r="163" spans="1:7" ht="21" x14ac:dyDescent="0.3">
      <c r="A163" s="10">
        <f t="array" aca="1" ref="A163:G163" ca="1">Días+22+DATE(Calendario12Año,Calendario12MesOpción,1)-WEEKDAY(DATE(Calendario12Año,Calendario12MesOpción,1),DíaDeLaSemanaOpción)</f>
        <v>45642</v>
      </c>
      <c r="B163" s="10">
        <f ca="1"/>
        <v>45643</v>
      </c>
      <c r="C163" s="10">
        <f ca="1"/>
        <v>45644</v>
      </c>
      <c r="D163" s="10">
        <f ca="1"/>
        <v>45645</v>
      </c>
      <c r="E163" s="10">
        <f ca="1"/>
        <v>45646</v>
      </c>
      <c r="F163" s="10">
        <f ca="1"/>
        <v>45647</v>
      </c>
      <c r="G163" s="11">
        <f ca="1"/>
        <v>45648</v>
      </c>
    </row>
    <row r="164" spans="1:7" x14ac:dyDescent="0.3">
      <c r="A164" s="6"/>
      <c r="B164" s="6"/>
      <c r="C164" s="6"/>
      <c r="D164" s="6"/>
      <c r="E164" s="6"/>
      <c r="F164" s="6"/>
      <c r="G164" s="7"/>
    </row>
    <row r="165" spans="1:7" ht="21" x14ac:dyDescent="0.3">
      <c r="A165" s="10">
        <f t="array" aca="1" ref="A165:G165" ca="1">Días+29+DATE(Calendario12Año,Calendario12MesOpción,1)-WEEKDAY(DATE(Calendario12Año,Calendario12MesOpción,1),DíaDeLaSemanaOpción)</f>
        <v>45649</v>
      </c>
      <c r="B165" s="10">
        <f ca="1"/>
        <v>45650</v>
      </c>
      <c r="C165" s="10">
        <f ca="1"/>
        <v>45651</v>
      </c>
      <c r="D165" s="10">
        <f ca="1"/>
        <v>45652</v>
      </c>
      <c r="E165" s="10">
        <f ca="1"/>
        <v>45653</v>
      </c>
      <c r="F165" s="10">
        <f ca="1"/>
        <v>45654</v>
      </c>
      <c r="G165" s="11">
        <f ca="1"/>
        <v>45655</v>
      </c>
    </row>
    <row r="166" spans="1:7" x14ac:dyDescent="0.3">
      <c r="A166" s="6"/>
      <c r="B166" s="6"/>
      <c r="C166" s="6"/>
      <c r="D166" s="6"/>
      <c r="E166" s="6"/>
      <c r="F166" s="6"/>
      <c r="G166" s="8"/>
    </row>
    <row r="167" spans="1:7" ht="21" x14ac:dyDescent="0.3">
      <c r="A167" s="10">
        <f t="array" aca="1" ref="A167:B167" ca="1">Días+36+DATE(Calendario12Año,Calendario12MesOpción,1)-WEEKDAY(DATE(Calendario12Año,Calendario12MesOpción,1),DíaDeLaSemanaOpción)</f>
        <v>45656</v>
      </c>
      <c r="B167" s="10">
        <f ca="1"/>
        <v>45657</v>
      </c>
      <c r="C167" s="61" t="s">
        <v>1</v>
      </c>
      <c r="D167" s="62"/>
      <c r="E167" s="62"/>
      <c r="F167" s="62"/>
      <c r="G167" s="62"/>
    </row>
    <row r="168" spans="1:7" x14ac:dyDescent="0.3">
      <c r="A168" s="6"/>
      <c r="B168" s="6"/>
      <c r="C168" s="63"/>
      <c r="D168" s="63"/>
      <c r="E168" s="63"/>
      <c r="F168" s="63"/>
      <c r="G168" s="63"/>
    </row>
  </sheetData>
  <mergeCells count="36">
    <mergeCell ref="B29:D29"/>
    <mergeCell ref="D1:F1"/>
    <mergeCell ref="C13:G13"/>
    <mergeCell ref="C14:G14"/>
    <mergeCell ref="C27:G27"/>
    <mergeCell ref="C28:G28"/>
    <mergeCell ref="D15:F15"/>
    <mergeCell ref="B85:D85"/>
    <mergeCell ref="C41:G41"/>
    <mergeCell ref="C42:G42"/>
    <mergeCell ref="B43:D43"/>
    <mergeCell ref="C55:G55"/>
    <mergeCell ref="C56:G56"/>
    <mergeCell ref="B57:D57"/>
    <mergeCell ref="C69:G69"/>
    <mergeCell ref="C70:G70"/>
    <mergeCell ref="B71:D71"/>
    <mergeCell ref="C83:G83"/>
    <mergeCell ref="C84:G84"/>
    <mergeCell ref="B141:D141"/>
    <mergeCell ref="C97:G97"/>
    <mergeCell ref="C98:G98"/>
    <mergeCell ref="B99:D99"/>
    <mergeCell ref="C111:G111"/>
    <mergeCell ref="C112:G112"/>
    <mergeCell ref="B113:D113"/>
    <mergeCell ref="C125:G125"/>
    <mergeCell ref="C126:G126"/>
    <mergeCell ref="B127:D127"/>
    <mergeCell ref="C139:G139"/>
    <mergeCell ref="C140:G140"/>
    <mergeCell ref="C153:G153"/>
    <mergeCell ref="C154:G154"/>
    <mergeCell ref="B155:D155"/>
    <mergeCell ref="C167:G167"/>
    <mergeCell ref="C168:G168"/>
  </mergeCells>
  <dataValidations count="12">
    <dataValidation allowBlank="1" showInputMessage="1" prompt="Fecha" sqref="A3" xr:uid="{00000000-0002-0000-18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A2" xr:uid="{00000000-0002-0000-18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B1:D1 D15" xr:uid="{00000000-0002-0000-1800-000002000000}">
      <formula1>"enero,febrero,marzo,abril,mayo,junio,julio,agosto,septiembre,octubre,noviembre,diciembre"</formula1>
    </dataValidation>
    <dataValidation allowBlank="1" showInputMessage="1" showErrorMessage="1" prompt="Escriba el año en esta celda" sqref="A1" xr:uid="{00000000-0002-0000-1800-000004000000}"/>
    <dataValidation allowBlank="1" showInputMessage="1" prompt="Día laborable determinado automáticamente. Para cambiar los días laborables, seleccione un nuevo día de inicio de semana en la celda B2." sqref="B2:G2 A16" xr:uid="{00000000-0002-0000-1800-000005000000}"/>
    <dataValidation allowBlank="1" showInputMessage="1" prompt="El año natural se actualiza automáticamente según el año seleccionado en la celda B1" sqref="A15" xr:uid="{00000000-0002-0000-1800-000007000000}"/>
    <dataValidation allowBlank="1" showInputMessage="1" prompt="El mes natural se actualiza automáticamente según el mes seleccionado en la celda C1" sqref="B15:C15" xr:uid="{00000000-0002-0000-1800-000008000000}"/>
    <dataValidation allowBlank="1" showInputMessage="1" prompt="Escriba las notas del mes en la siguiente celda" sqref="C13:G13" xr:uid="{00000000-0002-0000-1800-000009000000}"/>
    <dataValidation allowBlank="1" showInputMessage="1" prompt="Escriba las notas del mes en esta celda" sqref="C14:G14" xr:uid="{00000000-0002-0000-1800-00000A000000}"/>
    <dataValidation allowBlank="1" showInputMessage="1" showErrorMessage="1" prompt="El año natural se actualiza automáticamente según el año seleccionado en la celda B1" sqref="A29 A155 A141 A127 A113 A99 A85 A71 A57 A43" xr:uid="{00000000-0002-0000-1800-00000B000000}"/>
    <dataValidation allowBlank="1" showInputMessage="1" showErrorMessage="1" prompt="El mes natural se actualiza automáticamente según el mes seleccionado en la celda C1" sqref="B141:D141 B155:D155 B127:D127 B113:D113 B99:D99 B85:D85 B71:D71 B57:D57 B43:D43 B29:D29" xr:uid="{00000000-0002-0000-1800-000015000000}"/>
    <dataValidation allowBlank="1" showInputMessage="1" showErrorMessage="1" prompt="Día laborable determinado automáticamente. Para cambiar los días laborables, seleccione un nuevo día de inicio de semana en la celda B2." sqref="B16:G16 A156:G156 A142:G142 A128:G128 A114:G114 A100:G100 A86:G86 A72:G72 A58:G58 A44:G44 A30:G30" xr:uid="{00000000-0002-0000-1800-00001F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97C7A6D5-DD71-4619-B722-7DD791E6B7ED}">
            <xm:f>MONTH(JoMa!A3)&lt;&gt;Calendario1MesOpción</xm:f>
            <x14:dxf>
              <font>
                <color rgb="FF747474"/>
              </font>
            </x14:dxf>
          </x14:cfRule>
          <xm:sqref>A3:G3 A5:G5 A7:G7 A9:G9 A11:G11 A13:B13</xm:sqref>
        </x14:conditionalFormatting>
        <x14:conditionalFormatting xmlns:xm="http://schemas.microsoft.com/office/excel/2006/main">
          <x14:cfRule type="expression" priority="11" id="{FE0D66A0-658A-47CC-8328-8A4FDA77DF25}">
            <xm:f>MONTH(JoMa!A17)&lt;&gt;Calendario2MesOpción</xm:f>
            <x14:dxf>
              <font>
                <color rgb="FF747474"/>
              </font>
            </x14:dxf>
          </x14:cfRule>
          <xm:sqref>A17:G17 A19:G19 A21:G21 A23:G23 A25:G25 A27:B27</xm:sqref>
        </x14:conditionalFormatting>
        <x14:conditionalFormatting xmlns:xm="http://schemas.microsoft.com/office/excel/2006/main">
          <x14:cfRule type="expression" priority="10" id="{1E486B33-DC32-4777-9A7A-1A582E97CBBB}">
            <xm:f>MONTH(JoMa!A31)&lt;&gt;Calendario3MesOpción</xm:f>
            <x14:dxf>
              <font>
                <color rgb="FF747474"/>
              </font>
            </x14:dxf>
          </x14:cfRule>
          <xm:sqref>A31:G31 A33:G33 A35:G35 A37:G37 A39:G39 A41:B41</xm:sqref>
        </x14:conditionalFormatting>
        <x14:conditionalFormatting xmlns:xm="http://schemas.microsoft.com/office/excel/2006/main">
          <x14:cfRule type="expression" priority="9" id="{DEA86F59-7060-4FC9-8CD8-3EA21F099B04}">
            <xm:f>MONTH(JoMa!A45)&lt;&gt;Calendario4MesOpción</xm:f>
            <x14:dxf>
              <font>
                <color rgb="FF747474"/>
              </font>
            </x14:dxf>
          </x14:cfRule>
          <xm:sqref>A45:G45 A47:G47 A49:G49 A51:G51 A53:G53 A55:B55</xm:sqref>
        </x14:conditionalFormatting>
        <x14:conditionalFormatting xmlns:xm="http://schemas.microsoft.com/office/excel/2006/main">
          <x14:cfRule type="expression" priority="8" id="{C2359D4A-2F16-4FF3-A41A-4290CF289FD3}">
            <xm:f>MONTH(JoMa!A59)&lt;&gt;Calendario5MesOpción</xm:f>
            <x14:dxf>
              <font>
                <color rgb="FF747474"/>
              </font>
            </x14:dxf>
          </x14:cfRule>
          <xm:sqref>A59:G59 A61:G61 A63:G63 A65:G65 A67:G67 A69:B69</xm:sqref>
        </x14:conditionalFormatting>
        <x14:conditionalFormatting xmlns:xm="http://schemas.microsoft.com/office/excel/2006/main">
          <x14:cfRule type="expression" priority="7" id="{60226AA4-62C4-4A92-B06B-5CF17C394E2F}">
            <xm:f>MONTH(JoMa!A73)&lt;&gt;Calendario6MesOpción</xm:f>
            <x14:dxf>
              <font>
                <color rgb="FF747474"/>
              </font>
            </x14:dxf>
          </x14:cfRule>
          <xm:sqref>A73:G73 A75:G75 A77:G77 A79:G79 A81:G81 A83:B83</xm:sqref>
        </x14:conditionalFormatting>
        <x14:conditionalFormatting xmlns:xm="http://schemas.microsoft.com/office/excel/2006/main">
          <x14:cfRule type="expression" priority="6" id="{172A8FE4-7976-489A-8C37-99C4463AD7C3}">
            <xm:f>MONTH(JoMa!A87)&lt;&gt;Calendario7MesOpción</xm:f>
            <x14:dxf>
              <font>
                <color rgb="FF747474"/>
              </font>
            </x14:dxf>
          </x14:cfRule>
          <xm:sqref>A87:G87 A89:G89 A91:G91 A93:G93 A95:G95 A97:B97</xm:sqref>
        </x14:conditionalFormatting>
        <x14:conditionalFormatting xmlns:xm="http://schemas.microsoft.com/office/excel/2006/main">
          <x14:cfRule type="expression" priority="5" id="{BEF9A99E-A8BB-4C2C-BE12-7F6D5B207CD5}">
            <xm:f>MONTH(JoMa!A101)&lt;&gt;Calendario8MesOpción</xm:f>
            <x14:dxf>
              <font>
                <color rgb="FF747474"/>
              </font>
            </x14:dxf>
          </x14:cfRule>
          <xm:sqref>A101:G101 A103:G103 A105:G105 A107:G107 A109:G109 A111:B111</xm:sqref>
        </x14:conditionalFormatting>
        <x14:conditionalFormatting xmlns:xm="http://schemas.microsoft.com/office/excel/2006/main">
          <x14:cfRule type="expression" priority="4" id="{C883A2C2-8F3F-4F70-8B4C-F88ED74E4570}">
            <xm:f>MONTH(JoMa!A115)&lt;&gt;Calendario9MesOpción</xm:f>
            <x14:dxf>
              <font>
                <color rgb="FF747474"/>
              </font>
            </x14:dxf>
          </x14:cfRule>
          <xm:sqref>A115:G115 A117:G117 A119:G119 A121:G121 A123:G123 A125:B125</xm:sqref>
        </x14:conditionalFormatting>
        <x14:conditionalFormatting xmlns:xm="http://schemas.microsoft.com/office/excel/2006/main">
          <x14:cfRule type="expression" priority="3" id="{4E04E982-E3A4-48BE-81A8-E295501F6FF5}">
            <xm:f>MONTH(JoMa!A129)&lt;&gt;Calendario10MesOpción</xm:f>
            <x14:dxf>
              <font>
                <color rgb="FF747474"/>
              </font>
            </x14:dxf>
          </x14:cfRule>
          <xm:sqref>A129:G129 A131:G131 A133:G133 A135:G135 A137:G137 A139:B139</xm:sqref>
        </x14:conditionalFormatting>
        <x14:conditionalFormatting xmlns:xm="http://schemas.microsoft.com/office/excel/2006/main">
          <x14:cfRule type="expression" priority="2" id="{5C2CC062-65FD-4967-9D91-D866FEC9EC4E}">
            <xm:f>MONTH(JoMa!A143)&lt;&gt;Calendario11MesOpción</xm:f>
            <x14:dxf>
              <font>
                <color rgb="FF747474"/>
              </font>
            </x14:dxf>
          </x14:cfRule>
          <xm:sqref>A143:G143 A145:G145 A147:G147 A149:G149 A151:G151 A153:B153</xm:sqref>
        </x14:conditionalFormatting>
        <x14:conditionalFormatting xmlns:xm="http://schemas.microsoft.com/office/excel/2006/main">
          <x14:cfRule type="expression" priority="1" id="{4D006A1F-85AE-4380-ACBA-AE63AC89BA30}">
            <xm:f>MONTH(JoMa!A157)&lt;&gt;Calendario12MesOpción</xm:f>
            <x14:dxf>
              <font>
                <color rgb="FF747474"/>
              </font>
            </x14:dxf>
          </x14:cfRule>
          <xm:sqref>A157:G157 A159:G159 A161:G161 A163:G163 A165:G165 A167:B167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J168"/>
  <sheetViews>
    <sheetView topLeftCell="A14" workbookViewId="0">
      <selection activeCell="D22" sqref="D22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0" max="10" width="8.75"/>
  </cols>
  <sheetData>
    <row r="1" spans="1:10" ht="46.5" x14ac:dyDescent="0.7">
      <c r="A1" s="2"/>
      <c r="B1" s="1">
        <f ca="1">YEAR(TODAY())</f>
        <v>2024</v>
      </c>
      <c r="C1" s="18" t="s">
        <v>2</v>
      </c>
      <c r="D1" s="13"/>
      <c r="E1" s="65" t="s">
        <v>16</v>
      </c>
      <c r="F1" s="65"/>
      <c r="G1" s="65"/>
      <c r="H1" s="23" t="s">
        <v>17</v>
      </c>
      <c r="J1" s="20">
        <v>9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ht="42.75" x14ac:dyDescent="0.3">
      <c r="B4" s="31" t="s">
        <v>18</v>
      </c>
      <c r="C4" s="55" t="s">
        <v>19</v>
      </c>
      <c r="D4" s="55" t="s">
        <v>20</v>
      </c>
      <c r="E4" s="55" t="s">
        <v>19</v>
      </c>
      <c r="F4" s="55" t="s">
        <v>20</v>
      </c>
      <c r="G4" s="55" t="s">
        <v>21</v>
      </c>
      <c r="H4" s="53" t="s">
        <v>96</v>
      </c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ht="42.75" x14ac:dyDescent="0.3">
      <c r="B6" s="55" t="s">
        <v>19</v>
      </c>
      <c r="C6" s="55" t="s">
        <v>20</v>
      </c>
      <c r="D6" s="55" t="s">
        <v>19</v>
      </c>
      <c r="E6" s="55" t="s">
        <v>20</v>
      </c>
      <c r="F6" s="55" t="s">
        <v>19</v>
      </c>
      <c r="G6" s="55" t="s">
        <v>20</v>
      </c>
      <c r="H6" s="53" t="s">
        <v>125</v>
      </c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ht="42.75" x14ac:dyDescent="0.3">
      <c r="B8" s="31" t="s">
        <v>18</v>
      </c>
      <c r="C8" s="55" t="s">
        <v>19</v>
      </c>
      <c r="D8" s="55" t="s">
        <v>20</v>
      </c>
      <c r="E8" s="55" t="s">
        <v>19</v>
      </c>
      <c r="F8" s="55" t="s">
        <v>20</v>
      </c>
      <c r="G8" s="31" t="s">
        <v>128</v>
      </c>
      <c r="H8" s="53" t="s">
        <v>125</v>
      </c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ht="42.75" x14ac:dyDescent="0.3">
      <c r="B10" s="55" t="s">
        <v>19</v>
      </c>
      <c r="C10" s="55" t="s">
        <v>20</v>
      </c>
      <c r="D10" s="55" t="s">
        <v>19</v>
      </c>
      <c r="E10" s="55" t="s">
        <v>20</v>
      </c>
      <c r="F10" s="55" t="s">
        <v>19</v>
      </c>
      <c r="G10" s="55" t="s">
        <v>20</v>
      </c>
      <c r="H10" s="53" t="s">
        <v>96</v>
      </c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ht="28.5" x14ac:dyDescent="0.3">
      <c r="B12" s="31" t="s">
        <v>18</v>
      </c>
      <c r="C12" s="55" t="s">
        <v>19</v>
      </c>
      <c r="D12" s="55" t="s">
        <v>20</v>
      </c>
      <c r="E12" s="51"/>
      <c r="F12" s="51"/>
      <c r="G12" s="51"/>
      <c r="H12" s="52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51"/>
      <c r="C14" s="51"/>
      <c r="D14" s="68"/>
      <c r="E14" s="68"/>
      <c r="F14" s="68"/>
      <c r="G14" s="68"/>
      <c r="H14" s="68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65" t="s">
        <v>16</v>
      </c>
      <c r="F15" s="65"/>
      <c r="G15" s="65"/>
      <c r="H15" s="23" t="s">
        <v>17</v>
      </c>
      <c r="J15" s="20">
        <v>9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ht="42.75" x14ac:dyDescent="0.3">
      <c r="B18" s="51"/>
      <c r="C18" s="51"/>
      <c r="D18" s="51"/>
      <c r="E18" s="26" t="s">
        <v>19</v>
      </c>
      <c r="F18" s="26" t="s">
        <v>20</v>
      </c>
      <c r="G18" s="26" t="s">
        <v>19</v>
      </c>
      <c r="H18" s="57" t="s">
        <v>96</v>
      </c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ht="42.75" x14ac:dyDescent="0.3">
      <c r="B20" s="25" t="s">
        <v>19</v>
      </c>
      <c r="C20" s="25" t="s">
        <v>20</v>
      </c>
      <c r="D20" s="25" t="s">
        <v>19</v>
      </c>
      <c r="E20" s="25" t="s">
        <v>20</v>
      </c>
      <c r="F20" s="25" t="s">
        <v>19</v>
      </c>
      <c r="G20" s="25" t="s">
        <v>168</v>
      </c>
      <c r="H20" s="57" t="s">
        <v>96</v>
      </c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ht="42.75" x14ac:dyDescent="0.3">
      <c r="B22" s="28" t="s">
        <v>18</v>
      </c>
      <c r="C22" s="28" t="s">
        <v>186</v>
      </c>
      <c r="D22" s="28" t="s">
        <v>185</v>
      </c>
      <c r="E22" s="56" t="s">
        <v>167</v>
      </c>
      <c r="F22" s="56" t="s">
        <v>20</v>
      </c>
      <c r="G22" s="56" t="s">
        <v>167</v>
      </c>
      <c r="H22" s="57" t="s">
        <v>96</v>
      </c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ht="42.75" x14ac:dyDescent="0.3">
      <c r="B24" s="56" t="s">
        <v>167</v>
      </c>
      <c r="C24" s="56" t="s">
        <v>20</v>
      </c>
      <c r="D24" s="56" t="s">
        <v>167</v>
      </c>
      <c r="E24" s="56" t="s">
        <v>20</v>
      </c>
      <c r="F24" s="56" t="s">
        <v>167</v>
      </c>
      <c r="G24" s="56" t="s">
        <v>20</v>
      </c>
      <c r="H24" s="57" t="s">
        <v>96</v>
      </c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ht="28.5" x14ac:dyDescent="0.3">
      <c r="B26" s="28" t="s">
        <v>18</v>
      </c>
      <c r="C26" s="56" t="s">
        <v>167</v>
      </c>
      <c r="D26" s="56" t="s">
        <v>20</v>
      </c>
      <c r="E26" s="56" t="s">
        <v>167</v>
      </c>
      <c r="F26" s="51"/>
      <c r="G26" s="51"/>
      <c r="H26" s="5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51"/>
      <c r="C28" s="51"/>
      <c r="D28" s="68"/>
      <c r="E28" s="68"/>
      <c r="F28" s="68"/>
      <c r="G28" s="68"/>
      <c r="H28" s="68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6">
    <mergeCell ref="C29:E29"/>
    <mergeCell ref="E1:G1"/>
    <mergeCell ref="D13:H13"/>
    <mergeCell ref="D14:H14"/>
    <mergeCell ref="D27:H27"/>
    <mergeCell ref="D28:H28"/>
    <mergeCell ref="E15:G15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D153:H153"/>
    <mergeCell ref="D154:H154"/>
    <mergeCell ref="C155:E155"/>
    <mergeCell ref="D167:H167"/>
    <mergeCell ref="D168:H168"/>
  </mergeCells>
  <dataValidations count="14">
    <dataValidation allowBlank="1" showInputMessage="1" prompt="Fecha" sqref="B3" xr:uid="{00000000-0002-0000-19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19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 E15" xr:uid="{00000000-0002-0000-19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1900-000004000000}"/>
    <dataValidation allowBlank="1" showInputMessage="1" showErrorMessage="1" prompt="Escriba el año en esta celda" sqref="B1" xr:uid="{00000000-0002-0000-1900-000005000000}"/>
    <dataValidation allowBlank="1" showInputMessage="1" prompt="Día laborable determinado automáticamente. Para cambiar los días laborables, seleccione un nuevo día de inicio de semana en la celda B2." sqref="C2:H2 B16" xr:uid="{00000000-0002-0000-1900-000006000000}"/>
    <dataValidation allowBlank="1" showInputMessage="1" prompt="Escriba aquí las notas del día" sqref="B4 B26 B22 B12 B8" xr:uid="{00000000-0002-0000-1900-000008000000}"/>
    <dataValidation allowBlank="1" showInputMessage="1" prompt="El año natural se actualiza automáticamente según el año seleccionado en la celda B1" sqref="B15" xr:uid="{00000000-0002-0000-1900-00000D000000}"/>
    <dataValidation allowBlank="1" showInputMessage="1" prompt="El mes natural se actualiza automáticamente según el mes seleccionado en la celda C1" sqref="C15:D15" xr:uid="{00000000-0002-0000-1900-00000E000000}"/>
    <dataValidation allowBlank="1" showInputMessage="1" prompt="Escriba las notas del mes en la siguiente celda" sqref="D13:H13" xr:uid="{00000000-0002-0000-1900-00000F000000}"/>
    <dataValidation allowBlank="1" showInputMessage="1" prompt="Escriba las notas del mes en esta celda" sqref="D14:H14" xr:uid="{00000000-0002-0000-1900-000010000000}"/>
    <dataValidation allowBlank="1" showInputMessage="1" showErrorMessage="1" prompt="El año natural se actualiza automáticamente según el año seleccionado en la celda B1" sqref="B29 B155 B141 B127 B113 B99 B85 B71 B57 B43" xr:uid="{00000000-0002-0000-1900-000011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1900-00001B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1900-000025000000}"/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62E42CD0-B37A-496E-A20A-917B38DAC03B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20343270-CD44-4272-9DFF-9BE00B32FC94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03F87E8A-A696-4B21-AC6B-ABC54C147674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AF3A5636-59D0-4D8E-822C-54DC504E469F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E14EFCED-7CA0-4308-A912-6DD30C91D4FA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EB0EA137-A91B-4147-B588-9CFAD4CC76D0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0D7B4A59-2D6D-4E2E-B20E-474A6EB58E34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D3D48ABE-BF13-4081-987A-BFD8078D6AE9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5D8DB3DF-8D9A-4133-9A12-34D3CA06E98B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637F5321-313D-41BE-B2E0-6ECA3AEBDF08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535FC578-BAB5-468D-8C43-298D176848C6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2FBA4B13-DDE6-466D-AF51-16CFC432F04D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4" tint="-0.249977111117893"/>
  </sheetPr>
  <dimension ref="A1:J168"/>
  <sheetViews>
    <sheetView topLeftCell="A7" workbookViewId="0">
      <selection activeCell="G22" sqref="G22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0" max="10" width="8.75"/>
  </cols>
  <sheetData>
    <row r="1" spans="1:10" ht="46.5" x14ac:dyDescent="0.7">
      <c r="A1" s="2"/>
      <c r="B1" s="1">
        <f ca="1">YEAR(TODAY())</f>
        <v>2024</v>
      </c>
      <c r="C1" s="18" t="s">
        <v>2</v>
      </c>
      <c r="D1" s="13"/>
      <c r="E1" s="65" t="s">
        <v>22</v>
      </c>
      <c r="F1" s="65"/>
      <c r="G1" s="65"/>
      <c r="H1" s="15" t="s">
        <v>23</v>
      </c>
      <c r="J1" s="20">
        <v>10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ht="28.5" x14ac:dyDescent="0.3">
      <c r="B4" s="6"/>
      <c r="C4" s="31" t="s">
        <v>24</v>
      </c>
      <c r="D4" s="31" t="s">
        <v>24</v>
      </c>
      <c r="E4" s="31" t="s">
        <v>24</v>
      </c>
      <c r="F4" s="31" t="s">
        <v>24</v>
      </c>
      <c r="G4" s="31" t="s">
        <v>24</v>
      </c>
      <c r="H4" s="7"/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ht="28.5" x14ac:dyDescent="0.3">
      <c r="B6" s="31" t="s">
        <v>24</v>
      </c>
      <c r="C6" s="31" t="s">
        <v>24</v>
      </c>
      <c r="D6" s="31" t="s">
        <v>24</v>
      </c>
      <c r="E6" s="31" t="s">
        <v>24</v>
      </c>
      <c r="F6" s="31" t="s">
        <v>24</v>
      </c>
      <c r="G6" s="31" t="s">
        <v>24</v>
      </c>
      <c r="H6" s="9"/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ht="28.5" x14ac:dyDescent="0.3">
      <c r="B8" s="31" t="s">
        <v>24</v>
      </c>
      <c r="C8" s="31" t="s">
        <v>24</v>
      </c>
      <c r="D8" s="31" t="s">
        <v>24</v>
      </c>
      <c r="E8" s="31" t="s">
        <v>24</v>
      </c>
      <c r="F8" s="31" t="s">
        <v>24</v>
      </c>
      <c r="G8" s="31" t="s">
        <v>124</v>
      </c>
      <c r="H8" s="7"/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ht="28.5" x14ac:dyDescent="0.3">
      <c r="B10" s="31" t="s">
        <v>24</v>
      </c>
      <c r="C10" s="31" t="s">
        <v>24</v>
      </c>
      <c r="D10" s="31" t="s">
        <v>24</v>
      </c>
      <c r="E10" s="31" t="s">
        <v>24</v>
      </c>
      <c r="F10" s="31" t="s">
        <v>24</v>
      </c>
      <c r="G10" s="31" t="s">
        <v>24</v>
      </c>
      <c r="H10" s="7"/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ht="28.5" x14ac:dyDescent="0.3">
      <c r="B12" s="31" t="s">
        <v>24</v>
      </c>
      <c r="C12" s="31" t="s">
        <v>24</v>
      </c>
      <c r="D12" s="31" t="s">
        <v>24</v>
      </c>
      <c r="E12" s="51"/>
      <c r="F12" s="51"/>
      <c r="G12" s="51"/>
      <c r="H12" s="52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51"/>
      <c r="C14" s="51"/>
      <c r="D14" s="68"/>
      <c r="E14" s="68"/>
      <c r="F14" s="68"/>
      <c r="G14" s="68"/>
      <c r="H14" s="68"/>
    </row>
    <row r="15" spans="1:10" ht="46.5" customHeight="1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65" t="s">
        <v>22</v>
      </c>
      <c r="F15" s="65"/>
      <c r="G15" s="65"/>
      <c r="H15" s="15" t="s">
        <v>23</v>
      </c>
      <c r="J15" s="20">
        <v>10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ht="28.5" x14ac:dyDescent="0.3">
      <c r="B18" s="51"/>
      <c r="C18" s="51"/>
      <c r="D18" s="51"/>
      <c r="E18" s="31" t="s">
        <v>24</v>
      </c>
      <c r="F18" s="31" t="s">
        <v>24</v>
      </c>
      <c r="G18" s="31" t="s">
        <v>138</v>
      </c>
      <c r="H18" s="7"/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ht="28.5" x14ac:dyDescent="0.3">
      <c r="B20" s="25"/>
      <c r="C20" s="25" t="s">
        <v>24</v>
      </c>
      <c r="D20" s="25" t="s">
        <v>24</v>
      </c>
      <c r="E20" s="25" t="s">
        <v>24</v>
      </c>
      <c r="F20" s="25" t="s">
        <v>24</v>
      </c>
      <c r="G20" s="25" t="s">
        <v>24</v>
      </c>
      <c r="H20" s="7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ht="28.5" x14ac:dyDescent="0.3">
      <c r="B22" s="25" t="s">
        <v>24</v>
      </c>
      <c r="C22" s="25" t="s">
        <v>24</v>
      </c>
      <c r="D22" s="25" t="s">
        <v>24</v>
      </c>
      <c r="E22" s="25" t="s">
        <v>24</v>
      </c>
      <c r="F22" s="25" t="s">
        <v>24</v>
      </c>
      <c r="G22" s="25" t="s">
        <v>24</v>
      </c>
      <c r="H22" s="7"/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"/>
      <c r="C24" s="6"/>
      <c r="D24" s="6"/>
      <c r="E24" s="6"/>
      <c r="F24" s="6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6">
    <mergeCell ref="C29:E29"/>
    <mergeCell ref="E15:G15"/>
    <mergeCell ref="E1:G1"/>
    <mergeCell ref="D13:H13"/>
    <mergeCell ref="D14:H14"/>
    <mergeCell ref="D27:H27"/>
    <mergeCell ref="D28:H28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D153:H153"/>
    <mergeCell ref="D154:H154"/>
    <mergeCell ref="C155:E155"/>
    <mergeCell ref="D167:H167"/>
    <mergeCell ref="D168:H168"/>
  </mergeCells>
  <dataValidations count="14">
    <dataValidation allowBlank="1" showInputMessage="1" prompt="Fecha" sqref="B3" xr:uid="{00000000-0002-0000-1A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1A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 E15" xr:uid="{00000000-0002-0000-1A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1A00-000004000000}"/>
    <dataValidation allowBlank="1" showInputMessage="1" showErrorMessage="1" prompt="Escriba el año en esta celda" sqref="B1" xr:uid="{00000000-0002-0000-1A00-000005000000}"/>
    <dataValidation allowBlank="1" showInputMessage="1" prompt="Día laborable determinado automáticamente. Para cambiar los días laborables, seleccione un nuevo día de inicio de semana en la celda B2." sqref="C2:H2 B16" xr:uid="{00000000-0002-0000-1A00-000006000000}"/>
    <dataValidation allowBlank="1" showInputMessage="1" prompt="Escriba aquí las notas del día" sqref="B4" xr:uid="{00000000-0002-0000-1A00-000008000000}"/>
    <dataValidation allowBlank="1" showInputMessage="1" prompt="El año natural se actualiza automáticamente según el año seleccionado en la celda B1" sqref="B15" xr:uid="{00000000-0002-0000-1A00-000009000000}"/>
    <dataValidation allowBlank="1" showInputMessage="1" prompt="El mes natural se actualiza automáticamente según el mes seleccionado en la celda C1" sqref="C15:D15" xr:uid="{00000000-0002-0000-1A00-00000A000000}"/>
    <dataValidation allowBlank="1" showInputMessage="1" prompt="Escriba las notas del mes en la siguiente celda" sqref="D13:H13" xr:uid="{00000000-0002-0000-1A00-00000B000000}"/>
    <dataValidation allowBlank="1" showInputMessage="1" prompt="Escriba las notas del mes en esta celda" sqref="D14:H14" xr:uid="{00000000-0002-0000-1A00-00000C000000}"/>
    <dataValidation allowBlank="1" showInputMessage="1" showErrorMessage="1" prompt="El año natural se actualiza automáticamente según el año seleccionado en la celda B1" sqref="B29 B155 B141 B127 B113 B99 B85 B71 B57 B43" xr:uid="{00000000-0002-0000-1A00-00000D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1A00-000017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1A00-000021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0AC462BA-5008-4C95-9DB2-2D130FBE1C75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04F7AA0B-901B-4E49-94D6-9C6BB4FF5B22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AEA138A9-C061-4BF3-B282-04C784435D78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9B8FC862-50EA-40AD-AC36-5874A906C309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9DE9FD32-C8D2-4B4A-A51C-FA4142F32C31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DA784FF1-8718-4FCF-B5E7-3CA1F88BFC4D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CD84B41C-073F-49C1-866D-FC24B47F0A14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AE14FCB7-3843-48EA-83AD-CB0314142E90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2BFE5E1B-13AA-42B8-B149-8929225E4585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7D2E65B6-C517-44AC-8B1D-EAACB559FA0B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363961B1-1C03-4504-A550-EB6D4856FEC2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52E7F8D1-0587-4403-A226-3168A9072185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4" tint="-0.249977111117893"/>
  </sheetPr>
  <dimension ref="A1:J168"/>
  <sheetViews>
    <sheetView topLeftCell="A10" workbookViewId="0">
      <selection activeCell="E24" sqref="E24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0" max="10" width="8.75"/>
  </cols>
  <sheetData>
    <row r="1" spans="1:10" ht="49.5" customHeight="1" x14ac:dyDescent="0.7">
      <c r="A1" s="2"/>
      <c r="B1" s="1">
        <f ca="1">YEAR(TODAY())</f>
        <v>2024</v>
      </c>
      <c r="C1" s="18" t="s">
        <v>2</v>
      </c>
      <c r="D1" s="13"/>
      <c r="E1" s="65" t="s">
        <v>25</v>
      </c>
      <c r="F1" s="65"/>
      <c r="G1" s="65"/>
      <c r="H1" s="15" t="s">
        <v>26</v>
      </c>
      <c r="J1" s="20">
        <v>11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ht="28.5" x14ac:dyDescent="0.3">
      <c r="B4" s="6"/>
      <c r="C4" s="6"/>
      <c r="D4" s="31" t="s">
        <v>27</v>
      </c>
      <c r="E4" s="6"/>
      <c r="F4" s="6"/>
      <c r="G4" s="6"/>
      <c r="H4" s="7"/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ht="28.5" x14ac:dyDescent="0.3">
      <c r="B6" s="31" t="s">
        <v>27</v>
      </c>
      <c r="C6" s="6"/>
      <c r="D6" s="31" t="s">
        <v>27</v>
      </c>
      <c r="E6" s="6"/>
      <c r="F6" s="6"/>
      <c r="G6" s="6"/>
      <c r="H6" s="9"/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ht="28.5" x14ac:dyDescent="0.3">
      <c r="B8" s="31" t="s">
        <v>27</v>
      </c>
      <c r="C8" s="6"/>
      <c r="D8" s="31" t="s">
        <v>27</v>
      </c>
      <c r="E8" s="6"/>
      <c r="F8" s="6"/>
      <c r="G8" s="6"/>
      <c r="H8" s="7"/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ht="28.5" x14ac:dyDescent="0.3">
      <c r="B10" s="31" t="s">
        <v>27</v>
      </c>
      <c r="C10" s="6"/>
      <c r="D10" s="31" t="s">
        <v>27</v>
      </c>
      <c r="E10" s="6"/>
      <c r="F10" s="6"/>
      <c r="G10" s="6"/>
      <c r="H10" s="7"/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ht="28.5" x14ac:dyDescent="0.3">
      <c r="B12" s="31" t="s">
        <v>27</v>
      </c>
      <c r="C12" s="6"/>
      <c r="D12" s="31" t="s">
        <v>27</v>
      </c>
      <c r="E12" s="6"/>
      <c r="F12" s="6"/>
      <c r="G12" s="6"/>
      <c r="H12" s="7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6"/>
      <c r="C14" s="6"/>
      <c r="D14" s="63"/>
      <c r="E14" s="63"/>
      <c r="F14" s="63"/>
      <c r="G14" s="63"/>
      <c r="H14" s="63"/>
    </row>
    <row r="15" spans="1:10" ht="49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65" t="s">
        <v>25</v>
      </c>
      <c r="F15" s="65"/>
      <c r="G15" s="65"/>
      <c r="H15" s="15" t="s">
        <v>26</v>
      </c>
      <c r="J15" s="20">
        <v>11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x14ac:dyDescent="0.3">
      <c r="B18" s="6"/>
      <c r="C18" s="6"/>
      <c r="D18" s="6"/>
      <c r="E18" s="6"/>
      <c r="F18" s="6"/>
      <c r="G18" s="6"/>
      <c r="H18" s="7"/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ht="28.5" x14ac:dyDescent="0.3">
      <c r="B20" s="31" t="s">
        <v>27</v>
      </c>
      <c r="C20" s="6"/>
      <c r="D20" s="31" t="s">
        <v>27</v>
      </c>
      <c r="E20" s="6"/>
      <c r="F20" s="6"/>
      <c r="G20" s="6"/>
      <c r="H20" s="7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ht="28.5" x14ac:dyDescent="0.3">
      <c r="B22" s="28" t="s">
        <v>27</v>
      </c>
      <c r="C22" s="54"/>
      <c r="D22" s="28" t="s">
        <v>27</v>
      </c>
      <c r="E22" s="6"/>
      <c r="F22" s="6"/>
      <c r="G22" s="6"/>
      <c r="H22" s="7"/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"/>
      <c r="C24" s="6"/>
      <c r="D24" s="6"/>
      <c r="E24" s="6"/>
      <c r="F24" s="6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6">
    <mergeCell ref="C29:E29"/>
    <mergeCell ref="E1:G1"/>
    <mergeCell ref="D13:H13"/>
    <mergeCell ref="D14:H14"/>
    <mergeCell ref="D27:H27"/>
    <mergeCell ref="D28:H28"/>
    <mergeCell ref="E15:G15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D153:H153"/>
    <mergeCell ref="D154:H154"/>
    <mergeCell ref="C155:E155"/>
    <mergeCell ref="D167:H167"/>
    <mergeCell ref="D168:H168"/>
  </mergeCells>
  <dataValidations count="14">
    <dataValidation allowBlank="1" showInputMessage="1" prompt="Fecha" sqref="B3" xr:uid="{00000000-0002-0000-1B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1B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 E15" xr:uid="{00000000-0002-0000-1B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1B00-000004000000}"/>
    <dataValidation allowBlank="1" showInputMessage="1" showErrorMessage="1" prompt="Escriba el año en esta celda" sqref="B1" xr:uid="{00000000-0002-0000-1B00-000005000000}"/>
    <dataValidation allowBlank="1" showInputMessage="1" prompt="Día laborable determinado automáticamente. Para cambiar los días laborables, seleccione un nuevo día de inicio de semana en la celda B2." sqref="C2:H2 B16" xr:uid="{00000000-0002-0000-1B00-000006000000}"/>
    <dataValidation allowBlank="1" showInputMessage="1" prompt="Escriba aquí las notas del día" sqref="B4" xr:uid="{00000000-0002-0000-1B00-000008000000}"/>
    <dataValidation allowBlank="1" showInputMessage="1" prompt="El año natural se actualiza automáticamente según el año seleccionado en la celda B1" sqref="B15" xr:uid="{00000000-0002-0000-1B00-000009000000}"/>
    <dataValidation allowBlank="1" showInputMessage="1" prompt="El mes natural se actualiza automáticamente según el mes seleccionado en la celda C1" sqref="C15:D15" xr:uid="{00000000-0002-0000-1B00-00000A000000}"/>
    <dataValidation allowBlank="1" showInputMessage="1" prompt="Escriba las notas del mes en la siguiente celda" sqref="D13:H13" xr:uid="{00000000-0002-0000-1B00-00000B000000}"/>
    <dataValidation allowBlank="1" showInputMessage="1" prompt="Escriba las notas del mes en esta celda" sqref="D14:H14" xr:uid="{00000000-0002-0000-1B00-00000C000000}"/>
    <dataValidation allowBlank="1" showInputMessage="1" showErrorMessage="1" prompt="El año natural se actualiza automáticamente según el año seleccionado en la celda B1" sqref="B29 B155 B141 B127 B113 B99 B85 B71 B57 B43" xr:uid="{00000000-0002-0000-1B00-00000D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1B00-000017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1B00-000021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51FCB20E-172F-4999-A1D1-5075A9EFFA4E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D6980060-3E5F-409E-A232-17E5033D44A2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05B1A30E-4969-472B-8E35-88948A24051E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5CF6C548-815C-4EAF-B81F-337956A53002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F839B317-A446-40EB-97B9-E4E2ACC3F65B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8CAD9CFB-0172-4309-84F0-7A9AFE40A40B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AA5A6012-27F0-4194-B2B9-29406A3D576A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D5B5E344-AB70-4BC0-9467-CA9EB463133D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123C6CC2-D663-46B3-AF87-E0286E312295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B754E155-93DB-4B24-A1CB-A9353D6B768B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ACEEF89C-AC1B-4BA2-ADEC-71333D58E318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FD42E0C0-886D-4853-A617-306EBDF9350D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4" tint="-0.249977111117893"/>
  </sheetPr>
  <dimension ref="A1:J168"/>
  <sheetViews>
    <sheetView topLeftCell="A4" workbookViewId="0">
      <selection activeCell="D22" sqref="D22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0" max="10" width="8.75"/>
  </cols>
  <sheetData>
    <row r="1" spans="1:10" ht="46.5" x14ac:dyDescent="0.7">
      <c r="A1" s="2"/>
      <c r="B1" s="1">
        <f ca="1">YEAR(TODAY())</f>
        <v>2024</v>
      </c>
      <c r="C1" s="18" t="s">
        <v>2</v>
      </c>
      <c r="D1" s="13"/>
      <c r="E1" s="65" t="s">
        <v>28</v>
      </c>
      <c r="F1" s="65"/>
      <c r="G1" s="65"/>
      <c r="H1" s="15" t="s">
        <v>29</v>
      </c>
      <c r="J1" s="20">
        <v>12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x14ac:dyDescent="0.3">
      <c r="B4" s="37" t="s">
        <v>30</v>
      </c>
      <c r="C4" s="37" t="s">
        <v>30</v>
      </c>
      <c r="D4" s="37" t="s">
        <v>97</v>
      </c>
      <c r="E4" s="37" t="s">
        <v>97</v>
      </c>
      <c r="F4" s="37" t="s">
        <v>97</v>
      </c>
      <c r="G4" s="37" t="s">
        <v>97</v>
      </c>
      <c r="H4" s="37" t="s">
        <v>97</v>
      </c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x14ac:dyDescent="0.3">
      <c r="B6" s="37" t="s">
        <v>30</v>
      </c>
      <c r="C6" s="37" t="s">
        <v>30</v>
      </c>
      <c r="D6" s="37" t="s">
        <v>97</v>
      </c>
      <c r="E6" s="37" t="s">
        <v>97</v>
      </c>
      <c r="F6" s="37" t="s">
        <v>97</v>
      </c>
      <c r="G6" s="37" t="s">
        <v>97</v>
      </c>
      <c r="H6" s="37" t="s">
        <v>97</v>
      </c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x14ac:dyDescent="0.3">
      <c r="B8" s="37" t="s">
        <v>30</v>
      </c>
      <c r="C8" s="37" t="s">
        <v>30</v>
      </c>
      <c r="D8" s="37" t="s">
        <v>97</v>
      </c>
      <c r="E8" s="37" t="s">
        <v>131</v>
      </c>
      <c r="F8" s="37" t="s">
        <v>131</v>
      </c>
      <c r="G8" s="37" t="s">
        <v>97</v>
      </c>
      <c r="H8" s="37" t="s">
        <v>97</v>
      </c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x14ac:dyDescent="0.3">
      <c r="B10" s="37" t="s">
        <v>30</v>
      </c>
      <c r="C10" s="37" t="s">
        <v>30</v>
      </c>
      <c r="D10" s="37" t="s">
        <v>97</v>
      </c>
      <c r="E10" s="37" t="s">
        <v>97</v>
      </c>
      <c r="F10" s="37" t="s">
        <v>97</v>
      </c>
      <c r="G10" s="37" t="s">
        <v>97</v>
      </c>
      <c r="H10" s="37" t="s">
        <v>97</v>
      </c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x14ac:dyDescent="0.3">
      <c r="B12" s="37" t="s">
        <v>30</v>
      </c>
      <c r="C12" s="37" t="s">
        <v>30</v>
      </c>
      <c r="D12" s="37" t="s">
        <v>97</v>
      </c>
      <c r="E12" s="6"/>
      <c r="F12" s="6"/>
      <c r="G12" s="6"/>
      <c r="H12" s="7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6"/>
      <c r="C14" s="6"/>
      <c r="D14" s="63"/>
      <c r="E14" s="63"/>
      <c r="F14" s="63"/>
      <c r="G14" s="63"/>
      <c r="H14" s="63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65" t="s">
        <v>28</v>
      </c>
      <c r="F15" s="65"/>
      <c r="G15" s="65"/>
      <c r="H15" s="15" t="s">
        <v>29</v>
      </c>
      <c r="J15" s="20">
        <v>12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x14ac:dyDescent="0.3">
      <c r="B18" s="6"/>
      <c r="C18" s="6"/>
      <c r="D18" s="6"/>
      <c r="E18" s="37" t="s">
        <v>97</v>
      </c>
      <c r="F18" s="37" t="s">
        <v>97</v>
      </c>
      <c r="G18" s="37" t="s">
        <v>97</v>
      </c>
      <c r="H18" s="37" t="s">
        <v>97</v>
      </c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x14ac:dyDescent="0.3">
      <c r="B20" s="37" t="s">
        <v>30</v>
      </c>
      <c r="C20" s="37" t="s">
        <v>30</v>
      </c>
      <c r="D20" s="37" t="s">
        <v>97</v>
      </c>
      <c r="E20" s="37" t="s">
        <v>97</v>
      </c>
      <c r="F20" s="37" t="s">
        <v>97</v>
      </c>
      <c r="G20" s="37" t="s">
        <v>97</v>
      </c>
      <c r="H20" s="37" t="s">
        <v>30</v>
      </c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x14ac:dyDescent="0.3">
      <c r="B22" s="54" t="s">
        <v>30</v>
      </c>
      <c r="C22" s="54" t="s">
        <v>30</v>
      </c>
      <c r="D22" s="54" t="s">
        <v>97</v>
      </c>
      <c r="E22" s="54" t="s">
        <v>97</v>
      </c>
      <c r="F22" s="54" t="s">
        <v>97</v>
      </c>
      <c r="G22" s="54" t="s">
        <v>97</v>
      </c>
      <c r="H22" s="54" t="s">
        <v>97</v>
      </c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"/>
      <c r="C24" s="6"/>
      <c r="D24" s="6"/>
      <c r="E24" s="6"/>
      <c r="F24" s="6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6">
    <mergeCell ref="C29:E29"/>
    <mergeCell ref="E1:G1"/>
    <mergeCell ref="D13:H13"/>
    <mergeCell ref="D14:H14"/>
    <mergeCell ref="D27:H27"/>
    <mergeCell ref="D28:H28"/>
    <mergeCell ref="E15:G15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D153:H153"/>
    <mergeCell ref="D154:H154"/>
    <mergeCell ref="C155:E155"/>
    <mergeCell ref="D167:H167"/>
    <mergeCell ref="D168:H168"/>
  </mergeCells>
  <dataValidations count="14">
    <dataValidation allowBlank="1" showInputMessage="1" prompt="Fecha" sqref="B3" xr:uid="{00000000-0002-0000-1C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1C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 E15" xr:uid="{00000000-0002-0000-1C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1C00-000004000000}"/>
    <dataValidation allowBlank="1" showInputMessage="1" showErrorMessage="1" prompt="Escriba el año en esta celda" sqref="B1" xr:uid="{00000000-0002-0000-1C00-000005000000}"/>
    <dataValidation allowBlank="1" showInputMessage="1" prompt="Día laborable determinado automáticamente. Para cambiar los días laborables, seleccione un nuevo día de inicio de semana en la celda B2." sqref="C2:H2 B16" xr:uid="{00000000-0002-0000-1C00-000006000000}"/>
    <dataValidation allowBlank="1" showInputMessage="1" prompt="Escriba aquí las notas del día" sqref="B4:C4 B22:C22 B20:C20 H20 B10:C10 E12 B12:C12 B8:C8 B6:C6" xr:uid="{00000000-0002-0000-1C00-000008000000}"/>
    <dataValidation allowBlank="1" showInputMessage="1" prompt="El año natural se actualiza automáticamente según el año seleccionado en la celda B1" sqref="B15" xr:uid="{00000000-0002-0000-1C00-000011000000}"/>
    <dataValidation allowBlank="1" showInputMessage="1" prompt="El mes natural se actualiza automáticamente según el mes seleccionado en la celda C1" sqref="C15:D15" xr:uid="{00000000-0002-0000-1C00-000012000000}"/>
    <dataValidation allowBlank="1" showInputMessage="1" prompt="Escriba las notas del mes en la siguiente celda" sqref="D13:H13" xr:uid="{00000000-0002-0000-1C00-000013000000}"/>
    <dataValidation allowBlank="1" showInputMessage="1" prompt="Escriba las notas del mes en esta celda" sqref="D14:H14" xr:uid="{00000000-0002-0000-1C00-000014000000}"/>
    <dataValidation allowBlank="1" showInputMessage="1" showErrorMessage="1" prompt="El año natural se actualiza automáticamente según el año seleccionado en la celda B1" sqref="B29 B155 B141 B127 B113 B99 B85 B71 B57 B43" xr:uid="{00000000-0002-0000-1C00-000015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1C00-00001F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1C00-000029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3C2CCA73-7AD0-4BFA-9F32-7C1DAA26164A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528F193F-A78A-4642-B903-D1774FA7E4C1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0D7CB365-8B51-48D9-80FF-8F38C3534AA9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0A25D9AF-763A-4800-8A8D-64702EF6B799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E0EC7FD8-51A2-4A27-82EC-92579FAB73D5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9C8F979F-0158-45BE-98FF-E592D460B72E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55C3906E-0B8C-4E35-B154-6890E6B46B90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A82A434B-61C9-4EDA-A709-3612F6F4A12A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88DCFB2B-6E18-400D-BAD8-C3FB2F19025B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089DAF01-710C-4659-B5C0-398DA7D6BD5B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4CCD64CC-7617-4606-8514-5B42E9508CCF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52083FA7-3430-4674-B50C-64B3D26BE02C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4" tint="-0.249977111117893"/>
  </sheetPr>
  <dimension ref="A1:J168"/>
  <sheetViews>
    <sheetView topLeftCell="A22" workbookViewId="0">
      <selection activeCell="D24" sqref="D24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0" max="10" width="8.75"/>
  </cols>
  <sheetData>
    <row r="1" spans="1:10" ht="46.5" customHeight="1" x14ac:dyDescent="0.7">
      <c r="A1" s="2"/>
      <c r="B1" s="1">
        <f ca="1">YEAR(TODAY())</f>
        <v>2024</v>
      </c>
      <c r="C1" s="18" t="s">
        <v>2</v>
      </c>
      <c r="D1" s="13"/>
      <c r="E1" s="65" t="s">
        <v>31</v>
      </c>
      <c r="F1" s="65"/>
      <c r="G1" s="65"/>
      <c r="H1" s="15" t="s">
        <v>32</v>
      </c>
      <c r="J1" s="20">
        <v>13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x14ac:dyDescent="0.3">
      <c r="B4" s="45" t="s">
        <v>33</v>
      </c>
      <c r="C4" s="45" t="s">
        <v>33</v>
      </c>
      <c r="D4" s="45" t="s">
        <v>33</v>
      </c>
      <c r="E4" s="45" t="s">
        <v>33</v>
      </c>
      <c r="F4" s="45" t="s">
        <v>33</v>
      </c>
      <c r="G4" s="45" t="s">
        <v>33</v>
      </c>
      <c r="H4" s="31" t="s">
        <v>34</v>
      </c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x14ac:dyDescent="0.3">
      <c r="B6" s="31" t="s">
        <v>34</v>
      </c>
      <c r="C6" s="31" t="s">
        <v>34</v>
      </c>
      <c r="D6" s="31" t="s">
        <v>34</v>
      </c>
      <c r="E6" s="31" t="s">
        <v>34</v>
      </c>
      <c r="F6" s="31" t="s">
        <v>34</v>
      </c>
      <c r="G6" s="31" t="s">
        <v>34</v>
      </c>
      <c r="H6" s="37" t="s">
        <v>33</v>
      </c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x14ac:dyDescent="0.3">
      <c r="B8" s="45" t="s">
        <v>33</v>
      </c>
      <c r="C8" s="45" t="s">
        <v>33</v>
      </c>
      <c r="D8" s="45" t="s">
        <v>33</v>
      </c>
      <c r="E8" s="45" t="s">
        <v>33</v>
      </c>
      <c r="F8" s="45" t="s">
        <v>33</v>
      </c>
      <c r="G8" s="45" t="s">
        <v>33</v>
      </c>
      <c r="H8" s="31" t="s">
        <v>34</v>
      </c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x14ac:dyDescent="0.3">
      <c r="B10" s="31" t="s">
        <v>34</v>
      </c>
      <c r="C10" s="31" t="s">
        <v>34</v>
      </c>
      <c r="D10" s="31" t="s">
        <v>34</v>
      </c>
      <c r="E10" s="31" t="s">
        <v>34</v>
      </c>
      <c r="F10" s="31" t="s">
        <v>34</v>
      </c>
      <c r="G10" s="31" t="s">
        <v>34</v>
      </c>
      <c r="H10" s="37" t="s">
        <v>33</v>
      </c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x14ac:dyDescent="0.3">
      <c r="B12" s="45" t="s">
        <v>33</v>
      </c>
      <c r="C12" s="45" t="s">
        <v>33</v>
      </c>
      <c r="D12" s="45" t="s">
        <v>33</v>
      </c>
      <c r="E12" s="6"/>
      <c r="F12" s="6"/>
      <c r="G12" s="6"/>
      <c r="H12" s="7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6"/>
      <c r="C14" s="6"/>
      <c r="D14" s="63"/>
      <c r="E14" s="63"/>
      <c r="F14" s="63"/>
      <c r="G14" s="63"/>
      <c r="H14" s="63"/>
    </row>
    <row r="15" spans="1:10" ht="46.5" x14ac:dyDescent="0.7">
      <c r="A15" s="2"/>
      <c r="B15" s="1">
        <f ca="1">YEAR(DATE(Calendario1Año,Calendario1MesOpción+1,1))</f>
        <v>2024</v>
      </c>
      <c r="C15" s="18" t="str">
        <f ca="1">TEXT(DATE(Calendario1Año,Calendario1MesOpción+1,1),"mmmm")</f>
        <v>febrero</v>
      </c>
      <c r="D15" s="13"/>
      <c r="E15" s="65" t="s">
        <v>31</v>
      </c>
      <c r="F15" s="65"/>
      <c r="G15" s="65"/>
      <c r="H15" s="15" t="s">
        <v>32</v>
      </c>
      <c r="J15" s="20">
        <v>13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10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10" x14ac:dyDescent="0.3">
      <c r="B18" s="6"/>
      <c r="C18" s="6"/>
      <c r="D18" s="6"/>
      <c r="E18" s="45" t="s">
        <v>33</v>
      </c>
      <c r="F18" s="45" t="s">
        <v>33</v>
      </c>
      <c r="G18" s="45" t="s">
        <v>33</v>
      </c>
      <c r="H18" s="31" t="s">
        <v>34</v>
      </c>
    </row>
    <row r="19" spans="1:10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10" x14ac:dyDescent="0.3">
      <c r="B20" s="31" t="s">
        <v>34</v>
      </c>
      <c r="C20" s="31" t="s">
        <v>34</v>
      </c>
      <c r="D20" s="31" t="s">
        <v>34</v>
      </c>
      <c r="E20" s="31" t="s">
        <v>34</v>
      </c>
      <c r="F20" s="31" t="s">
        <v>34</v>
      </c>
      <c r="G20" s="31" t="s">
        <v>34</v>
      </c>
      <c r="H20" s="37" t="s">
        <v>33</v>
      </c>
    </row>
    <row r="21" spans="1:10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10" x14ac:dyDescent="0.3">
      <c r="B22" s="45" t="s">
        <v>33</v>
      </c>
      <c r="C22" s="45" t="s">
        <v>33</v>
      </c>
      <c r="D22" s="45" t="s">
        <v>33</v>
      </c>
      <c r="E22" s="45" t="s">
        <v>33</v>
      </c>
      <c r="F22" s="45" t="s">
        <v>33</v>
      </c>
      <c r="G22" s="45" t="s">
        <v>33</v>
      </c>
      <c r="H22" s="31" t="s">
        <v>34</v>
      </c>
    </row>
    <row r="23" spans="1:10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10" x14ac:dyDescent="0.3">
      <c r="B24" s="31" t="s">
        <v>34</v>
      </c>
      <c r="C24" s="31" t="s">
        <v>34</v>
      </c>
      <c r="D24" s="31" t="s">
        <v>34</v>
      </c>
      <c r="E24" s="31" t="s">
        <v>34</v>
      </c>
      <c r="F24" s="31" t="s">
        <v>34</v>
      </c>
      <c r="G24" s="31" t="s">
        <v>34</v>
      </c>
      <c r="H24" s="37" t="s">
        <v>33</v>
      </c>
    </row>
    <row r="25" spans="1:10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10" x14ac:dyDescent="0.3">
      <c r="B26" s="45" t="s">
        <v>33</v>
      </c>
      <c r="C26" s="45" t="s">
        <v>33</v>
      </c>
      <c r="D26" s="45" t="s">
        <v>33</v>
      </c>
      <c r="E26" s="45" t="s">
        <v>33</v>
      </c>
      <c r="F26" s="51"/>
      <c r="G26" s="51"/>
      <c r="H26" s="58"/>
    </row>
    <row r="27" spans="1:10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10" x14ac:dyDescent="0.3">
      <c r="B28" s="51"/>
      <c r="C28" s="51"/>
      <c r="D28" s="68"/>
      <c r="E28" s="68"/>
      <c r="F28" s="68"/>
      <c r="G28" s="68"/>
      <c r="H28" s="68"/>
    </row>
    <row r="29" spans="1:10" ht="46.5" x14ac:dyDescent="0.7">
      <c r="A29" s="2"/>
      <c r="B29" s="1">
        <f ca="1">YEAR(DATE(Calendario2Año,Calendario2MesOpción+1,1))</f>
        <v>2024</v>
      </c>
      <c r="C29" s="18" t="str">
        <f ca="1">TEXT(DATE(Calendario2Año,Calendario2MesOpción+1,1),"mmmm")</f>
        <v>marzo</v>
      </c>
      <c r="D29" s="18"/>
      <c r="E29" s="65" t="s">
        <v>31</v>
      </c>
      <c r="F29" s="65"/>
      <c r="G29" s="65"/>
      <c r="H29" s="15" t="s">
        <v>32</v>
      </c>
      <c r="J29" s="20">
        <v>13</v>
      </c>
    </row>
    <row r="30" spans="1:10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10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10" x14ac:dyDescent="0.3">
      <c r="B32" s="6"/>
      <c r="C32" s="6"/>
      <c r="D32" s="6"/>
      <c r="E32" s="6"/>
      <c r="F32" s="49" t="s">
        <v>33</v>
      </c>
      <c r="G32" s="49" t="s">
        <v>33</v>
      </c>
      <c r="H32" s="46" t="s">
        <v>34</v>
      </c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ht="59.25" x14ac:dyDescent="0.3">
      <c r="B34" s="46" t="s">
        <v>34</v>
      </c>
      <c r="C34" s="46" t="s">
        <v>34</v>
      </c>
      <c r="D34" s="46" t="s">
        <v>34</v>
      </c>
      <c r="E34" s="59" t="s">
        <v>172</v>
      </c>
      <c r="F34" s="60" t="s">
        <v>33</v>
      </c>
      <c r="G34" s="60" t="s">
        <v>33</v>
      </c>
      <c r="H34" s="59" t="s">
        <v>173</v>
      </c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ht="30" x14ac:dyDescent="0.3">
      <c r="B36" s="60" t="s">
        <v>34</v>
      </c>
      <c r="C36" s="60" t="s">
        <v>34</v>
      </c>
      <c r="D36" s="49" t="s">
        <v>33</v>
      </c>
      <c r="E36" s="49" t="s">
        <v>33</v>
      </c>
      <c r="F36" s="49" t="s">
        <v>33</v>
      </c>
      <c r="G36" s="49" t="s">
        <v>33</v>
      </c>
      <c r="H36" s="46" t="s">
        <v>34</v>
      </c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6">
    <mergeCell ref="E1:G1"/>
    <mergeCell ref="D13:H13"/>
    <mergeCell ref="D14:H14"/>
    <mergeCell ref="D27:H27"/>
    <mergeCell ref="D28:H28"/>
    <mergeCell ref="E15:G15"/>
    <mergeCell ref="E29:G29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D153:H153"/>
    <mergeCell ref="D154:H154"/>
    <mergeCell ref="C155:E155"/>
    <mergeCell ref="D167:H167"/>
    <mergeCell ref="D168:H168"/>
  </mergeCells>
  <dataValidations count="13">
    <dataValidation allowBlank="1" showInputMessage="1" prompt="Fecha" sqref="B3" xr:uid="{00000000-0002-0000-1D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1D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 E29 E15" xr:uid="{00000000-0002-0000-1D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1D00-000005000000}"/>
    <dataValidation allowBlank="1" showInputMessage="1" showErrorMessage="1" prompt="Escriba el año en esta celda" sqref="B1" xr:uid="{00000000-0002-0000-1D00-000006000000}"/>
    <dataValidation allowBlank="1" showInputMessage="1" prompt="Día laborable determinado automáticamente. Para cambiar los días laborables, seleccione un nuevo día de inicio de semana en la celda B2." sqref="C2:H2 B16" xr:uid="{00000000-0002-0000-1D00-000007000000}"/>
    <dataValidation allowBlank="1" showInputMessage="1" prompt="El año natural se actualiza automáticamente según el año seleccionado en la celda B1" sqref="B15" xr:uid="{00000000-0002-0000-1D00-000009000000}"/>
    <dataValidation allowBlank="1" showInputMessage="1" prompt="El mes natural se actualiza automáticamente según el mes seleccionado en la celda C1" sqref="C15:D15" xr:uid="{00000000-0002-0000-1D00-00000A000000}"/>
    <dataValidation allowBlank="1" showInputMessage="1" prompt="Escriba las notas del mes en la siguiente celda" sqref="D13:H13" xr:uid="{00000000-0002-0000-1D00-00000B000000}"/>
    <dataValidation allowBlank="1" showInputMessage="1" prompt="Escriba las notas del mes en esta celda" sqref="D14:H14" xr:uid="{00000000-0002-0000-1D00-00000C000000}"/>
    <dataValidation allowBlank="1" showInputMessage="1" showErrorMessage="1" prompt="El año natural se actualiza automáticamente según el año seleccionado en la celda B1" sqref="B29 B155 B141 B127 B113 B99 B85 B71 B57 B43" xr:uid="{00000000-0002-0000-1D00-00000D000000}"/>
    <dataValidation allowBlank="1" showInputMessage="1" showErrorMessage="1" prompt="El mes natural se actualiza automáticamente según el mes seleccionado en la celda C1" sqref="C141:E141 C29:D29 C127:E127 C113:E113 C99:E99 C85:E85 C71:E71 C57:E57 C43:E43 C155:E155" xr:uid="{00000000-0002-0000-1D00-000017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1D00-000021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0F7AB132-2D87-4D5A-9266-59E7B0B03406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A1BFD9C1-6402-4814-9373-E74B13D8B7D0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586543B0-BB9E-41D5-91F9-6B8D85A672D6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6875F8BC-104F-447F-BD41-EF8BCACAE0DD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1BE54326-96B9-46B4-9F18-100928E218B5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125E411C-8414-4DBA-8CE8-2FE3D226C1F2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0626163C-3E96-4FDD-98F3-DDD6CFF66B5B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17DE4AFE-896D-4FBE-826C-E1E6FB90BE34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0166BB67-F62E-4DE8-8D3C-6D822678FE8C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7F177E7C-E95C-4E97-83C5-16F9EB0938E1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6DE28943-BB90-4478-88D4-96BD52E2F76E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C010AEC3-91B4-440F-AEB2-B5E2FD6C3422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4" tint="-0.249977111117893"/>
  </sheetPr>
  <dimension ref="A1:J168"/>
  <sheetViews>
    <sheetView topLeftCell="A10" workbookViewId="0">
      <selection activeCell="E20" activeCellId="1" sqref="C20 E20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0" max="10" width="8.75"/>
  </cols>
  <sheetData>
    <row r="1" spans="1:10" ht="46.5" customHeight="1" x14ac:dyDescent="0.7">
      <c r="A1" s="2"/>
      <c r="B1" s="1">
        <f ca="1">YEAR(TODAY())</f>
        <v>2024</v>
      </c>
      <c r="C1" s="18" t="s">
        <v>2</v>
      </c>
      <c r="D1" s="13"/>
      <c r="E1" s="65" t="s">
        <v>35</v>
      </c>
      <c r="F1" s="65"/>
      <c r="G1" s="65"/>
      <c r="H1" s="15" t="s">
        <v>36</v>
      </c>
      <c r="J1" s="20">
        <v>14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ht="28.5" x14ac:dyDescent="0.3">
      <c r="B4" s="6"/>
      <c r="C4" s="6"/>
      <c r="D4" s="6"/>
      <c r="E4" s="31" t="s">
        <v>37</v>
      </c>
      <c r="F4" s="6"/>
      <c r="G4" s="6"/>
      <c r="H4" s="7"/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ht="28.5" x14ac:dyDescent="0.3">
      <c r="B6" s="6"/>
      <c r="C6" s="31" t="s">
        <v>37</v>
      </c>
      <c r="D6" s="6"/>
      <c r="E6" s="31" t="s">
        <v>37</v>
      </c>
      <c r="F6" s="6"/>
      <c r="G6" s="6"/>
      <c r="H6" s="9"/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ht="28.5" x14ac:dyDescent="0.3">
      <c r="B8" s="6"/>
      <c r="C8" s="31" t="s">
        <v>37</v>
      </c>
      <c r="D8" s="6"/>
      <c r="E8" s="31" t="s">
        <v>37</v>
      </c>
      <c r="F8" s="6"/>
      <c r="G8" s="6"/>
      <c r="H8" s="7"/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ht="28.5" x14ac:dyDescent="0.3">
      <c r="B10" s="6"/>
      <c r="C10" s="31" t="s">
        <v>37</v>
      </c>
      <c r="D10" s="6"/>
      <c r="E10" s="31" t="s">
        <v>37</v>
      </c>
      <c r="F10" s="6"/>
      <c r="G10" s="6"/>
      <c r="H10" s="7"/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ht="28.5" x14ac:dyDescent="0.3">
      <c r="B12" s="6"/>
      <c r="C12" s="31" t="s">
        <v>37</v>
      </c>
      <c r="D12" s="6"/>
      <c r="E12" s="51"/>
      <c r="F12" s="51"/>
      <c r="G12" s="51"/>
      <c r="H12" s="52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51"/>
      <c r="C14" s="51"/>
      <c r="D14" s="68"/>
      <c r="E14" s="68"/>
      <c r="F14" s="68"/>
      <c r="G14" s="68"/>
      <c r="H14" s="68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65" t="s">
        <v>35</v>
      </c>
      <c r="F15" s="65"/>
      <c r="G15" s="65"/>
      <c r="H15" s="15" t="s">
        <v>36</v>
      </c>
      <c r="J15" s="20">
        <v>14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ht="28.5" x14ac:dyDescent="0.3">
      <c r="B18" s="51"/>
      <c r="C18" s="51"/>
      <c r="D18" s="51"/>
      <c r="E18" s="31" t="s">
        <v>37</v>
      </c>
      <c r="F18" s="6"/>
      <c r="G18" s="6"/>
      <c r="H18" s="7"/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ht="28.5" x14ac:dyDescent="0.3">
      <c r="B20" s="6"/>
      <c r="C20" s="31" t="s">
        <v>37</v>
      </c>
      <c r="D20" s="54"/>
      <c r="E20" s="31" t="s">
        <v>37</v>
      </c>
      <c r="F20" s="6"/>
      <c r="G20" s="6"/>
      <c r="H20" s="7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ht="28.5" x14ac:dyDescent="0.3">
      <c r="B22" s="6"/>
      <c r="C22" s="28" t="s">
        <v>37</v>
      </c>
      <c r="D22" s="54"/>
      <c r="E22" s="28" t="s">
        <v>37</v>
      </c>
      <c r="F22" s="6"/>
      <c r="G22" s="6"/>
      <c r="H22" s="7"/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"/>
      <c r="C24" s="6"/>
      <c r="D24" s="6"/>
      <c r="E24" s="6"/>
      <c r="F24" s="6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6">
    <mergeCell ref="C29:E29"/>
    <mergeCell ref="E1:G1"/>
    <mergeCell ref="D13:H13"/>
    <mergeCell ref="D14:H14"/>
    <mergeCell ref="D27:H27"/>
    <mergeCell ref="D28:H28"/>
    <mergeCell ref="E15:G15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D153:H153"/>
    <mergeCell ref="D154:H154"/>
    <mergeCell ref="C155:E155"/>
    <mergeCell ref="D167:H167"/>
    <mergeCell ref="D168:H168"/>
  </mergeCells>
  <dataValidations count="14">
    <dataValidation allowBlank="1" showInputMessage="1" prompt="Fecha" sqref="B3" xr:uid="{00000000-0002-0000-1E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1E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 E15" xr:uid="{00000000-0002-0000-1E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1E00-000004000000}"/>
    <dataValidation allowBlank="1" showInputMessage="1" showErrorMessage="1" prompt="Escriba el año en esta celda" sqref="B1" xr:uid="{00000000-0002-0000-1E00-000005000000}"/>
    <dataValidation allowBlank="1" showInputMessage="1" prompt="Día laborable determinado automáticamente. Para cambiar los días laborables, seleccione un nuevo día de inicio de semana en la celda B2." sqref="C2:H2 B16" xr:uid="{00000000-0002-0000-1E00-000006000000}"/>
    <dataValidation allowBlank="1" showInputMessage="1" prompt="Escriba aquí las notas del día" sqref="B4" xr:uid="{00000000-0002-0000-1E00-000008000000}"/>
    <dataValidation allowBlank="1" showInputMessage="1" prompt="El año natural se actualiza automáticamente según el año seleccionado en la celda B1" sqref="B15" xr:uid="{00000000-0002-0000-1E00-000009000000}"/>
    <dataValidation allowBlank="1" showInputMessage="1" prompt="El mes natural se actualiza automáticamente según el mes seleccionado en la celda C1" sqref="C15:D15" xr:uid="{00000000-0002-0000-1E00-00000A000000}"/>
    <dataValidation allowBlank="1" showInputMessage="1" prompt="Escriba las notas del mes en la siguiente celda" sqref="D13:H13" xr:uid="{00000000-0002-0000-1E00-00000B000000}"/>
    <dataValidation allowBlank="1" showInputMessage="1" prompt="Escriba las notas del mes en esta celda" sqref="D14:H14" xr:uid="{00000000-0002-0000-1E00-00000C000000}"/>
    <dataValidation allowBlank="1" showInputMessage="1" showErrorMessage="1" prompt="El año natural se actualiza automáticamente según el año seleccionado en la celda B1" sqref="B29 B155 B141 B127 B113 B99 B85 B71 B57 B43" xr:uid="{00000000-0002-0000-1E00-00000D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1E00-000017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1E00-000021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642CF808-6B50-427F-8344-3511F87AC848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F7275137-7A7A-4C83-BD22-9764E9695CCF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12BE4A6C-D13B-4E77-9C19-0A7EF15F791A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47750F7A-9E70-41C3-B444-2687C1074245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42FD82DA-54AB-437C-846F-1FE57075B755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CECE84B6-5D9B-4876-BA9C-F3B3D4F9A860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A9CFCF8D-FC60-4D03-9BA9-4BA93E09BE0C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9DC683F6-17C8-44E1-8F04-441225439210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784617BB-3E35-43CA-965E-19E5A0CD3257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6E79AE3C-DCCB-4783-8A4D-34DCC1E1B127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2224750A-5CAD-459F-A225-102FA3A713A3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DC6A8001-AC4A-4272-8694-F46E250F2854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4" tint="-0.249977111117893"/>
  </sheetPr>
  <dimension ref="A1:J168"/>
  <sheetViews>
    <sheetView topLeftCell="A10" workbookViewId="0">
      <selection activeCell="E23" sqref="E23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0" max="10" width="8.75"/>
  </cols>
  <sheetData>
    <row r="1" spans="1:10" ht="46.5" x14ac:dyDescent="0.7">
      <c r="A1" s="2"/>
      <c r="B1" s="1">
        <f ca="1">YEAR(TODAY())</f>
        <v>2024</v>
      </c>
      <c r="C1" s="18" t="s">
        <v>2</v>
      </c>
      <c r="D1" s="13"/>
      <c r="E1" s="65" t="s">
        <v>38</v>
      </c>
      <c r="F1" s="65"/>
      <c r="G1" s="65"/>
      <c r="H1" s="15" t="s">
        <v>38</v>
      </c>
      <c r="J1" s="20">
        <v>15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ht="28.5" x14ac:dyDescent="0.3">
      <c r="B4" s="6"/>
      <c r="C4" s="6"/>
      <c r="D4" s="37" t="s">
        <v>39</v>
      </c>
      <c r="E4" s="6"/>
      <c r="F4" s="37" t="s">
        <v>39</v>
      </c>
      <c r="G4" s="6"/>
      <c r="H4" s="7"/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ht="28.5" x14ac:dyDescent="0.3">
      <c r="B6" s="37" t="s">
        <v>39</v>
      </c>
      <c r="C6" s="6"/>
      <c r="D6" s="37" t="s">
        <v>39</v>
      </c>
      <c r="E6" s="6"/>
      <c r="F6" s="37" t="s">
        <v>39</v>
      </c>
      <c r="G6" s="6"/>
      <c r="H6" s="9"/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ht="28.5" x14ac:dyDescent="0.3">
      <c r="B8" s="37" t="s">
        <v>39</v>
      </c>
      <c r="C8" s="6"/>
      <c r="D8" s="37" t="s">
        <v>39</v>
      </c>
      <c r="E8" s="6"/>
      <c r="F8" s="37" t="s">
        <v>39</v>
      </c>
      <c r="G8" s="6"/>
      <c r="H8" s="7"/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ht="28.5" x14ac:dyDescent="0.3">
      <c r="B10" s="37" t="s">
        <v>39</v>
      </c>
      <c r="C10" s="6"/>
      <c r="D10" s="37" t="s">
        <v>39</v>
      </c>
      <c r="E10" s="6"/>
      <c r="F10" s="37" t="s">
        <v>39</v>
      </c>
      <c r="G10" s="6"/>
      <c r="H10" s="7"/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ht="28.5" x14ac:dyDescent="0.3">
      <c r="B12" s="37" t="s">
        <v>39</v>
      </c>
      <c r="C12" s="6"/>
      <c r="D12" s="37" t="s">
        <v>39</v>
      </c>
      <c r="E12" s="6"/>
      <c r="F12" s="6"/>
      <c r="G12" s="6"/>
      <c r="H12" s="7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6"/>
      <c r="C14" s="6"/>
      <c r="D14" s="63"/>
      <c r="E14" s="63"/>
      <c r="F14" s="63"/>
      <c r="G14" s="63"/>
      <c r="H14" s="63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65" t="s">
        <v>38</v>
      </c>
      <c r="F15" s="65"/>
      <c r="G15" s="65"/>
      <c r="H15" s="15" t="s">
        <v>38</v>
      </c>
      <c r="J15" s="20">
        <v>15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ht="28.5" x14ac:dyDescent="0.3">
      <c r="B18" s="6"/>
      <c r="C18" s="6"/>
      <c r="D18" s="6"/>
      <c r="E18" s="6"/>
      <c r="F18" s="37" t="s">
        <v>39</v>
      </c>
      <c r="G18" s="6"/>
      <c r="H18" s="7"/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ht="28.5" x14ac:dyDescent="0.3">
      <c r="B20" s="54" t="s">
        <v>39</v>
      </c>
      <c r="C20" s="54"/>
      <c r="D20" s="54" t="s">
        <v>39</v>
      </c>
      <c r="E20" s="54"/>
      <c r="F20" s="54" t="s">
        <v>39</v>
      </c>
      <c r="G20" s="6"/>
      <c r="H20" s="7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ht="28.5" x14ac:dyDescent="0.3">
      <c r="B22" s="54" t="s">
        <v>39</v>
      </c>
      <c r="C22" s="54"/>
      <c r="D22" s="54" t="s">
        <v>39</v>
      </c>
      <c r="E22" s="54"/>
      <c r="F22" s="54" t="s">
        <v>39</v>
      </c>
      <c r="G22" s="6"/>
      <c r="H22" s="7"/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"/>
      <c r="C24" s="6"/>
      <c r="D24" s="6"/>
      <c r="E24" s="6"/>
      <c r="F24" s="6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6">
    <mergeCell ref="C29:E29"/>
    <mergeCell ref="E1:G1"/>
    <mergeCell ref="D13:H13"/>
    <mergeCell ref="D14:H14"/>
    <mergeCell ref="D27:H27"/>
    <mergeCell ref="D28:H28"/>
    <mergeCell ref="E15:G15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D153:H153"/>
    <mergeCell ref="D154:H154"/>
    <mergeCell ref="C155:E155"/>
    <mergeCell ref="D167:H167"/>
    <mergeCell ref="D168:H168"/>
  </mergeCells>
  <dataValidations count="14">
    <dataValidation allowBlank="1" showInputMessage="1" prompt="Fecha" sqref="B3" xr:uid="{00000000-0002-0000-1F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1F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 E15" xr:uid="{00000000-0002-0000-1F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1F00-000004000000}"/>
    <dataValidation allowBlank="1" showInputMessage="1" showErrorMessage="1" prompt="Escriba el año en esta celda" sqref="B1" xr:uid="{00000000-0002-0000-1F00-000005000000}"/>
    <dataValidation allowBlank="1" showInputMessage="1" prompt="Día laborable determinado automáticamente. Para cambiar los días laborables, seleccione un nuevo día de inicio de semana en la celda B2." sqref="C2:H2 B16" xr:uid="{00000000-0002-0000-1F00-000006000000}"/>
    <dataValidation allowBlank="1" showInputMessage="1" prompt="Escriba aquí las notas del día" sqref="B4" xr:uid="{00000000-0002-0000-1F00-000008000000}"/>
    <dataValidation allowBlank="1" showInputMessage="1" prompt="El año natural se actualiza automáticamente según el año seleccionado en la celda B1" sqref="B15" xr:uid="{00000000-0002-0000-1F00-000009000000}"/>
    <dataValidation allowBlank="1" showInputMessage="1" prompt="El mes natural se actualiza automáticamente según el mes seleccionado en la celda C1" sqref="C15:D15" xr:uid="{00000000-0002-0000-1F00-00000A000000}"/>
    <dataValidation allowBlank="1" showInputMessage="1" prompt="Escriba las notas del mes en la siguiente celda" sqref="D13:H13" xr:uid="{00000000-0002-0000-1F00-00000B000000}"/>
    <dataValidation allowBlank="1" showInputMessage="1" prompt="Escriba las notas del mes en esta celda" sqref="D14:H14" xr:uid="{00000000-0002-0000-1F00-00000C000000}"/>
    <dataValidation allowBlank="1" showInputMessage="1" showErrorMessage="1" prompt="El año natural se actualiza automáticamente según el año seleccionado en la celda B1" sqref="B29 B155 B141 B127 B113 B99 B85 B71 B57 B43" xr:uid="{00000000-0002-0000-1F00-00000D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1F00-000017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1F00-000021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592E765C-C328-4A90-8913-76D94519ECC3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0D9C6BB9-A46E-4D03-81F7-052901BB1049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5A51FAC6-1747-4FE5-8B55-201B75BB35B1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1AC3F48C-F2BD-4138-8C2B-557419453073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18BE6DA6-D83A-416A-B305-432E4F1F8359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499F297D-D99F-4419-B219-FAA67CD27288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A674C07C-8D74-4C16-A6F8-22076217ECA0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C24EFC68-DC95-426E-B077-6A3CAC95F45A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0E878BBD-00B3-4517-AEFB-7B938BDDEA92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7B08C7DD-8BD1-4D65-869C-99EA59137336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00C68229-6ED8-4B5D-A962-C0B40E128488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01248CD2-99CA-469E-93DE-DB15C87DE471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4" tint="-0.249977111117893"/>
  </sheetPr>
  <dimension ref="A1:J168"/>
  <sheetViews>
    <sheetView topLeftCell="A10" workbookViewId="0">
      <selection activeCell="C22" sqref="C22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0" max="10" width="8.75"/>
  </cols>
  <sheetData>
    <row r="1" spans="1:10" ht="46.5" x14ac:dyDescent="0.7">
      <c r="A1" s="2"/>
      <c r="B1" s="1">
        <f ca="1">YEAR(TODAY())</f>
        <v>2024</v>
      </c>
      <c r="C1" s="18" t="s">
        <v>2</v>
      </c>
      <c r="D1" s="13"/>
      <c r="E1" s="65" t="s">
        <v>40</v>
      </c>
      <c r="F1" s="65"/>
      <c r="G1" s="65"/>
      <c r="H1" s="15" t="s">
        <v>41</v>
      </c>
      <c r="J1" s="20">
        <v>16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ht="28.5" x14ac:dyDescent="0.3">
      <c r="B4" s="6"/>
      <c r="C4" s="31" t="s">
        <v>42</v>
      </c>
      <c r="D4" s="30" t="s">
        <v>43</v>
      </c>
      <c r="E4" s="6"/>
      <c r="F4" s="30" t="s">
        <v>43</v>
      </c>
      <c r="G4" s="6"/>
      <c r="H4" s="7"/>
      <c r="J4">
        <v>17500</v>
      </c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ht="28.5" x14ac:dyDescent="0.3">
      <c r="B6" s="30" t="s">
        <v>43</v>
      </c>
      <c r="C6" s="30" t="s">
        <v>43</v>
      </c>
      <c r="D6" s="30" t="s">
        <v>43</v>
      </c>
      <c r="E6" s="6"/>
      <c r="F6" s="30" t="s">
        <v>43</v>
      </c>
      <c r="G6" s="31" t="s">
        <v>108</v>
      </c>
      <c r="H6" s="9"/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ht="28.5" x14ac:dyDescent="0.3">
      <c r="B8" s="30" t="s">
        <v>43</v>
      </c>
      <c r="C8" s="30" t="s">
        <v>43</v>
      </c>
      <c r="D8" s="30" t="s">
        <v>43</v>
      </c>
      <c r="E8" s="6"/>
      <c r="F8" s="30" t="s">
        <v>43</v>
      </c>
      <c r="G8" s="6"/>
      <c r="H8" s="7"/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ht="28.5" x14ac:dyDescent="0.3">
      <c r="B10" s="30" t="s">
        <v>43</v>
      </c>
      <c r="C10" s="30" t="s">
        <v>43</v>
      </c>
      <c r="D10" s="30" t="s">
        <v>43</v>
      </c>
      <c r="E10" s="6"/>
      <c r="F10" s="24" t="s">
        <v>43</v>
      </c>
      <c r="G10" s="28" t="s">
        <v>140</v>
      </c>
      <c r="H10" s="7"/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ht="28.5" x14ac:dyDescent="0.3">
      <c r="B12" s="24" t="s">
        <v>43</v>
      </c>
      <c r="C12" s="24" t="s">
        <v>43</v>
      </c>
      <c r="D12" s="24" t="s">
        <v>43</v>
      </c>
      <c r="E12" s="6"/>
      <c r="F12" s="6"/>
      <c r="G12" s="6"/>
      <c r="H12" s="7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6"/>
      <c r="C14" s="6"/>
      <c r="D14" s="63"/>
      <c r="E14" s="63"/>
      <c r="F14" s="63"/>
      <c r="G14" s="63"/>
      <c r="H14" s="63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65" t="s">
        <v>40</v>
      </c>
      <c r="F15" s="65"/>
      <c r="G15" s="65"/>
      <c r="H15" s="15" t="s">
        <v>41</v>
      </c>
      <c r="J15" s="20">
        <v>16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ht="28.5" x14ac:dyDescent="0.3">
      <c r="B18" s="6"/>
      <c r="C18" s="6"/>
      <c r="D18" s="6"/>
      <c r="E18" s="6"/>
      <c r="F18" s="24" t="s">
        <v>162</v>
      </c>
      <c r="G18" s="25" t="s">
        <v>163</v>
      </c>
      <c r="H18" s="7"/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ht="28.5" x14ac:dyDescent="0.3">
      <c r="B20" s="25" t="s">
        <v>164</v>
      </c>
      <c r="C20" s="25" t="s">
        <v>163</v>
      </c>
      <c r="D20" s="25" t="s">
        <v>165</v>
      </c>
      <c r="E20" s="25" t="s">
        <v>165</v>
      </c>
      <c r="F20" s="25" t="s">
        <v>165</v>
      </c>
      <c r="G20" s="28" t="s">
        <v>174</v>
      </c>
      <c r="H20" s="7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ht="28.5" x14ac:dyDescent="0.3">
      <c r="B22" s="25" t="s">
        <v>187</v>
      </c>
      <c r="C22" s="25" t="s">
        <v>188</v>
      </c>
      <c r="D22" s="25" t="s">
        <v>189</v>
      </c>
      <c r="E22" s="6"/>
      <c r="F22" s="25" t="s">
        <v>165</v>
      </c>
      <c r="G22" s="28" t="s">
        <v>108</v>
      </c>
      <c r="H22" s="7"/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"/>
      <c r="C24" s="6"/>
      <c r="D24" s="6"/>
      <c r="E24" s="6"/>
      <c r="F24" s="6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6">
    <mergeCell ref="C29:E29"/>
    <mergeCell ref="E1:G1"/>
    <mergeCell ref="D13:H13"/>
    <mergeCell ref="D14:H14"/>
    <mergeCell ref="D27:H27"/>
    <mergeCell ref="D28:H28"/>
    <mergeCell ref="E15:G15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D153:H153"/>
    <mergeCell ref="D154:H154"/>
    <mergeCell ref="C155:E155"/>
    <mergeCell ref="D167:H167"/>
    <mergeCell ref="D168:H168"/>
  </mergeCells>
  <dataValidations count="14">
    <dataValidation allowBlank="1" showInputMessage="1" prompt="Fecha" sqref="B3" xr:uid="{00000000-0002-0000-20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20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 E15" xr:uid="{00000000-0002-0000-20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2000-000004000000}"/>
    <dataValidation allowBlank="1" showInputMessage="1" showErrorMessage="1" prompt="Escriba el año en esta celda" sqref="B1" xr:uid="{00000000-0002-0000-2000-000005000000}"/>
    <dataValidation allowBlank="1" showInputMessage="1" prompt="Día laborable determinado automáticamente. Para cambiar los días laborables, seleccione un nuevo día de inicio de semana en la celda B2." sqref="C2:H2 B16" xr:uid="{00000000-0002-0000-2000-000006000000}"/>
    <dataValidation allowBlank="1" showInputMessage="1" prompt="Escriba aquí las notas del día" sqref="B4" xr:uid="{00000000-0002-0000-2000-000008000000}"/>
    <dataValidation allowBlank="1" showInputMessage="1" prompt="El año natural se actualiza automáticamente según el año seleccionado en la celda B1" sqref="B15" xr:uid="{00000000-0002-0000-2000-000009000000}"/>
    <dataValidation allowBlank="1" showInputMessage="1" prompt="El mes natural se actualiza automáticamente según el mes seleccionado en la celda C1" sqref="C15:D15" xr:uid="{00000000-0002-0000-2000-00000A000000}"/>
    <dataValidation allowBlank="1" showInputMessage="1" prompt="Escriba las notas del mes en la siguiente celda" sqref="D13:H13" xr:uid="{00000000-0002-0000-2000-00000B000000}"/>
    <dataValidation allowBlank="1" showInputMessage="1" prompt="Escriba las notas del mes en esta celda" sqref="D14:H14" xr:uid="{00000000-0002-0000-2000-00000C000000}"/>
    <dataValidation allowBlank="1" showInputMessage="1" showErrorMessage="1" prompt="El año natural se actualiza automáticamente según el año seleccionado en la celda B1" sqref="B29 B155 B141 B127 B113 B99 B85 B71 B57 B43" xr:uid="{00000000-0002-0000-2000-00000D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2000-000017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2000-000021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E7E3FA2C-CE9B-447F-9930-B5A847721687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8488DE3E-7BA4-49E1-BBD8-E7FE1A5E9B0B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EA355359-4108-461B-BC9D-3A0E9702E6B0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06974329-6A6D-4515-8906-6CADC4F249D1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2228DE09-B84C-4563-B635-3E60D095AE21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086371C0-70F6-42C9-A549-0140904F65B9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58E65E57-A568-4FCD-92E6-405F7EA61D09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000F72D2-939A-4963-83D7-04AA36D46BEE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0D0FF00C-FF45-4228-AF15-6ED2862ADCBE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02EC3EBE-E1ED-4E04-8D4E-03201D36E481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23699E13-208E-40D6-9C05-B7125D2B5D5B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C2EA3B59-BB95-4D50-8CAA-CC1EEE073610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4" tint="-0.249977111117893"/>
  </sheetPr>
  <dimension ref="A1:J168"/>
  <sheetViews>
    <sheetView topLeftCell="A13" workbookViewId="0">
      <selection activeCell="G22" sqref="G22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0" max="10" width="8.75"/>
  </cols>
  <sheetData>
    <row r="1" spans="1:10" ht="46.5" x14ac:dyDescent="0.7">
      <c r="A1" s="2"/>
      <c r="B1" s="1">
        <f ca="1">YEAR(TODAY())</f>
        <v>2024</v>
      </c>
      <c r="C1" s="18" t="s">
        <v>2</v>
      </c>
      <c r="D1" s="13"/>
      <c r="E1" s="65" t="s">
        <v>44</v>
      </c>
      <c r="F1" s="65"/>
      <c r="G1" s="65"/>
      <c r="H1" s="15" t="s">
        <v>45</v>
      </c>
      <c r="J1" s="20">
        <v>17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ht="28.5" x14ac:dyDescent="0.3">
      <c r="B4" s="6"/>
      <c r="C4" s="6"/>
      <c r="D4" s="6"/>
      <c r="E4" s="6"/>
      <c r="G4" s="30" t="s">
        <v>46</v>
      </c>
      <c r="H4" s="31" t="s">
        <v>47</v>
      </c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ht="28.5" x14ac:dyDescent="0.3">
      <c r="B6" s="6"/>
      <c r="C6" s="6"/>
      <c r="D6" s="6"/>
      <c r="E6" s="6"/>
      <c r="F6" s="6"/>
      <c r="G6" s="30" t="s">
        <v>46</v>
      </c>
      <c r="H6" s="31" t="s">
        <v>47</v>
      </c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ht="28.5" x14ac:dyDescent="0.3">
      <c r="B8" s="6"/>
      <c r="C8" s="6"/>
      <c r="D8" s="6"/>
      <c r="E8" s="6"/>
      <c r="F8" s="6"/>
      <c r="G8" s="30" t="s">
        <v>46</v>
      </c>
      <c r="H8" s="30" t="s">
        <v>46</v>
      </c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ht="28.5" x14ac:dyDescent="0.3">
      <c r="B10" s="6"/>
      <c r="C10" s="6"/>
      <c r="D10" s="6"/>
      <c r="E10" s="6"/>
      <c r="F10" s="6"/>
      <c r="G10" s="30" t="s">
        <v>46</v>
      </c>
      <c r="H10" s="30" t="s">
        <v>143</v>
      </c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x14ac:dyDescent="0.3">
      <c r="B12" s="6"/>
      <c r="C12" s="6"/>
      <c r="D12" s="6"/>
      <c r="E12" s="51"/>
      <c r="F12" s="51"/>
      <c r="G12" s="51"/>
      <c r="H12" s="52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51"/>
      <c r="C14" s="51"/>
      <c r="D14" s="68"/>
      <c r="E14" s="68"/>
      <c r="F14" s="68"/>
      <c r="G14" s="68"/>
      <c r="H14" s="68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65" t="s">
        <v>44</v>
      </c>
      <c r="F15" s="65"/>
      <c r="G15" s="65"/>
      <c r="H15" s="15" t="s">
        <v>45</v>
      </c>
      <c r="J15" s="20">
        <v>17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ht="28.5" x14ac:dyDescent="0.3">
      <c r="B18" s="51"/>
      <c r="C18" s="51"/>
      <c r="D18" s="51"/>
      <c r="E18" s="6"/>
      <c r="F18" s="6"/>
      <c r="G18" s="30" t="s">
        <v>46</v>
      </c>
      <c r="H18" s="30" t="s">
        <v>46</v>
      </c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x14ac:dyDescent="0.3">
      <c r="B20" s="6"/>
      <c r="C20" s="6"/>
      <c r="D20" s="6"/>
      <c r="E20" s="6"/>
      <c r="F20" s="6"/>
      <c r="G20" s="43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ht="28.5" x14ac:dyDescent="0.3">
      <c r="B22" s="6"/>
      <c r="C22" s="6"/>
      <c r="D22" s="43" t="s">
        <v>175</v>
      </c>
      <c r="E22" s="43" t="s">
        <v>175</v>
      </c>
      <c r="F22" s="6"/>
      <c r="G22" s="35" t="s">
        <v>46</v>
      </c>
      <c r="H22" s="43" t="s">
        <v>175</v>
      </c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"/>
      <c r="C24" s="6"/>
      <c r="D24" s="6"/>
      <c r="E24" s="6"/>
      <c r="F24" s="6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6">
    <mergeCell ref="C29:E29"/>
    <mergeCell ref="E1:G1"/>
    <mergeCell ref="D13:H13"/>
    <mergeCell ref="D14:H14"/>
    <mergeCell ref="D27:H27"/>
    <mergeCell ref="D28:H28"/>
    <mergeCell ref="E15:G15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D153:H153"/>
    <mergeCell ref="D154:H154"/>
    <mergeCell ref="C155:E155"/>
    <mergeCell ref="D167:H167"/>
    <mergeCell ref="D168:H168"/>
  </mergeCells>
  <dataValidations count="14">
    <dataValidation allowBlank="1" showInputMessage="1" prompt="Fecha" sqref="B3" xr:uid="{00000000-0002-0000-21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21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 E15" xr:uid="{00000000-0002-0000-21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2100-000004000000}"/>
    <dataValidation allowBlank="1" showInputMessage="1" showErrorMessage="1" prompt="Escriba el año en esta celda" sqref="B1" xr:uid="{00000000-0002-0000-2100-000005000000}"/>
    <dataValidation allowBlank="1" showInputMessage="1" prompt="Día laborable determinado automáticamente. Para cambiar los días laborables, seleccione un nuevo día de inicio de semana en la celda B2." sqref="C2:H2 B16" xr:uid="{00000000-0002-0000-2100-000006000000}"/>
    <dataValidation allowBlank="1" showInputMessage="1" prompt="Escriba aquí las notas del día" sqref="B4" xr:uid="{00000000-0002-0000-2100-000008000000}"/>
    <dataValidation allowBlank="1" showInputMessage="1" prompt="El año natural se actualiza automáticamente según el año seleccionado en la celda B1" sqref="B15" xr:uid="{00000000-0002-0000-2100-000009000000}"/>
    <dataValidation allowBlank="1" showInputMessage="1" prompt="El mes natural se actualiza automáticamente según el mes seleccionado en la celda C1" sqref="C15:D15" xr:uid="{00000000-0002-0000-2100-00000A000000}"/>
    <dataValidation allowBlank="1" showInputMessage="1" prompt="Escriba las notas del mes en la siguiente celda" sqref="D13:H13" xr:uid="{00000000-0002-0000-2100-00000B000000}"/>
    <dataValidation allowBlank="1" showInputMessage="1" prompt="Escriba las notas del mes en esta celda" sqref="D14:H14" xr:uid="{00000000-0002-0000-2100-00000C000000}"/>
    <dataValidation allowBlank="1" showInputMessage="1" showErrorMessage="1" prompt="El año natural se actualiza automáticamente según el año seleccionado en la celda B1" sqref="B29 B155 B141 B127 B113 B99 B85 B71 B57 B43" xr:uid="{00000000-0002-0000-2100-00000D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2100-000017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2100-000021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220C9143-C900-4653-9F39-1106E2A8D24C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9F36F2EB-2768-4530-ACCD-363B59611667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AC46476C-8988-4D03-AD5C-950E980402A7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360C2305-1EB9-4206-8804-1D542D5EAA30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CB7471EF-F6EB-4628-9627-08D28C5E9E84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D0B1ED63-66F6-4B14-B57B-ECF0858BF3D8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ABC0C344-5406-4521-B9AD-48241BEBCD7D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9B40719F-FC3F-4BEC-9719-1C2702ECFCA6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941EEA89-00C0-4E0B-830E-63CF245CA838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23EBF4CB-3D23-48C9-9FC0-865C78455660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61A9319A-42C2-47CE-A8E6-4DB3BD7D6B55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825C142B-4E35-4913-8E7F-94E1B315D028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4" tint="-0.249977111117893"/>
  </sheetPr>
  <dimension ref="A1:K168"/>
  <sheetViews>
    <sheetView workbookViewId="0">
      <selection activeCell="D13" sqref="D13:H13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0" max="10" width="8.75"/>
  </cols>
  <sheetData>
    <row r="1" spans="1:10" ht="46.5" customHeight="1" x14ac:dyDescent="0.7">
      <c r="A1" s="2"/>
      <c r="B1" s="1">
        <f ca="1">YEAR(TODAY())</f>
        <v>2024</v>
      </c>
      <c r="C1" s="18" t="s">
        <v>2</v>
      </c>
      <c r="D1" s="13"/>
      <c r="E1" s="65" t="s">
        <v>48</v>
      </c>
      <c r="F1" s="65"/>
      <c r="G1" s="65"/>
      <c r="H1" s="15" t="s">
        <v>49</v>
      </c>
      <c r="J1" s="20">
        <v>18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ht="28.5" x14ac:dyDescent="0.3">
      <c r="B4" s="31" t="s">
        <v>50</v>
      </c>
      <c r="C4" s="31" t="s">
        <v>51</v>
      </c>
      <c r="D4" s="31" t="s">
        <v>51</v>
      </c>
      <c r="E4" s="31" t="s">
        <v>51</v>
      </c>
      <c r="F4" s="31" t="s">
        <v>51</v>
      </c>
      <c r="G4" s="31" t="s">
        <v>52</v>
      </c>
      <c r="H4" s="31" t="s">
        <v>53</v>
      </c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ht="28.5" x14ac:dyDescent="0.3">
      <c r="B6" s="31" t="s">
        <v>51</v>
      </c>
      <c r="C6" s="31" t="s">
        <v>51</v>
      </c>
      <c r="D6" s="31" t="s">
        <v>51</v>
      </c>
      <c r="E6" s="31" t="s">
        <v>51</v>
      </c>
      <c r="F6" s="31" t="s">
        <v>51</v>
      </c>
      <c r="G6" s="31" t="s">
        <v>51</v>
      </c>
      <c r="H6" s="31" t="s">
        <v>53</v>
      </c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ht="28.5" x14ac:dyDescent="0.3">
      <c r="B8" s="31" t="s">
        <v>51</v>
      </c>
      <c r="C8" s="31" t="s">
        <v>51</v>
      </c>
      <c r="D8" s="31" t="s">
        <v>51</v>
      </c>
      <c r="E8" s="31" t="s">
        <v>51</v>
      </c>
      <c r="F8" s="31" t="s">
        <v>51</v>
      </c>
      <c r="G8" s="31" t="s">
        <v>51</v>
      </c>
      <c r="H8" s="31" t="s">
        <v>52</v>
      </c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ht="28.5" x14ac:dyDescent="0.3">
      <c r="B10" s="31" t="s">
        <v>51</v>
      </c>
      <c r="C10" s="31" t="s">
        <v>51</v>
      </c>
      <c r="D10" s="31" t="s">
        <v>51</v>
      </c>
      <c r="E10" s="25" t="s">
        <v>51</v>
      </c>
      <c r="F10" s="25" t="s">
        <v>52</v>
      </c>
      <c r="G10" s="25" t="s">
        <v>51</v>
      </c>
      <c r="H10" s="25" t="s">
        <v>53</v>
      </c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ht="28.5" x14ac:dyDescent="0.3">
      <c r="B12" s="25" t="s">
        <v>51</v>
      </c>
      <c r="C12" s="25" t="s">
        <v>51</v>
      </c>
      <c r="D12" s="25" t="s">
        <v>51</v>
      </c>
      <c r="E12" s="6"/>
      <c r="F12" s="6"/>
      <c r="G12" s="6"/>
      <c r="H12" s="7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6"/>
      <c r="C14" s="6"/>
      <c r="D14" s="63"/>
      <c r="E14" s="63"/>
      <c r="F14" s="63"/>
      <c r="G14" s="63"/>
      <c r="H14" s="63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65" t="s">
        <v>48</v>
      </c>
      <c r="F15" s="65"/>
      <c r="G15" s="65"/>
      <c r="H15" s="15" t="s">
        <v>49</v>
      </c>
      <c r="J15" s="20">
        <v>18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11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11" ht="28.5" x14ac:dyDescent="0.3">
      <c r="B18" s="6"/>
      <c r="C18" s="6"/>
      <c r="D18" s="6"/>
      <c r="E18" s="25" t="s">
        <v>51</v>
      </c>
      <c r="F18" s="25" t="s">
        <v>51</v>
      </c>
      <c r="G18" s="25" t="s">
        <v>51</v>
      </c>
      <c r="H18" s="25" t="s">
        <v>53</v>
      </c>
    </row>
    <row r="19" spans="1:11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11" ht="28.5" x14ac:dyDescent="0.3">
      <c r="B20" s="25" t="s">
        <v>52</v>
      </c>
      <c r="C20" s="25" t="s">
        <v>51</v>
      </c>
      <c r="D20" s="25" t="s">
        <v>51</v>
      </c>
      <c r="E20" s="25" t="s">
        <v>51</v>
      </c>
      <c r="F20" s="25" t="s">
        <v>51</v>
      </c>
      <c r="G20" s="25" t="s">
        <v>51</v>
      </c>
      <c r="H20" s="25" t="s">
        <v>53</v>
      </c>
      <c r="K20">
        <f>8000+4200</f>
        <v>12200</v>
      </c>
    </row>
    <row r="21" spans="1:11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11" ht="28.5" x14ac:dyDescent="0.3">
      <c r="B22" s="25" t="s">
        <v>51</v>
      </c>
      <c r="C22" s="25" t="s">
        <v>51</v>
      </c>
      <c r="D22" s="25" t="s">
        <v>190</v>
      </c>
      <c r="E22" s="25" t="s">
        <v>51</v>
      </c>
      <c r="F22" s="25" t="s">
        <v>51</v>
      </c>
      <c r="G22" s="25" t="s">
        <v>51</v>
      </c>
      <c r="H22" s="25" t="s">
        <v>53</v>
      </c>
    </row>
    <row r="23" spans="1:11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11" x14ac:dyDescent="0.3">
      <c r="B24" s="6"/>
      <c r="C24" s="6"/>
      <c r="D24" s="6"/>
      <c r="E24" s="6"/>
      <c r="F24" s="6"/>
      <c r="G24" s="6"/>
      <c r="H24" s="7"/>
    </row>
    <row r="25" spans="1:11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11" x14ac:dyDescent="0.3">
      <c r="B26" s="6"/>
      <c r="C26" s="6"/>
      <c r="D26" s="6"/>
      <c r="E26" s="6"/>
      <c r="F26" s="6"/>
      <c r="G26" s="6"/>
      <c r="H26" s="8"/>
    </row>
    <row r="27" spans="1:11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11" x14ac:dyDescent="0.3">
      <c r="B28" s="6"/>
      <c r="C28" s="6"/>
      <c r="D28" s="63"/>
      <c r="E28" s="63"/>
      <c r="F28" s="63"/>
      <c r="G28" s="63"/>
      <c r="H28" s="63"/>
    </row>
    <row r="29" spans="1:11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11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11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11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6">
    <mergeCell ref="C29:E29"/>
    <mergeCell ref="E1:G1"/>
    <mergeCell ref="D13:H13"/>
    <mergeCell ref="D14:H14"/>
    <mergeCell ref="D27:H27"/>
    <mergeCell ref="D28:H28"/>
    <mergeCell ref="E15:G15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D153:H153"/>
    <mergeCell ref="D154:H154"/>
    <mergeCell ref="C155:E155"/>
    <mergeCell ref="D167:H167"/>
    <mergeCell ref="D168:H168"/>
  </mergeCells>
  <dataValidations count="14">
    <dataValidation allowBlank="1" showInputMessage="1" prompt="Fecha" sqref="B3" xr:uid="{00000000-0002-0000-22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22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 E15" xr:uid="{00000000-0002-0000-22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2200-000004000000}"/>
    <dataValidation allowBlank="1" showInputMessage="1" showErrorMessage="1" prompt="Escriba el año en esta celda" sqref="B1" xr:uid="{00000000-0002-0000-2200-000005000000}"/>
    <dataValidation allowBlank="1" showInputMessage="1" prompt="Día laborable determinado automáticamente. Para cambiar los días laborables, seleccione un nuevo día de inicio de semana en la celda B2." sqref="C2:H2 B16" xr:uid="{00000000-0002-0000-2200-000006000000}"/>
    <dataValidation allowBlank="1" showInputMessage="1" prompt="Escriba aquí las notas del día" sqref="B4:H4 B22:H22 E18:H18 B20:H20 B8:H8 B10:H10 B12:D12 B6:H6" xr:uid="{00000000-0002-0000-2200-000008000000}"/>
    <dataValidation allowBlank="1" showInputMessage="1" prompt="El año natural se actualiza automáticamente según el año seleccionado en la celda B1" sqref="B15" xr:uid="{00000000-0002-0000-2200-000010000000}"/>
    <dataValidation allowBlank="1" showInputMessage="1" prompt="El mes natural se actualiza automáticamente según el mes seleccionado en la celda C1" sqref="C15:D15" xr:uid="{00000000-0002-0000-2200-000011000000}"/>
    <dataValidation allowBlank="1" showInputMessage="1" prompt="Escriba las notas del mes en la siguiente celda" sqref="D13:H13" xr:uid="{00000000-0002-0000-2200-000012000000}"/>
    <dataValidation allowBlank="1" showInputMessage="1" prompt="Escriba las notas del mes en esta celda" sqref="D14:H14" xr:uid="{00000000-0002-0000-2200-000013000000}"/>
    <dataValidation allowBlank="1" showInputMessage="1" showErrorMessage="1" prompt="El año natural se actualiza automáticamente según el año seleccionado en la celda B1" sqref="B29 B155 B141 B127 B113 B99 B85 B71 B57 B43" xr:uid="{00000000-0002-0000-2200-000014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2200-00001E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2200-000028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167C87F0-679B-47ED-9279-84430DC3FACC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923B263C-EA9B-49E0-BD8A-59640D5EDD80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521188B2-A1C2-417E-86B0-49555F4AFEB2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559CDF68-F81C-4855-A518-1374AAA2F25C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757ECBDD-7078-405F-AE60-B3A68ACF19BF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C488D0C4-526C-4EDD-9763-23D9EAF1B99D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5B28E8E0-76C5-486A-9878-9C3EA81F0E80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F2BBC335-8629-499A-A6B9-3B767779D742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4716480C-FE03-4BA8-A26B-FF3184404181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8F5610D3-CC2F-47AB-A842-26FBF437B772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77213470-E217-4C89-A652-0DF734AD23D0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F18F324F-4D9A-4F2F-9FB5-853F244843A7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4" tint="-0.249977111117893"/>
  </sheetPr>
  <dimension ref="A1:J168"/>
  <sheetViews>
    <sheetView topLeftCell="A10" workbookViewId="0">
      <selection activeCell="G22" sqref="G22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0" max="10" width="8.75"/>
  </cols>
  <sheetData>
    <row r="1" spans="1:10" ht="46.5" customHeight="1" x14ac:dyDescent="0.7">
      <c r="A1" s="2"/>
      <c r="B1" s="1">
        <f ca="1">YEAR(TODAY())</f>
        <v>2024</v>
      </c>
      <c r="C1" s="18" t="s">
        <v>2</v>
      </c>
      <c r="D1" s="13"/>
      <c r="E1" s="65" t="s">
        <v>54</v>
      </c>
      <c r="F1" s="65"/>
      <c r="G1" s="65"/>
      <c r="H1" s="15" t="s">
        <v>55</v>
      </c>
      <c r="J1" s="20">
        <v>19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ht="28.5" x14ac:dyDescent="0.3">
      <c r="B4" s="6"/>
      <c r="C4" s="31" t="s">
        <v>56</v>
      </c>
      <c r="D4" s="31" t="s">
        <v>56</v>
      </c>
      <c r="E4" s="31" t="s">
        <v>56</v>
      </c>
      <c r="F4" s="31" t="s">
        <v>56</v>
      </c>
      <c r="G4" s="6"/>
      <c r="H4" s="7"/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ht="28.5" x14ac:dyDescent="0.3">
      <c r="B6" s="31" t="s">
        <v>56</v>
      </c>
      <c r="C6" s="31" t="s">
        <v>56</v>
      </c>
      <c r="D6" s="31" t="s">
        <v>56</v>
      </c>
      <c r="E6" s="31" t="s">
        <v>56</v>
      </c>
      <c r="F6" s="31" t="s">
        <v>56</v>
      </c>
      <c r="G6" s="6"/>
      <c r="H6" s="9"/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ht="28.5" x14ac:dyDescent="0.3">
      <c r="B8" s="31" t="s">
        <v>56</v>
      </c>
      <c r="C8" s="31" t="s">
        <v>56</v>
      </c>
      <c r="D8" s="31" t="s">
        <v>56</v>
      </c>
      <c r="E8" s="31" t="s">
        <v>56</v>
      </c>
      <c r="F8" s="31" t="s">
        <v>56</v>
      </c>
      <c r="G8" s="6"/>
      <c r="H8" s="7"/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ht="28.5" x14ac:dyDescent="0.3">
      <c r="B10" s="31" t="s">
        <v>56</v>
      </c>
      <c r="C10" s="31" t="s">
        <v>56</v>
      </c>
      <c r="D10" s="31" t="s">
        <v>56</v>
      </c>
      <c r="E10" s="31" t="s">
        <v>56</v>
      </c>
      <c r="F10" s="31" t="s">
        <v>56</v>
      </c>
      <c r="G10" s="6"/>
      <c r="H10" s="7"/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ht="28.5" x14ac:dyDescent="0.3">
      <c r="B12" s="31" t="s">
        <v>56</v>
      </c>
      <c r="C12" s="31" t="s">
        <v>56</v>
      </c>
      <c r="D12" s="31" t="s">
        <v>56</v>
      </c>
      <c r="E12" s="6"/>
      <c r="F12" s="6"/>
      <c r="G12" s="6"/>
      <c r="H12" s="7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6"/>
      <c r="C14" s="6"/>
      <c r="D14" s="63"/>
      <c r="E14" s="63"/>
      <c r="F14" s="63"/>
      <c r="G14" s="63"/>
      <c r="H14" s="63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65" t="s">
        <v>54</v>
      </c>
      <c r="F15" s="65"/>
      <c r="G15" s="65"/>
      <c r="H15" s="15" t="s">
        <v>55</v>
      </c>
      <c r="J15" s="20">
        <v>19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ht="28.5" x14ac:dyDescent="0.3">
      <c r="B18" s="6"/>
      <c r="C18" s="6"/>
      <c r="D18" s="6"/>
      <c r="E18" s="31" t="s">
        <v>56</v>
      </c>
      <c r="F18" s="31" t="s">
        <v>56</v>
      </c>
      <c r="G18" s="6"/>
      <c r="H18" s="7"/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ht="28.5" x14ac:dyDescent="0.3">
      <c r="B20" s="6"/>
      <c r="C20" s="31" t="s">
        <v>56</v>
      </c>
      <c r="D20" s="31" t="s">
        <v>56</v>
      </c>
      <c r="E20" s="31" t="s">
        <v>56</v>
      </c>
      <c r="F20" s="31" t="s">
        <v>56</v>
      </c>
      <c r="G20" s="6"/>
      <c r="H20" s="7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ht="28.5" x14ac:dyDescent="0.3">
      <c r="B22" s="28" t="s">
        <v>56</v>
      </c>
      <c r="C22" s="28" t="s">
        <v>56</v>
      </c>
      <c r="D22" s="28" t="s">
        <v>56</v>
      </c>
      <c r="E22" s="28" t="s">
        <v>56</v>
      </c>
      <c r="F22" s="28" t="s">
        <v>56</v>
      </c>
      <c r="G22" s="6"/>
      <c r="H22" s="7"/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7" t="s">
        <v>199</v>
      </c>
      <c r="C24" s="67"/>
      <c r="D24" s="67"/>
      <c r="E24" s="67"/>
      <c r="F24" s="74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7">
    <mergeCell ref="C29:E29"/>
    <mergeCell ref="E1:G1"/>
    <mergeCell ref="D13:H13"/>
    <mergeCell ref="D14:H14"/>
    <mergeCell ref="D27:H27"/>
    <mergeCell ref="D28:H28"/>
    <mergeCell ref="E15:G15"/>
    <mergeCell ref="B24:F24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D153:H153"/>
    <mergeCell ref="D154:H154"/>
    <mergeCell ref="C155:E155"/>
    <mergeCell ref="D167:H167"/>
    <mergeCell ref="D168:H168"/>
  </mergeCells>
  <dataValidations count="14">
    <dataValidation allowBlank="1" showInputMessage="1" prompt="Fecha" sqref="B3" xr:uid="{00000000-0002-0000-23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23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 E15" xr:uid="{00000000-0002-0000-23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2300-000004000000}"/>
    <dataValidation allowBlank="1" showInputMessage="1" showErrorMessage="1" prompt="Escriba el año en esta celda" sqref="B1" xr:uid="{00000000-0002-0000-2300-000005000000}"/>
    <dataValidation allowBlank="1" showInputMessage="1" prompt="Día laborable determinado automáticamente. Para cambiar los días laborables, seleccione un nuevo día de inicio de semana en la celda B2." sqref="C2:H2 B16" xr:uid="{00000000-0002-0000-2300-000006000000}"/>
    <dataValidation allowBlank="1" showInputMessage="1" prompt="Escriba aquí las notas del día" sqref="B4" xr:uid="{00000000-0002-0000-2300-000008000000}"/>
    <dataValidation allowBlank="1" showInputMessage="1" prompt="El año natural se actualiza automáticamente según el año seleccionado en la celda B1" sqref="B15" xr:uid="{00000000-0002-0000-2300-000009000000}"/>
    <dataValidation allowBlank="1" showInputMessage="1" prompt="El mes natural se actualiza automáticamente según el mes seleccionado en la celda C1" sqref="C15:D15" xr:uid="{00000000-0002-0000-2300-00000A000000}"/>
    <dataValidation allowBlank="1" showInputMessage="1" prompt="Escriba las notas del mes en la siguiente celda" sqref="D13:H13" xr:uid="{00000000-0002-0000-2300-00000B000000}"/>
    <dataValidation allowBlank="1" showInputMessage="1" prompt="Escriba las notas del mes en esta celda" sqref="D14:H14" xr:uid="{00000000-0002-0000-2300-00000C000000}"/>
    <dataValidation allowBlank="1" showInputMessage="1" showErrorMessage="1" prompt="El año natural se actualiza automáticamente según el año seleccionado en la celda B1" sqref="B29 B155 B141 B127 B113 B99 B85 B71 B57 B43" xr:uid="{00000000-0002-0000-2300-00000D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2300-000017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2300-000021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D3490BBD-FB82-48E7-B382-4A6C07BBC642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E94B5D9F-3AC1-4894-ACD4-7646275BAEBE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ECAF80AE-FAE4-47F0-9C77-FD9D1085BFD9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57F5641D-7C01-447D-90F5-324082561534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14E79702-B6A2-4E76-AD49-DA9DE7F84233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FAF362E2-29FC-491A-BFEE-B7C17A80617A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7792F35A-8078-475B-A537-780704007714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B340CB11-DFF3-40EB-88BE-548DDE4C80CB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2C0D059C-A514-473A-AEA8-2A8ACDBEB3F2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4FA2DC3C-D795-409C-BB36-D6D5152BF429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10277F65-6016-49AF-8C3B-CED42736C8C3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66C3BE85-D129-4D9B-8480-41D284A80DE2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4" tint="-0.249977111117893"/>
  </sheetPr>
  <dimension ref="A1:J168"/>
  <sheetViews>
    <sheetView topLeftCell="A4" workbookViewId="0">
      <selection activeCell="F6" sqref="F6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0" max="10" width="8.75"/>
  </cols>
  <sheetData>
    <row r="1" spans="1:10" ht="46.5" x14ac:dyDescent="0.7">
      <c r="A1" s="2"/>
      <c r="B1" s="1">
        <f ca="1">YEAR(TODAY())</f>
        <v>2024</v>
      </c>
      <c r="C1" s="18" t="s">
        <v>2</v>
      </c>
      <c r="D1" s="13"/>
      <c r="E1" s="65" t="s">
        <v>57</v>
      </c>
      <c r="F1" s="65"/>
      <c r="G1" s="65"/>
      <c r="H1" s="15" t="s">
        <v>58</v>
      </c>
      <c r="J1" s="20">
        <v>20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ht="28.5" x14ac:dyDescent="0.3">
      <c r="B4" s="6"/>
      <c r="C4" s="31" t="s">
        <v>59</v>
      </c>
      <c r="D4" s="31" t="s">
        <v>60</v>
      </c>
      <c r="E4" s="31" t="s">
        <v>59</v>
      </c>
      <c r="F4" s="31" t="s">
        <v>59</v>
      </c>
      <c r="G4" s="6"/>
      <c r="H4" s="7"/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ht="28.5" x14ac:dyDescent="0.3">
      <c r="B6" s="31" t="s">
        <v>60</v>
      </c>
      <c r="C6" s="31" t="s">
        <v>59</v>
      </c>
      <c r="D6" s="31" t="s">
        <v>60</v>
      </c>
      <c r="E6" s="31" t="s">
        <v>59</v>
      </c>
      <c r="F6" s="31" t="s">
        <v>59</v>
      </c>
      <c r="G6" s="31" t="s">
        <v>126</v>
      </c>
      <c r="H6" s="9"/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ht="28.5" x14ac:dyDescent="0.3">
      <c r="B8" s="31" t="s">
        <v>60</v>
      </c>
      <c r="C8" s="31" t="s">
        <v>59</v>
      </c>
      <c r="D8" s="31" t="s">
        <v>60</v>
      </c>
      <c r="E8" s="31" t="s">
        <v>59</v>
      </c>
      <c r="F8" s="31" t="s">
        <v>59</v>
      </c>
      <c r="G8" s="6"/>
      <c r="H8" s="7"/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ht="28.5" x14ac:dyDescent="0.3">
      <c r="B10" s="31" t="s">
        <v>60</v>
      </c>
      <c r="C10" s="31" t="s">
        <v>59</v>
      </c>
      <c r="D10" s="31" t="s">
        <v>60</v>
      </c>
      <c r="E10" s="31" t="s">
        <v>59</v>
      </c>
      <c r="F10" s="31" t="s">
        <v>59</v>
      </c>
      <c r="G10" s="6"/>
      <c r="H10" s="7"/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ht="28.5" x14ac:dyDescent="0.3">
      <c r="B12" s="31" t="s">
        <v>60</v>
      </c>
      <c r="C12" s="31" t="s">
        <v>59</v>
      </c>
      <c r="D12" s="31" t="s">
        <v>60</v>
      </c>
      <c r="E12" s="51"/>
      <c r="F12" s="51"/>
      <c r="G12" s="51"/>
      <c r="H12" s="52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51"/>
      <c r="C14" s="51"/>
      <c r="D14" s="68"/>
      <c r="E14" s="68"/>
      <c r="F14" s="68"/>
      <c r="G14" s="68"/>
      <c r="H14" s="68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65" t="s">
        <v>57</v>
      </c>
      <c r="F15" s="65"/>
      <c r="G15" s="65"/>
      <c r="H15" s="15" t="s">
        <v>58</v>
      </c>
      <c r="J15" s="20">
        <v>20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ht="28.5" x14ac:dyDescent="0.3">
      <c r="B18" s="51"/>
      <c r="C18" s="51"/>
      <c r="D18" s="51"/>
      <c r="E18" s="25" t="s">
        <v>59</v>
      </c>
      <c r="F18" s="25" t="s">
        <v>59</v>
      </c>
      <c r="G18" s="6"/>
      <c r="H18" s="7"/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ht="28.5" x14ac:dyDescent="0.3">
      <c r="B20" s="25"/>
      <c r="C20" s="25" t="s">
        <v>59</v>
      </c>
      <c r="D20" s="25" t="s">
        <v>60</v>
      </c>
      <c r="E20" s="25" t="s">
        <v>59</v>
      </c>
      <c r="F20" s="25" t="s">
        <v>59</v>
      </c>
      <c r="G20" s="6"/>
      <c r="H20" s="7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ht="28.5" x14ac:dyDescent="0.3">
      <c r="B22" s="25" t="s">
        <v>60</v>
      </c>
      <c r="C22" s="25" t="s">
        <v>59</v>
      </c>
      <c r="D22" s="25" t="s">
        <v>60</v>
      </c>
      <c r="E22" s="25" t="s">
        <v>59</v>
      </c>
      <c r="F22" s="25" t="s">
        <v>59</v>
      </c>
      <c r="G22" s="6"/>
      <c r="H22" s="7"/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"/>
      <c r="C24" s="6"/>
      <c r="D24" s="6"/>
      <c r="E24" s="6"/>
      <c r="F24" s="6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51"/>
      <c r="G26" s="51"/>
      <c r="H26" s="5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51"/>
      <c r="C28" s="51"/>
      <c r="D28" s="68"/>
      <c r="E28" s="68"/>
      <c r="F28" s="68"/>
      <c r="G28" s="68"/>
      <c r="H28" s="68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6">
    <mergeCell ref="C29:E29"/>
    <mergeCell ref="E1:G1"/>
    <mergeCell ref="D13:H13"/>
    <mergeCell ref="D14:H14"/>
    <mergeCell ref="D27:H27"/>
    <mergeCell ref="D28:H28"/>
    <mergeCell ref="E15:G15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D153:H153"/>
    <mergeCell ref="D154:H154"/>
    <mergeCell ref="C155:E155"/>
    <mergeCell ref="D167:H167"/>
    <mergeCell ref="D168:H168"/>
  </mergeCells>
  <dataValidations count="14">
    <dataValidation allowBlank="1" showInputMessage="1" prompt="Fecha" sqref="B3" xr:uid="{00000000-0002-0000-24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24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 E15" xr:uid="{00000000-0002-0000-24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2400-000004000000}"/>
    <dataValidation allowBlank="1" showInputMessage="1" showErrorMessage="1" prompt="Escriba el año en esta celda" sqref="B1" xr:uid="{00000000-0002-0000-2400-000005000000}"/>
    <dataValidation allowBlank="1" showInputMessage="1" prompt="Día laborable determinado automáticamente. Para cambiar los días laborables, seleccione un nuevo día de inicio de semana en la celda B2." sqref="C2:H2 B16" xr:uid="{00000000-0002-0000-2400-000006000000}"/>
    <dataValidation allowBlank="1" showInputMessage="1" prompt="Escriba aquí las notas del día" sqref="B4" xr:uid="{00000000-0002-0000-2400-000008000000}"/>
    <dataValidation allowBlank="1" showInputMessage="1" prompt="El año natural se actualiza automáticamente según el año seleccionado en la celda B1" sqref="B15" xr:uid="{00000000-0002-0000-2400-000009000000}"/>
    <dataValidation allowBlank="1" showInputMessage="1" prompt="El mes natural se actualiza automáticamente según el mes seleccionado en la celda C1" sqref="C15:D15" xr:uid="{00000000-0002-0000-2400-00000A000000}"/>
    <dataValidation allowBlank="1" showInputMessage="1" prompt="Escriba las notas del mes en la siguiente celda" sqref="D13:H13" xr:uid="{00000000-0002-0000-2400-00000B000000}"/>
    <dataValidation allowBlank="1" showInputMessage="1" prompt="Escriba las notas del mes en esta celda" sqref="D14:H14" xr:uid="{00000000-0002-0000-2400-00000C000000}"/>
    <dataValidation allowBlank="1" showInputMessage="1" showErrorMessage="1" prompt="El año natural se actualiza automáticamente según el año seleccionado en la celda B1" sqref="B29 B155 B141 B127 B113 B99 B85 B71 B57 B43" xr:uid="{00000000-0002-0000-2400-00000D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2400-000017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2400-000021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1FE69914-22FA-46B0-9DE8-75168D1F4E7C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61EB4B6C-5E4A-46AF-A7AD-47975C9DF753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2493CE65-2765-4FFF-B66E-7C0F07FA58E5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AD814495-C3F1-4EAB-9740-2EE72518EBC3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CD090D5B-83BE-4280-9A4C-606E146C55AD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83E761E8-3DCD-480F-801A-A7EC931DD7C2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28FFFD80-28B7-4308-A33D-4AE4E78D801C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923460AC-B891-4E43-A6AB-ABEA725DA38F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8D377EF0-6591-4EB5-A274-16A7D5CCCA95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1905D2A1-39A6-4112-97C2-1E6DF2A84772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254A84F6-C03A-44E7-91C1-B71F6BE58E54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D194A84C-79D5-4C80-894C-B659727F5E42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4" tint="-0.249977111117893"/>
  </sheetPr>
  <dimension ref="A1:J168"/>
  <sheetViews>
    <sheetView topLeftCell="A10" workbookViewId="0">
      <selection activeCell="E22" sqref="E22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0" max="10" width="8.75"/>
  </cols>
  <sheetData>
    <row r="1" spans="1:10" ht="46.5" x14ac:dyDescent="0.7">
      <c r="A1" s="2"/>
      <c r="B1" s="1">
        <f ca="1">YEAR(TODAY())</f>
        <v>2024</v>
      </c>
      <c r="C1" s="18" t="s">
        <v>2</v>
      </c>
      <c r="D1" s="13"/>
      <c r="E1" s="65" t="s">
        <v>65</v>
      </c>
      <c r="F1" s="65"/>
      <c r="G1" s="65"/>
      <c r="H1" s="19" t="s">
        <v>66</v>
      </c>
      <c r="J1" s="20">
        <v>22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ht="28.5" x14ac:dyDescent="0.3">
      <c r="B4" s="6"/>
      <c r="C4" s="30" t="s">
        <v>67</v>
      </c>
      <c r="D4" s="30" t="s">
        <v>68</v>
      </c>
      <c r="E4" s="6"/>
      <c r="F4" s="30" t="s">
        <v>68</v>
      </c>
      <c r="G4" s="6"/>
      <c r="H4" s="30" t="s">
        <v>68</v>
      </c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ht="28.5" x14ac:dyDescent="0.3">
      <c r="B6" s="6"/>
      <c r="C6" s="6"/>
      <c r="D6" s="30" t="s">
        <v>68</v>
      </c>
      <c r="E6" s="6"/>
      <c r="F6" s="30" t="s">
        <v>68</v>
      </c>
      <c r="G6" s="6"/>
      <c r="H6" s="30" t="s">
        <v>68</v>
      </c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ht="28.5" x14ac:dyDescent="0.3">
      <c r="B8" s="6"/>
      <c r="C8" s="6"/>
      <c r="D8" s="30" t="s">
        <v>68</v>
      </c>
      <c r="E8" s="6"/>
      <c r="F8" s="6"/>
      <c r="G8" s="6"/>
      <c r="H8" s="7"/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ht="28.5" x14ac:dyDescent="0.3">
      <c r="B10" s="6"/>
      <c r="C10" s="6"/>
      <c r="D10" s="30" t="s">
        <v>68</v>
      </c>
      <c r="E10" s="30" t="s">
        <v>68</v>
      </c>
      <c r="F10" s="6"/>
      <c r="G10" s="6"/>
      <c r="H10" s="7"/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ht="28.5" x14ac:dyDescent="0.3">
      <c r="B12" s="6"/>
      <c r="C12" s="6"/>
      <c r="D12" s="30" t="s">
        <v>68</v>
      </c>
      <c r="E12" s="6"/>
      <c r="F12" s="6"/>
      <c r="G12" s="6"/>
      <c r="H12" s="7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6"/>
      <c r="C14" s="6"/>
      <c r="D14" s="63"/>
      <c r="E14" s="63"/>
      <c r="F14" s="63"/>
      <c r="G14" s="63"/>
      <c r="H14" s="63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65" t="s">
        <v>65</v>
      </c>
      <c r="F15" s="65"/>
      <c r="G15" s="65"/>
      <c r="H15" s="19" t="s">
        <v>66</v>
      </c>
      <c r="J15" s="20">
        <v>22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ht="28.5" x14ac:dyDescent="0.3">
      <c r="B18" s="6"/>
      <c r="C18" s="6"/>
      <c r="D18" s="6"/>
      <c r="E18" s="30" t="s">
        <v>151</v>
      </c>
      <c r="F18" s="6"/>
      <c r="G18" s="6"/>
      <c r="H18" s="7"/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ht="28.5" x14ac:dyDescent="0.3">
      <c r="B20" s="6"/>
      <c r="C20" s="6"/>
      <c r="D20" s="30" t="s">
        <v>68</v>
      </c>
      <c r="E20" s="30" t="s">
        <v>68</v>
      </c>
      <c r="F20" s="6"/>
      <c r="G20" s="6"/>
      <c r="H20" s="7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ht="28.5" x14ac:dyDescent="0.3">
      <c r="B22" s="6"/>
      <c r="C22" s="6"/>
      <c r="D22" s="30" t="s">
        <v>68</v>
      </c>
      <c r="E22" s="31" t="s">
        <v>191</v>
      </c>
      <c r="F22" s="6"/>
      <c r="G22" s="6"/>
      <c r="H22" s="7"/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"/>
      <c r="C24" s="6"/>
      <c r="D24" s="6"/>
      <c r="E24" s="6"/>
      <c r="F24" s="6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6">
    <mergeCell ref="C29:E29"/>
    <mergeCell ref="E1:G1"/>
    <mergeCell ref="D13:H13"/>
    <mergeCell ref="D14:H14"/>
    <mergeCell ref="D27:H27"/>
    <mergeCell ref="D28:H28"/>
    <mergeCell ref="E15:G15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D153:H153"/>
    <mergeCell ref="D154:H154"/>
    <mergeCell ref="C155:E155"/>
    <mergeCell ref="D167:H167"/>
    <mergeCell ref="D168:H168"/>
  </mergeCells>
  <dataValidations count="14">
    <dataValidation allowBlank="1" showInputMessage="1" prompt="Fecha" sqref="B3" xr:uid="{00000000-0002-0000-25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25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 E15" xr:uid="{00000000-0002-0000-25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2500-000004000000}"/>
    <dataValidation allowBlank="1" showInputMessage="1" showErrorMessage="1" prompt="Escriba el año en esta celda" sqref="B1" xr:uid="{00000000-0002-0000-2500-000005000000}"/>
    <dataValidation allowBlank="1" showInputMessage="1" prompt="Día laborable determinado automáticamente. Para cambiar los días laborables, seleccione un nuevo día de inicio de semana en la celda B2." sqref="C2:H2 B16" xr:uid="{00000000-0002-0000-2500-000006000000}"/>
    <dataValidation allowBlank="1" showInputMessage="1" prompt="Escriba aquí las notas del día" sqref="B4" xr:uid="{00000000-0002-0000-2500-000008000000}"/>
    <dataValidation allowBlank="1" showInputMessage="1" prompt="El año natural se actualiza automáticamente según el año seleccionado en la celda B1" sqref="B15" xr:uid="{00000000-0002-0000-2500-000009000000}"/>
    <dataValidation allowBlank="1" showInputMessage="1" prompt="El mes natural se actualiza automáticamente según el mes seleccionado en la celda C1" sqref="C15:D15" xr:uid="{00000000-0002-0000-2500-00000A000000}"/>
    <dataValidation allowBlank="1" showInputMessage="1" prompt="Escriba las notas del mes en la siguiente celda" sqref="D13:H13" xr:uid="{00000000-0002-0000-2500-00000B000000}"/>
    <dataValidation allowBlank="1" showInputMessage="1" prompt="Escriba las notas del mes en esta celda" sqref="D14:H14" xr:uid="{00000000-0002-0000-2500-00000C000000}"/>
    <dataValidation allowBlank="1" showInputMessage="1" showErrorMessage="1" prompt="El año natural se actualiza automáticamente según el año seleccionado en la celda B1" sqref="B29 B155 B141 B127 B113 B99 B85 B71 B57 B43" xr:uid="{00000000-0002-0000-2500-00000D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2500-000017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2500-000021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B9157800-D802-4FE4-9837-22B29890AF41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AC0C63F0-9EF4-4255-BC61-0F919D1EB8C2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32B7D236-B622-4925-9CC2-7F203BA9F858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7A014C1C-AA26-4376-80D8-9E622A8CFAE6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7DF38FC1-AEB5-430B-A16D-C81CF211DE7D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D71C7B0C-EFAF-47C2-9105-F780224D2AD4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81C4DAA3-D55F-4D25-89A0-2DEA8B1AC7F4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94972FAB-21EE-4120-A422-458B5C7E07AD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EA8EE712-42A6-4CFD-AA15-636997078520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7FD553F4-8768-4EDD-9796-68FEA5658B14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AC9CBA10-F9B9-4A4B-B2C2-DCAD89988221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604429D1-49D7-4A67-BC9F-D4D0CA0DDC9B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4" tint="-0.249977111117893"/>
  </sheetPr>
  <dimension ref="A1:J168"/>
  <sheetViews>
    <sheetView tabSelected="1" topLeftCell="A10" workbookViewId="0">
      <selection activeCell="H15" sqref="H15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0" max="10" width="8.75"/>
  </cols>
  <sheetData>
    <row r="1" spans="1:10" ht="46.5" x14ac:dyDescent="0.7">
      <c r="A1" s="2"/>
      <c r="B1" s="1">
        <f ca="1">YEAR(TODAY())</f>
        <v>2024</v>
      </c>
      <c r="C1" s="18" t="s">
        <v>2</v>
      </c>
      <c r="D1" s="13"/>
      <c r="E1" s="72" t="s">
        <v>89</v>
      </c>
      <c r="F1" s="72"/>
      <c r="G1" s="72"/>
      <c r="H1" s="15" t="s">
        <v>90</v>
      </c>
      <c r="J1" s="20">
        <v>29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x14ac:dyDescent="0.3">
      <c r="B4" s="6"/>
      <c r="C4" s="6"/>
      <c r="D4" s="6"/>
      <c r="E4" s="37" t="s">
        <v>91</v>
      </c>
      <c r="F4" s="37" t="s">
        <v>91</v>
      </c>
      <c r="G4" s="6"/>
      <c r="H4" s="7"/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x14ac:dyDescent="0.3">
      <c r="B6" s="37" t="s">
        <v>91</v>
      </c>
      <c r="C6" s="37" t="s">
        <v>91</v>
      </c>
      <c r="D6" s="6"/>
      <c r="E6" s="6"/>
      <c r="F6" s="31" t="s">
        <v>107</v>
      </c>
      <c r="G6" s="31" t="s">
        <v>107</v>
      </c>
      <c r="H6" s="9"/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x14ac:dyDescent="0.3">
      <c r="B8" s="6"/>
      <c r="C8" s="31" t="s">
        <v>107</v>
      </c>
      <c r="D8" s="31" t="s">
        <v>107</v>
      </c>
      <c r="E8" s="6"/>
      <c r="F8" s="6"/>
      <c r="G8" s="31" t="s">
        <v>107</v>
      </c>
      <c r="H8" s="31" t="s">
        <v>107</v>
      </c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x14ac:dyDescent="0.3">
      <c r="B10" s="6"/>
      <c r="C10" s="6"/>
      <c r="D10" s="31" t="s">
        <v>107</v>
      </c>
      <c r="E10" s="31" t="s">
        <v>107</v>
      </c>
      <c r="F10" s="6"/>
      <c r="G10" s="6"/>
      <c r="H10" s="31" t="s">
        <v>107</v>
      </c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x14ac:dyDescent="0.3">
      <c r="B12" s="31" t="s">
        <v>107</v>
      </c>
      <c r="C12" s="6"/>
      <c r="D12" s="6"/>
      <c r="E12" s="51"/>
      <c r="F12" s="51"/>
      <c r="G12" s="51"/>
      <c r="H12" s="52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51"/>
      <c r="C14" s="51"/>
      <c r="D14" s="68"/>
      <c r="E14" s="68"/>
      <c r="F14" s="68"/>
      <c r="G14" s="68"/>
      <c r="H14" s="68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72" t="s">
        <v>89</v>
      </c>
      <c r="F15" s="72"/>
      <c r="G15" s="72"/>
      <c r="H15" s="15" t="s">
        <v>90</v>
      </c>
      <c r="J15" s="20">
        <v>29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x14ac:dyDescent="0.3">
      <c r="B18" s="51"/>
      <c r="C18" s="51"/>
      <c r="D18" s="51"/>
      <c r="E18" s="31" t="s">
        <v>107</v>
      </c>
      <c r="F18" s="31" t="s">
        <v>107</v>
      </c>
      <c r="G18" s="6"/>
      <c r="H18" s="7"/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x14ac:dyDescent="0.3">
      <c r="B20" s="31" t="s">
        <v>107</v>
      </c>
      <c r="C20" s="31" t="s">
        <v>107</v>
      </c>
      <c r="D20" s="54"/>
      <c r="E20" s="54"/>
      <c r="F20" s="31" t="s">
        <v>107</v>
      </c>
      <c r="G20" s="31" t="s">
        <v>107</v>
      </c>
      <c r="H20" s="7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x14ac:dyDescent="0.3">
      <c r="B22" s="6"/>
      <c r="C22" s="31" t="s">
        <v>107</v>
      </c>
      <c r="D22" s="31" t="s">
        <v>107</v>
      </c>
      <c r="E22" s="6"/>
      <c r="F22" s="6"/>
      <c r="G22" s="31" t="s">
        <v>107</v>
      </c>
      <c r="H22" s="31" t="s">
        <v>107</v>
      </c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x14ac:dyDescent="0.3">
      <c r="B24" s="6"/>
      <c r="C24" s="6"/>
      <c r="D24" s="28" t="s">
        <v>107</v>
      </c>
      <c r="E24" s="28" t="s">
        <v>107</v>
      </c>
      <c r="F24" s="6"/>
      <c r="G24" s="6"/>
      <c r="H24" s="28" t="s">
        <v>107</v>
      </c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28" t="s">
        <v>107</v>
      </c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6">
    <mergeCell ref="C29:E29"/>
    <mergeCell ref="E1:G1"/>
    <mergeCell ref="D13:H13"/>
    <mergeCell ref="D14:H14"/>
    <mergeCell ref="D27:H27"/>
    <mergeCell ref="D28:H28"/>
    <mergeCell ref="E15:G15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D153:H153"/>
    <mergeCell ref="D154:H154"/>
    <mergeCell ref="C155:E155"/>
    <mergeCell ref="D167:H167"/>
    <mergeCell ref="D168:H168"/>
  </mergeCells>
  <dataValidations count="14">
    <dataValidation allowBlank="1" showInputMessage="1" prompt="Fecha" sqref="B3" xr:uid="{00000000-0002-0000-26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26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D1" xr:uid="{00000000-0002-0000-26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2600-000003000000}"/>
    <dataValidation allowBlank="1" showInputMessage="1" showErrorMessage="1" prompt="Escriba el año en esta celda" sqref="B1" xr:uid="{00000000-0002-0000-2600-000004000000}"/>
    <dataValidation allowBlank="1" showInputMessage="1" prompt="Día laborable determinado automáticamente. Para cambiar los días laborables, seleccione un nuevo día de inicio de semana en la celda B2." sqref="C2:H2 B16" xr:uid="{00000000-0002-0000-2600-000005000000}"/>
    <dataValidation allowBlank="1" showInputMessage="1" prompt="Escriba aquí las notas del día" sqref="B4" xr:uid="{00000000-0002-0000-2600-000007000000}"/>
    <dataValidation allowBlank="1" showInputMessage="1" prompt="El año natural se actualiza automáticamente según el año seleccionado en la celda B1" sqref="B15" xr:uid="{00000000-0002-0000-2600-000008000000}"/>
    <dataValidation allowBlank="1" showInputMessage="1" prompt="El mes natural se actualiza automáticamente según el mes seleccionado en la celda C1" sqref="C15:D15" xr:uid="{00000000-0002-0000-2600-000009000000}"/>
    <dataValidation allowBlank="1" showInputMessage="1" prompt="Escriba las notas del mes en la siguiente celda" sqref="D13:H13" xr:uid="{00000000-0002-0000-2600-00000A000000}"/>
    <dataValidation allowBlank="1" showInputMessage="1" prompt="Escriba las notas del mes en esta celda" sqref="D14:H14" xr:uid="{00000000-0002-0000-2600-00000B000000}"/>
    <dataValidation allowBlank="1" showInputMessage="1" showErrorMessage="1" prompt="El año natural se actualiza automáticamente según el año seleccionado en la celda B1" sqref="B29 B155 B141 B127 B113 B99 B85 B71 B57 B43" xr:uid="{00000000-0002-0000-2600-00000C000000}"/>
    <dataValidation allowBlank="1" showInputMessage="1" showErrorMessage="1" prompt="El mes natural se actualiza automáticamente según el mes seleccionado en la celda C1" sqref="C141:E141 E15 E1 C155:E155 C127:E127 C113:E113 C99:E99 C85:E85 C71:E71 C57:E57 C43:E43 C29:E29" xr:uid="{00000000-0002-0000-2600-000016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2600-000022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098D6F0C-F4B6-44E0-B332-2F8321DC7909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3D490355-F355-434B-9D7A-58BCA8245000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42DAA876-51BD-46AB-8478-09D59606DF41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60038DAE-C1FC-4049-9579-600626C8FA2C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EB4591D1-0FA5-4A00-BF97-6679A326721A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051F3F92-C15D-41B2-A939-35CB37A1EA29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704A644F-757C-4018-A8CA-5ED93B14F168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D1B35077-B657-408A-9BEB-5C29325CFB02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E951A1BF-FD66-4FDD-B7B2-3AFA8AB44326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DAB901F2-3137-497F-AAE3-2F214422B639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252DE242-1EB5-436E-86CE-10E5217DF5EE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E4A5C47E-C3BE-457F-8DEF-B7971371A436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4" tint="-0.249977111117893"/>
  </sheetPr>
  <dimension ref="A1:J168"/>
  <sheetViews>
    <sheetView topLeftCell="A10" workbookViewId="0">
      <selection activeCell="E24" sqref="E24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</cols>
  <sheetData>
    <row r="1" spans="1:10" ht="46.9" customHeight="1" x14ac:dyDescent="0.7">
      <c r="A1" s="2"/>
      <c r="B1" s="1">
        <f ca="1">YEAR(TODAY())</f>
        <v>2024</v>
      </c>
      <c r="C1" s="18" t="s">
        <v>2</v>
      </c>
      <c r="D1" s="13"/>
      <c r="E1" s="65" t="s">
        <v>102</v>
      </c>
      <c r="F1" s="65"/>
      <c r="G1" s="65"/>
      <c r="H1" s="19" t="s">
        <v>103</v>
      </c>
      <c r="J1" s="20">
        <v>30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ht="28.5" x14ac:dyDescent="0.3">
      <c r="B4" s="6"/>
      <c r="C4" s="6"/>
      <c r="D4" s="6"/>
      <c r="E4" s="6"/>
      <c r="F4" s="30" t="s">
        <v>104</v>
      </c>
      <c r="G4" s="6"/>
      <c r="H4" s="7"/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ht="28.5" x14ac:dyDescent="0.3">
      <c r="B6" s="50"/>
      <c r="C6" s="30" t="s">
        <v>104</v>
      </c>
      <c r="D6" s="6"/>
      <c r="E6" s="30" t="s">
        <v>104</v>
      </c>
      <c r="F6" s="6"/>
      <c r="G6" s="6"/>
      <c r="H6" s="7"/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ht="28.5" x14ac:dyDescent="0.3">
      <c r="B8" s="6"/>
      <c r="C8" s="30" t="s">
        <v>104</v>
      </c>
      <c r="D8" s="6"/>
      <c r="E8" s="30" t="s">
        <v>104</v>
      </c>
      <c r="F8" s="6"/>
      <c r="G8" s="6"/>
      <c r="H8" s="7"/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ht="28.5" x14ac:dyDescent="0.3">
      <c r="B10" s="6"/>
      <c r="C10" s="30" t="s">
        <v>104</v>
      </c>
      <c r="D10" s="6"/>
      <c r="E10" s="30" t="s">
        <v>104</v>
      </c>
      <c r="F10" s="6"/>
      <c r="G10" s="6"/>
      <c r="H10" s="7"/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ht="28.5" x14ac:dyDescent="0.3">
      <c r="B12" s="6"/>
      <c r="C12" s="30" t="s">
        <v>104</v>
      </c>
      <c r="D12" s="6"/>
      <c r="E12" s="51"/>
      <c r="F12" s="51"/>
      <c r="G12" s="51"/>
      <c r="H12" s="52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51"/>
      <c r="C14" s="51"/>
      <c r="D14" s="68"/>
      <c r="E14" s="68"/>
      <c r="F14" s="68"/>
      <c r="G14" s="68"/>
      <c r="H14" s="68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65" t="s">
        <v>102</v>
      </c>
      <c r="F15" s="65"/>
      <c r="G15" s="65"/>
      <c r="H15" s="19" t="s">
        <v>103</v>
      </c>
      <c r="J15" s="20">
        <v>30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ht="28.5" x14ac:dyDescent="0.3">
      <c r="B18" s="51"/>
      <c r="C18" s="51"/>
      <c r="D18" s="51"/>
      <c r="E18" s="30" t="s">
        <v>104</v>
      </c>
      <c r="F18" s="6"/>
      <c r="G18" s="6"/>
      <c r="H18" s="7"/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ht="28.5" x14ac:dyDescent="0.3">
      <c r="B20" s="6"/>
      <c r="C20" s="30" t="s">
        <v>104</v>
      </c>
      <c r="D20" s="6"/>
      <c r="E20" s="6"/>
      <c r="F20" s="6"/>
      <c r="G20" s="6"/>
      <c r="H20" s="7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ht="28.5" x14ac:dyDescent="0.3">
      <c r="B22" s="6"/>
      <c r="C22" s="30" t="s">
        <v>104</v>
      </c>
      <c r="D22" s="6"/>
      <c r="E22" s="35" t="s">
        <v>104</v>
      </c>
      <c r="F22" s="6"/>
      <c r="G22" s="6"/>
      <c r="H22" s="7"/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ht="28.5" x14ac:dyDescent="0.3">
      <c r="B24" s="6"/>
      <c r="C24" s="6"/>
      <c r="D24" s="6"/>
      <c r="E24" s="35" t="s">
        <v>104</v>
      </c>
      <c r="F24" s="6"/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64" t="str">
        <f ca="1">TEXT(DATE(Calendario2Año,Calendario2MesOpción+1,1),"mmmm")</f>
        <v>marzo</v>
      </c>
      <c r="D29" s="64"/>
      <c r="E29" s="64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6">
    <mergeCell ref="D153:H153"/>
    <mergeCell ref="D154:H154"/>
    <mergeCell ref="C155:E155"/>
    <mergeCell ref="D167:H167"/>
    <mergeCell ref="D168:H168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29:E29"/>
    <mergeCell ref="E1:G1"/>
    <mergeCell ref="D13:H13"/>
    <mergeCell ref="D14:H14"/>
    <mergeCell ref="D27:H27"/>
    <mergeCell ref="D28:H28"/>
    <mergeCell ref="E15:G15"/>
  </mergeCells>
  <dataValidations count="13">
    <dataValidation allowBlank="1" showInputMessage="1" prompt="Fecha" sqref="B3" xr:uid="{00000000-0002-0000-27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27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 E15" xr:uid="{00000000-0002-0000-27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2700-000004000000}"/>
    <dataValidation allowBlank="1" showInputMessage="1" showErrorMessage="1" prompt="Escriba el año en esta celda" sqref="B1" xr:uid="{00000000-0002-0000-2700-000005000000}"/>
    <dataValidation allowBlank="1" showInputMessage="1" prompt="Día laborable determinado automáticamente. Para cambiar los días laborables, seleccione un nuevo día de inicio de semana en la celda B2." sqref="C2:H2 B16" xr:uid="{00000000-0002-0000-2700-000006000000}"/>
    <dataValidation allowBlank="1" showInputMessage="1" prompt="El año natural se actualiza automáticamente según el año seleccionado en la celda B1" sqref="B15" xr:uid="{00000000-0002-0000-2700-000008000000}"/>
    <dataValidation allowBlank="1" showInputMessage="1" prompt="El mes natural se actualiza automáticamente según el mes seleccionado en la celda C1" sqref="C15:D15" xr:uid="{00000000-0002-0000-2700-000009000000}"/>
    <dataValidation allowBlank="1" showInputMessage="1" prompt="Escriba las notas del mes en la siguiente celda" sqref="D13:H13" xr:uid="{00000000-0002-0000-2700-00000A000000}"/>
    <dataValidation allowBlank="1" showInputMessage="1" prompt="Escriba las notas del mes en esta celda" sqref="D14:H14" xr:uid="{00000000-0002-0000-2700-00000B000000}"/>
    <dataValidation allowBlank="1" showInputMessage="1" showErrorMessage="1" prompt="El año natural se actualiza automáticamente según el año seleccionado en la celda B1" sqref="B29 B155 B141 B127 B113 B99 B85 B71 B57 B43" xr:uid="{00000000-0002-0000-2700-00000C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2700-000016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2700-000020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348DCB9E-9A59-47AE-9393-94BDB236E322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C3E0CEEA-4F5F-4940-A2FF-C9B92B4F46B3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2827CCCA-080D-4C5E-9BF9-5BA4C1C32963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83EC87FB-09A7-49C8-8537-EA0481904BA6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A9D5A0C4-F4ED-4BEB-B6E9-22C349AFC522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E350501F-6483-4E51-9F73-0F22EF80C0C4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91475858-29C4-4BCC-AA54-5405F3BC5393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4154CAEC-AE74-4252-817D-EF3B176487F9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E333277D-B6BA-4CBE-B769-3C912321483C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0CDAFF4F-C9F3-4AE9-9E38-269D83731078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DD5AE628-CEDB-491B-AD5B-9ECC8C928B8B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12EFD701-8677-4242-85B2-09FF94138160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4" tint="-0.249977111117893"/>
  </sheetPr>
  <dimension ref="A1:J168"/>
  <sheetViews>
    <sheetView topLeftCell="A10" workbookViewId="0">
      <selection activeCell="F22" activeCellId="1" sqref="C22:D22 F22"/>
    </sheetView>
  </sheetViews>
  <sheetFormatPr baseColWidth="10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</cols>
  <sheetData>
    <row r="1" spans="1:10" ht="46.5" x14ac:dyDescent="0.7">
      <c r="A1" s="2"/>
      <c r="B1" s="1">
        <f ca="1">YEAR(TODAY())</f>
        <v>2024</v>
      </c>
      <c r="C1" s="18" t="s">
        <v>2</v>
      </c>
      <c r="D1" s="13"/>
      <c r="E1" s="65" t="s">
        <v>122</v>
      </c>
      <c r="F1" s="65"/>
      <c r="G1" s="65"/>
      <c r="H1" s="19" t="s">
        <v>123</v>
      </c>
      <c r="J1" s="20">
        <v>41</v>
      </c>
    </row>
    <row r="2" spans="1:10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10" ht="21" x14ac:dyDescent="0.3">
      <c r="B3" s="10">
        <f t="array" aca="1" ref="B3:H3" ca="1">Días+1+DATE(Calendario1Año,Calendario1MesOpción,1)-WEEKDAY(DATE(Calendario1Año,Calendario1MesOpción,1),DíaDeLaSemanaOpción)</f>
        <v>45292</v>
      </c>
      <c r="C3" s="10">
        <f ca="1"/>
        <v>45293</v>
      </c>
      <c r="D3" s="10">
        <f ca="1"/>
        <v>45294</v>
      </c>
      <c r="E3" s="10">
        <f ca="1"/>
        <v>45295</v>
      </c>
      <c r="F3" s="10">
        <f ca="1"/>
        <v>45296</v>
      </c>
      <c r="G3" s="10">
        <f ca="1"/>
        <v>45297</v>
      </c>
      <c r="H3" s="11">
        <f ca="1"/>
        <v>45298</v>
      </c>
    </row>
    <row r="4" spans="1:10" x14ac:dyDescent="0.3">
      <c r="B4" s="6"/>
      <c r="C4" s="6"/>
      <c r="D4" s="6"/>
      <c r="E4" s="6"/>
      <c r="F4" s="7"/>
      <c r="G4" s="6"/>
      <c r="H4" s="7"/>
    </row>
    <row r="5" spans="1:10" ht="21" x14ac:dyDescent="0.3">
      <c r="B5" s="10">
        <f t="array" aca="1" ref="B5:H5" ca="1">Días+8+DATE(Calendario1Año,Calendario1MesOpción,1)-WEEKDAY(DATE(Calendario1Año,Calendario1MesOpción,1),DíaDeLaSemanaOpción)</f>
        <v>45299</v>
      </c>
      <c r="C5" s="10">
        <f ca="1"/>
        <v>45300</v>
      </c>
      <c r="D5" s="10">
        <f ca="1"/>
        <v>45301</v>
      </c>
      <c r="E5" s="10">
        <f ca="1"/>
        <v>45302</v>
      </c>
      <c r="F5" s="10">
        <f ca="1"/>
        <v>45303</v>
      </c>
      <c r="G5" s="10">
        <f ca="1"/>
        <v>45304</v>
      </c>
      <c r="H5" s="11">
        <f ca="1"/>
        <v>45305</v>
      </c>
    </row>
    <row r="6" spans="1:10" x14ac:dyDescent="0.3">
      <c r="B6" s="6"/>
      <c r="C6" s="41"/>
      <c r="D6" s="6"/>
      <c r="E6" s="41"/>
      <c r="F6" s="6"/>
      <c r="G6" s="41"/>
      <c r="H6" s="7"/>
    </row>
    <row r="7" spans="1:10" ht="21" x14ac:dyDescent="0.3">
      <c r="B7" s="10">
        <f t="array" aca="1" ref="B7:H7" ca="1">Días+15+DATE(Calendario1Año,Calendario1MesOpción,1)-WEEKDAY(DATE(Calendario1Año,Calendario1MesOpción,1),DíaDeLaSemanaOpción)</f>
        <v>45306</v>
      </c>
      <c r="C7" s="10">
        <f ca="1"/>
        <v>45307</v>
      </c>
      <c r="D7" s="10">
        <f ca="1"/>
        <v>45308</v>
      </c>
      <c r="E7" s="10">
        <f ca="1"/>
        <v>45309</v>
      </c>
      <c r="F7" s="10">
        <f ca="1"/>
        <v>45310</v>
      </c>
      <c r="G7" s="10">
        <f ca="1"/>
        <v>45311</v>
      </c>
      <c r="H7" s="11">
        <f ca="1"/>
        <v>45312</v>
      </c>
    </row>
    <row r="8" spans="1:10" ht="33" x14ac:dyDescent="0.3">
      <c r="B8" s="24"/>
      <c r="C8" s="42" t="s">
        <v>101</v>
      </c>
      <c r="D8" s="6"/>
      <c r="E8" s="42" t="s">
        <v>101</v>
      </c>
      <c r="F8" s="6"/>
      <c r="G8" s="42" t="s">
        <v>101</v>
      </c>
      <c r="H8" s="7"/>
    </row>
    <row r="9" spans="1:10" ht="21" x14ac:dyDescent="0.3">
      <c r="B9" s="10">
        <f t="array" aca="1" ref="B9:H9" ca="1">Días+22+DATE(Calendario1Año,Calendario1MesOpción,1)-WEEKDAY(DATE(Calendario1Año,Calendario1MesOpción,1),DíaDeLaSemanaOpción)</f>
        <v>45313</v>
      </c>
      <c r="C9" s="10">
        <f ca="1"/>
        <v>45314</v>
      </c>
      <c r="D9" s="10">
        <f ca="1"/>
        <v>45315</v>
      </c>
      <c r="E9" s="10">
        <f ca="1"/>
        <v>45316</v>
      </c>
      <c r="F9" s="10">
        <f ca="1"/>
        <v>45317</v>
      </c>
      <c r="G9" s="10">
        <f ca="1"/>
        <v>45318</v>
      </c>
      <c r="H9" s="11">
        <f ca="1"/>
        <v>45319</v>
      </c>
    </row>
    <row r="10" spans="1:10" ht="33" x14ac:dyDescent="0.3">
      <c r="B10" s="42" t="s">
        <v>101</v>
      </c>
      <c r="D10" s="42" t="s">
        <v>101</v>
      </c>
      <c r="E10" s="6"/>
      <c r="F10" s="42" t="s">
        <v>101</v>
      </c>
      <c r="G10" s="6"/>
      <c r="H10" s="7"/>
    </row>
    <row r="11" spans="1:10" ht="21" x14ac:dyDescent="0.3">
      <c r="B11" s="10">
        <f t="array" aca="1" ref="B11:H11" ca="1">Días+29+DATE(Calendario1Año,Calendario1MesOpción,1)-WEEKDAY(DATE(Calendario1Año,Calendario1MesOpción,1),DíaDeLaSemanaOpción)</f>
        <v>45320</v>
      </c>
      <c r="C11" s="10">
        <f ca="1"/>
        <v>45321</v>
      </c>
      <c r="D11" s="10">
        <f ca="1"/>
        <v>45322</v>
      </c>
      <c r="E11" s="10">
        <f ca="1"/>
        <v>45323</v>
      </c>
      <c r="F11" s="10">
        <f ca="1"/>
        <v>45324</v>
      </c>
      <c r="G11" s="10">
        <f ca="1"/>
        <v>45325</v>
      </c>
      <c r="H11" s="11">
        <f ca="1"/>
        <v>45326</v>
      </c>
    </row>
    <row r="12" spans="1:10" ht="33" x14ac:dyDescent="0.3">
      <c r="B12" s="42" t="s">
        <v>101</v>
      </c>
      <c r="C12" s="6"/>
      <c r="D12" s="42" t="s">
        <v>150</v>
      </c>
      <c r="E12" s="51"/>
      <c r="F12" s="51"/>
      <c r="G12" s="51"/>
      <c r="H12" s="52"/>
    </row>
    <row r="13" spans="1:10" ht="21" x14ac:dyDescent="0.3">
      <c r="B13" s="10">
        <f t="array" aca="1" ref="B13:C13" ca="1">Días+36+DATE(Calendario1Año,Calendario1MesOpción,1)-WEEKDAY(DATE(Calendario1Año,Calendario1MesOpción,1),DíaDeLaSemanaOpción)</f>
        <v>45327</v>
      </c>
      <c r="C13" s="10">
        <f ca="1"/>
        <v>45328</v>
      </c>
      <c r="D13" s="62" t="s">
        <v>1</v>
      </c>
      <c r="E13" s="62"/>
      <c r="F13" s="62"/>
      <c r="G13" s="62"/>
      <c r="H13" s="62"/>
    </row>
    <row r="14" spans="1:10" x14ac:dyDescent="0.3">
      <c r="B14" s="51"/>
      <c r="C14" s="51"/>
      <c r="D14" s="68"/>
      <c r="E14" s="68"/>
      <c r="F14" s="68"/>
      <c r="G14" s="68"/>
      <c r="H14" s="68"/>
    </row>
    <row r="15" spans="1:10" ht="46.5" x14ac:dyDescent="0.7">
      <c r="A15" s="2"/>
      <c r="B15" s="1">
        <f ca="1">YEAR(DATE(Calendario1Año,Calendario1MesOpción+1,1))</f>
        <v>2024</v>
      </c>
      <c r="C15" s="17" t="str">
        <f ca="1">TEXT(DATE(Calendario1Año,Calendario1MesOpción+1,1),"mmmm")</f>
        <v>febrero</v>
      </c>
      <c r="D15" s="13"/>
      <c r="E15" s="65" t="s">
        <v>122</v>
      </c>
      <c r="F15" s="65"/>
      <c r="G15" s="65"/>
      <c r="H15" s="19" t="s">
        <v>123</v>
      </c>
      <c r="J15" s="20">
        <v>41</v>
      </c>
    </row>
    <row r="16" spans="1:10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21" x14ac:dyDescent="0.3">
      <c r="B17" s="10">
        <f t="array" aca="1" ref="B17:H17" ca="1">Días+1+DATE(Calendario2Año,Calendario2MesOpción,1)-WEEKDAY(DATE(Calendario2Año,Calendario2MesOpción,1),DíaDeLaSemanaOpción)</f>
        <v>45320</v>
      </c>
      <c r="C17" s="10">
        <f ca="1"/>
        <v>45321</v>
      </c>
      <c r="D17" s="10">
        <f ca="1"/>
        <v>45322</v>
      </c>
      <c r="E17" s="10">
        <f ca="1"/>
        <v>45323</v>
      </c>
      <c r="F17" s="10">
        <f ca="1"/>
        <v>45324</v>
      </c>
      <c r="G17" s="10">
        <f ca="1"/>
        <v>45325</v>
      </c>
      <c r="H17" s="11">
        <f ca="1"/>
        <v>45326</v>
      </c>
    </row>
    <row r="18" spans="1:8" ht="33" x14ac:dyDescent="0.3">
      <c r="B18" s="51"/>
      <c r="C18" s="51"/>
      <c r="D18" s="51"/>
      <c r="E18" s="6"/>
      <c r="F18" s="42" t="s">
        <v>150</v>
      </c>
      <c r="G18" s="6"/>
      <c r="H18" s="7"/>
    </row>
    <row r="19" spans="1:8" ht="21" x14ac:dyDescent="0.3">
      <c r="B19" s="10">
        <f t="array" aca="1" ref="B19:H19" ca="1">Días+8+DATE(Calendario2Año,Calendario2MesOpción,1)-WEEKDAY(DATE(Calendario2Año,Calendario2MesOpción,1),DíaDeLaSemanaOpción)</f>
        <v>45327</v>
      </c>
      <c r="C19" s="10">
        <f ca="1"/>
        <v>45328</v>
      </c>
      <c r="D19" s="10">
        <f ca="1"/>
        <v>45329</v>
      </c>
      <c r="E19" s="10">
        <f ca="1"/>
        <v>45330</v>
      </c>
      <c r="F19" s="10">
        <f ca="1"/>
        <v>45331</v>
      </c>
      <c r="G19" s="10">
        <f ca="1"/>
        <v>45332</v>
      </c>
      <c r="H19" s="11">
        <f ca="1"/>
        <v>45333</v>
      </c>
    </row>
    <row r="20" spans="1:8" ht="33" x14ac:dyDescent="0.3">
      <c r="B20" s="6"/>
      <c r="C20" s="42" t="s">
        <v>150</v>
      </c>
      <c r="D20" s="42" t="s">
        <v>150</v>
      </c>
      <c r="E20" s="6"/>
      <c r="F20" s="42" t="s">
        <v>150</v>
      </c>
      <c r="G20" s="6"/>
      <c r="H20" s="7"/>
    </row>
    <row r="21" spans="1:8" ht="21" x14ac:dyDescent="0.3">
      <c r="B21" s="10">
        <f t="array" aca="1" ref="B21:H21" ca="1">Días+15+DATE(Calendario2Año,Calendario2MesOpción,1)-WEEKDAY(DATE(Calendario2Año,Calendario2MesOpción,1),DíaDeLaSemanaOpción)</f>
        <v>45334</v>
      </c>
      <c r="C21" s="10">
        <f ca="1"/>
        <v>45335</v>
      </c>
      <c r="D21" s="10">
        <f ca="1"/>
        <v>45336</v>
      </c>
      <c r="E21" s="10">
        <f ca="1"/>
        <v>45337</v>
      </c>
      <c r="F21" s="10">
        <f ca="1"/>
        <v>45338</v>
      </c>
      <c r="G21" s="10">
        <f ca="1"/>
        <v>45339</v>
      </c>
      <c r="H21" s="11">
        <f ca="1"/>
        <v>45340</v>
      </c>
    </row>
    <row r="22" spans="1:8" ht="33" x14ac:dyDescent="0.3">
      <c r="B22" s="6"/>
      <c r="C22" s="42" t="s">
        <v>150</v>
      </c>
      <c r="D22" s="42" t="s">
        <v>150</v>
      </c>
      <c r="E22" s="6"/>
      <c r="F22" s="42" t="s">
        <v>150</v>
      </c>
      <c r="G22" s="6"/>
      <c r="H22" s="7"/>
    </row>
    <row r="23" spans="1:8" ht="21" x14ac:dyDescent="0.3">
      <c r="B23" s="10">
        <f t="array" aca="1" ref="B23:H23" ca="1">Días+22+DATE(Calendario2Año,Calendario2MesOpción,1)-WEEKDAY(DATE(Calendario2Año,Calendario2MesOpción,1),DíaDeLaSemanaOpción)</f>
        <v>45341</v>
      </c>
      <c r="C23" s="10">
        <f ca="1"/>
        <v>45342</v>
      </c>
      <c r="D23" s="10">
        <f ca="1"/>
        <v>45343</v>
      </c>
      <c r="E23" s="10">
        <f ca="1"/>
        <v>45344</v>
      </c>
      <c r="F23" s="10">
        <f ca="1"/>
        <v>45345</v>
      </c>
      <c r="G23" s="10">
        <f ca="1"/>
        <v>45346</v>
      </c>
      <c r="H23" s="11">
        <f ca="1"/>
        <v>45347</v>
      </c>
    </row>
    <row r="24" spans="1:8" ht="33" x14ac:dyDescent="0.3">
      <c r="B24" s="48" t="s">
        <v>150</v>
      </c>
      <c r="C24" s="6"/>
      <c r="D24" s="48" t="s">
        <v>150</v>
      </c>
      <c r="E24" s="6"/>
      <c r="F24" s="48" t="s">
        <v>150</v>
      </c>
      <c r="G24" s="6"/>
      <c r="H24" s="7"/>
    </row>
    <row r="25" spans="1:8" ht="21" x14ac:dyDescent="0.3">
      <c r="B25" s="10">
        <f t="array" aca="1" ref="B25:H25" ca="1">Días+29+DATE(Calendario2Año,Calendario2MesOpción,1)-WEEKDAY(DATE(Calendario2Año,Calendario2MesOpción,1),DíaDeLaSemanaOpción)</f>
        <v>45348</v>
      </c>
      <c r="C25" s="10">
        <f ca="1"/>
        <v>45349</v>
      </c>
      <c r="D25" s="10">
        <f ca="1"/>
        <v>45350</v>
      </c>
      <c r="E25" s="10">
        <f ca="1"/>
        <v>45351</v>
      </c>
      <c r="F25" s="10">
        <f ca="1"/>
        <v>45352</v>
      </c>
      <c r="G25" s="10">
        <f ca="1"/>
        <v>45353</v>
      </c>
      <c r="H25" s="11">
        <f ca="1"/>
        <v>45354</v>
      </c>
    </row>
    <row r="26" spans="1:8" x14ac:dyDescent="0.3">
      <c r="B26" s="6"/>
      <c r="C26" s="6"/>
      <c r="D26" s="6"/>
      <c r="E26" s="6"/>
      <c r="F26" s="6"/>
      <c r="G26" s="6"/>
      <c r="H26" s="8"/>
    </row>
    <row r="27" spans="1:8" ht="21" x14ac:dyDescent="0.3">
      <c r="B27" s="10">
        <f t="array" aca="1" ref="B27:C27" ca="1">Días+36+DATE(Calendario2Año,Calendario2MesOpción,1)-WEEKDAY(DATE(Calendario2Año,Calendario2MesOpción,1),DíaDeLaSemanaOpción)</f>
        <v>45355</v>
      </c>
      <c r="C27" s="10">
        <f ca="1"/>
        <v>45356</v>
      </c>
      <c r="D27" s="62" t="s">
        <v>1</v>
      </c>
      <c r="E27" s="62"/>
      <c r="F27" s="62"/>
      <c r="G27" s="62"/>
      <c r="H27" s="62"/>
    </row>
    <row r="28" spans="1:8" x14ac:dyDescent="0.3">
      <c r="B28" s="6"/>
      <c r="C28" s="6"/>
      <c r="D28" s="63"/>
      <c r="E28" s="63"/>
      <c r="F28" s="63"/>
      <c r="G28" s="63"/>
      <c r="H28" s="63"/>
    </row>
    <row r="29" spans="1:8" ht="46.5" x14ac:dyDescent="0.7">
      <c r="A29" s="2"/>
      <c r="B29" s="1">
        <f ca="1">YEAR(DATE(Calendario2Año,Calendario2MesOpción+1,1))</f>
        <v>2024</v>
      </c>
      <c r="C29" s="18" t="str">
        <f ca="1">TEXT(DATE(Calendario2Año,Calendario2MesOpción+1,1),"mmmm")</f>
        <v>marzo</v>
      </c>
      <c r="D29" s="13"/>
      <c r="E29" s="13"/>
      <c r="F29" s="2"/>
      <c r="G29" s="2"/>
      <c r="H29" s="2"/>
    </row>
    <row r="30" spans="1:8" x14ac:dyDescent="0.3">
      <c r="A30" s="3"/>
      <c r="B30" s="4" t="str">
        <f ca="1">UPPER(TEXT(B31,"dddd"))</f>
        <v>LUNES</v>
      </c>
      <c r="C30" s="5" t="str">
        <f t="shared" ref="C30:H30" ca="1" si="2">UPPER(TEXT(C31,"dddd"))</f>
        <v>MARTES</v>
      </c>
      <c r="D30" s="4" t="str">
        <f t="shared" ca="1" si="2"/>
        <v>MIÉRCOLES</v>
      </c>
      <c r="E30" s="5" t="str">
        <f t="shared" ca="1" si="2"/>
        <v>JUEVES</v>
      </c>
      <c r="F30" s="4" t="str">
        <f t="shared" ca="1" si="2"/>
        <v>VIERNES</v>
      </c>
      <c r="G30" s="5" t="str">
        <f t="shared" ca="1" si="2"/>
        <v>SÁBADO</v>
      </c>
      <c r="H30" s="4" t="str">
        <f t="shared" ca="1" si="2"/>
        <v>DOMINGO</v>
      </c>
    </row>
    <row r="31" spans="1:8" ht="21" x14ac:dyDescent="0.3">
      <c r="B31" s="10">
        <f t="array" aca="1" ref="B31:H31" ca="1">Días+1+DATE(Calendario3Año,Calendario3MesOpción,1)-WEEKDAY(DATE(Calendario3Año,Calendario3MesOpción,1),DíaDeLaSemanaOpción)</f>
        <v>45348</v>
      </c>
      <c r="C31" s="10">
        <f ca="1"/>
        <v>45349</v>
      </c>
      <c r="D31" s="10">
        <f ca="1"/>
        <v>45350</v>
      </c>
      <c r="E31" s="10">
        <f ca="1"/>
        <v>45351</v>
      </c>
      <c r="F31" s="10">
        <f ca="1"/>
        <v>45352</v>
      </c>
      <c r="G31" s="10">
        <f ca="1"/>
        <v>45353</v>
      </c>
      <c r="H31" s="11">
        <f ca="1"/>
        <v>45354</v>
      </c>
    </row>
    <row r="32" spans="1:8" x14ac:dyDescent="0.3">
      <c r="B32" s="6"/>
      <c r="C32" s="6"/>
      <c r="D32" s="6"/>
      <c r="E32" s="6"/>
      <c r="F32" s="6"/>
      <c r="G32" s="6"/>
      <c r="H32" s="7"/>
    </row>
    <row r="33" spans="1:8" ht="21" x14ac:dyDescent="0.3">
      <c r="B33" s="10">
        <f t="array" aca="1" ref="B33:H33" ca="1">Días+8+DATE(Calendario3Año,Calendario3MesOpción,1)-WEEKDAY(DATE(Calendario3Año,Calendario3MesOpción,1),DíaDeLaSemanaOpción)</f>
        <v>45355</v>
      </c>
      <c r="C33" s="10">
        <f ca="1"/>
        <v>45356</v>
      </c>
      <c r="D33" s="10">
        <f ca="1"/>
        <v>45357</v>
      </c>
      <c r="E33" s="10">
        <f ca="1"/>
        <v>45358</v>
      </c>
      <c r="F33" s="10">
        <f ca="1"/>
        <v>45359</v>
      </c>
      <c r="G33" s="10">
        <f ca="1"/>
        <v>45360</v>
      </c>
      <c r="H33" s="11">
        <f ca="1"/>
        <v>45361</v>
      </c>
    </row>
    <row r="34" spans="1:8" x14ac:dyDescent="0.3">
      <c r="B34" s="6"/>
      <c r="C34" s="6"/>
      <c r="D34" s="6"/>
      <c r="E34" s="6"/>
      <c r="F34" s="6"/>
      <c r="G34" s="6"/>
      <c r="H34" s="7"/>
    </row>
    <row r="35" spans="1:8" ht="21" x14ac:dyDescent="0.3">
      <c r="B35" s="10">
        <f t="array" aca="1" ref="B35:H35" ca="1">Días+15+DATE(Calendario3Año,Calendario3MesOpción,1)-WEEKDAY(DATE(Calendario3Año,Calendario3MesOpción,1),DíaDeLaSemanaOpción)</f>
        <v>45362</v>
      </c>
      <c r="C35" s="10">
        <f ca="1"/>
        <v>45363</v>
      </c>
      <c r="D35" s="10">
        <f ca="1"/>
        <v>45364</v>
      </c>
      <c r="E35" s="10">
        <f ca="1"/>
        <v>45365</v>
      </c>
      <c r="F35" s="10">
        <f ca="1"/>
        <v>45366</v>
      </c>
      <c r="G35" s="10">
        <f ca="1"/>
        <v>45367</v>
      </c>
      <c r="H35" s="11">
        <f ca="1"/>
        <v>45368</v>
      </c>
    </row>
    <row r="36" spans="1:8" x14ac:dyDescent="0.3">
      <c r="B36" s="6"/>
      <c r="C36" s="6"/>
      <c r="D36" s="6"/>
      <c r="E36" s="6"/>
      <c r="F36" s="6"/>
      <c r="G36" s="6"/>
      <c r="H36" s="7"/>
    </row>
    <row r="37" spans="1:8" ht="21" x14ac:dyDescent="0.3">
      <c r="B37" s="10">
        <f t="array" aca="1" ref="B37:H37" ca="1">Días+22+DATE(Calendario3Año,Calendario3MesOpción,1)-WEEKDAY(DATE(Calendario3Año,Calendario3MesOpción,1),DíaDeLaSemanaOpción)</f>
        <v>45369</v>
      </c>
      <c r="C37" s="10">
        <f ca="1"/>
        <v>45370</v>
      </c>
      <c r="D37" s="10">
        <f ca="1"/>
        <v>45371</v>
      </c>
      <c r="E37" s="10">
        <f ca="1"/>
        <v>45372</v>
      </c>
      <c r="F37" s="10">
        <f ca="1"/>
        <v>45373</v>
      </c>
      <c r="G37" s="10">
        <f ca="1"/>
        <v>45374</v>
      </c>
      <c r="H37" s="11">
        <f ca="1"/>
        <v>45375</v>
      </c>
    </row>
    <row r="38" spans="1:8" x14ac:dyDescent="0.3">
      <c r="B38" s="6"/>
      <c r="C38" s="6"/>
      <c r="D38" s="6"/>
      <c r="E38" s="6"/>
      <c r="F38" s="6"/>
      <c r="G38" s="6"/>
      <c r="H38" s="7"/>
    </row>
    <row r="39" spans="1:8" ht="21" x14ac:dyDescent="0.3">
      <c r="B39" s="10">
        <f t="array" aca="1" ref="B39:H39" ca="1">Días+29+DATE(Calendario3Año,Calendario3MesOpción,1)-WEEKDAY(DATE(Calendario3Año,Calendario3MesOpción,1),DíaDeLaSemanaOpción)</f>
        <v>45376</v>
      </c>
      <c r="C39" s="10">
        <f ca="1"/>
        <v>45377</v>
      </c>
      <c r="D39" s="10">
        <f ca="1"/>
        <v>45378</v>
      </c>
      <c r="E39" s="10">
        <f ca="1"/>
        <v>45379</v>
      </c>
      <c r="F39" s="10">
        <f ca="1"/>
        <v>45380</v>
      </c>
      <c r="G39" s="10">
        <f ca="1"/>
        <v>45381</v>
      </c>
      <c r="H39" s="11">
        <f ca="1"/>
        <v>45382</v>
      </c>
    </row>
    <row r="40" spans="1:8" x14ac:dyDescent="0.3">
      <c r="B40" s="6"/>
      <c r="C40" s="6"/>
      <c r="D40" s="6"/>
      <c r="E40" s="6"/>
      <c r="F40" s="6"/>
      <c r="G40" s="6"/>
      <c r="H40" s="8"/>
    </row>
    <row r="41" spans="1:8" ht="21" x14ac:dyDescent="0.3">
      <c r="B41" s="10">
        <f t="array" aca="1" ref="B41:C41" ca="1">Días+36+DATE(Calendario3Año,Calendario3MesOpción,1)-WEEKDAY(DATE(Calendario3Año,Calendario3MesOpción,1),DíaDeLaSemanaOpción)</f>
        <v>45383</v>
      </c>
      <c r="C41" s="10">
        <f ca="1"/>
        <v>45384</v>
      </c>
      <c r="D41" s="62" t="s">
        <v>1</v>
      </c>
      <c r="E41" s="62"/>
      <c r="F41" s="62"/>
      <c r="G41" s="62"/>
      <c r="H41" s="62"/>
    </row>
    <row r="42" spans="1:8" x14ac:dyDescent="0.3">
      <c r="B42" s="6"/>
      <c r="C42" s="6"/>
      <c r="D42" s="63"/>
      <c r="E42" s="63"/>
      <c r="F42" s="63"/>
      <c r="G42" s="63"/>
      <c r="H42" s="63"/>
    </row>
    <row r="43" spans="1:8" ht="46.5" x14ac:dyDescent="0.7">
      <c r="A43" s="2"/>
      <c r="B43" s="1">
        <f ca="1">YEAR(DATE(Calendario3Año,Calendario3MesOpción+1,1))</f>
        <v>2024</v>
      </c>
      <c r="C43" s="64" t="str">
        <f ca="1">TEXT(DATE(Calendario3Año,Calendario3MesOpción+1,1),"mmmm")</f>
        <v>abril</v>
      </c>
      <c r="D43" s="64"/>
      <c r="E43" s="64"/>
      <c r="F43" s="2"/>
      <c r="G43" s="2"/>
      <c r="H43" s="2"/>
    </row>
    <row r="44" spans="1:8" x14ac:dyDescent="0.3">
      <c r="A44" s="3"/>
      <c r="B44" s="4" t="str">
        <f ca="1">UPPER(TEXT(B45,"dddd"))</f>
        <v>LUNES</v>
      </c>
      <c r="C44" s="5" t="str">
        <f t="shared" ref="C44:H44" ca="1" si="3">UPPER(TEXT(C45,"dddd"))</f>
        <v>MARTES</v>
      </c>
      <c r="D44" s="4" t="str">
        <f t="shared" ca="1" si="3"/>
        <v>MIÉRCOLES</v>
      </c>
      <c r="E44" s="5" t="str">
        <f t="shared" ca="1" si="3"/>
        <v>JUEVES</v>
      </c>
      <c r="F44" s="4" t="str">
        <f t="shared" ca="1" si="3"/>
        <v>VIERNES</v>
      </c>
      <c r="G44" s="5" t="str">
        <f t="shared" ca="1" si="3"/>
        <v>SÁBADO</v>
      </c>
      <c r="H44" s="4" t="str">
        <f t="shared" ca="1" si="3"/>
        <v>DOMINGO</v>
      </c>
    </row>
    <row r="45" spans="1:8" ht="21" x14ac:dyDescent="0.3">
      <c r="B45" s="10">
        <f t="array" aca="1" ref="B45:H45" ca="1">Días+1+DATE(Calendario4Año,Calendario4MesOpción,1)-WEEKDAY(DATE(Calendario4Año,Calendario4MesOpción,1),DíaDeLaSemanaOpción)</f>
        <v>45383</v>
      </c>
      <c r="C45" s="10">
        <f ca="1"/>
        <v>45384</v>
      </c>
      <c r="D45" s="10">
        <f ca="1"/>
        <v>45385</v>
      </c>
      <c r="E45" s="10">
        <f ca="1"/>
        <v>45386</v>
      </c>
      <c r="F45" s="10">
        <f ca="1"/>
        <v>45387</v>
      </c>
      <c r="G45" s="10">
        <f ca="1"/>
        <v>45388</v>
      </c>
      <c r="H45" s="11">
        <f ca="1"/>
        <v>45389</v>
      </c>
    </row>
    <row r="46" spans="1:8" x14ac:dyDescent="0.3">
      <c r="B46" s="6"/>
      <c r="C46" s="6"/>
      <c r="D46" s="6"/>
      <c r="E46" s="6"/>
      <c r="F46" s="6"/>
      <c r="G46" s="6"/>
      <c r="H46" s="7"/>
    </row>
    <row r="47" spans="1:8" ht="21" x14ac:dyDescent="0.3">
      <c r="B47" s="10">
        <f t="array" aca="1" ref="B47:H47" ca="1">Días+8+DATE(Calendario4Año,Calendario4MesOpción,1)-WEEKDAY(DATE(Calendario4Año,Calendario4MesOpción,1),DíaDeLaSemanaOpción)</f>
        <v>45390</v>
      </c>
      <c r="C47" s="10">
        <f ca="1"/>
        <v>45391</v>
      </c>
      <c r="D47" s="10">
        <f ca="1"/>
        <v>45392</v>
      </c>
      <c r="E47" s="10">
        <f ca="1"/>
        <v>45393</v>
      </c>
      <c r="F47" s="10">
        <f ca="1"/>
        <v>45394</v>
      </c>
      <c r="G47" s="10">
        <f ca="1"/>
        <v>45395</v>
      </c>
      <c r="H47" s="11">
        <f ca="1"/>
        <v>45396</v>
      </c>
    </row>
    <row r="48" spans="1:8" x14ac:dyDescent="0.3">
      <c r="B48" s="6"/>
      <c r="C48" s="6"/>
      <c r="D48" s="6"/>
      <c r="E48" s="6"/>
      <c r="F48" s="6"/>
      <c r="G48" s="6"/>
      <c r="H48" s="7"/>
    </row>
    <row r="49" spans="1:8" ht="21" x14ac:dyDescent="0.3">
      <c r="B49" s="10">
        <f t="array" aca="1" ref="B49:H49" ca="1">Días+15+DATE(Calendario4Año,Calendario4MesOpción,1)-WEEKDAY(DATE(Calendario4Año,Calendario4MesOpción,1),DíaDeLaSemanaOpción)</f>
        <v>45397</v>
      </c>
      <c r="C49" s="10">
        <f ca="1"/>
        <v>45398</v>
      </c>
      <c r="D49" s="10">
        <f ca="1"/>
        <v>45399</v>
      </c>
      <c r="E49" s="10">
        <f ca="1"/>
        <v>45400</v>
      </c>
      <c r="F49" s="10">
        <f ca="1"/>
        <v>45401</v>
      </c>
      <c r="G49" s="10">
        <f ca="1"/>
        <v>45402</v>
      </c>
      <c r="H49" s="11">
        <f ca="1"/>
        <v>45403</v>
      </c>
    </row>
    <row r="50" spans="1:8" x14ac:dyDescent="0.3">
      <c r="B50" s="6"/>
      <c r="C50" s="6"/>
      <c r="D50" s="6"/>
      <c r="E50" s="6"/>
      <c r="F50" s="6"/>
      <c r="G50" s="6"/>
      <c r="H50" s="7"/>
    </row>
    <row r="51" spans="1:8" ht="21" x14ac:dyDescent="0.3">
      <c r="B51" s="10">
        <f t="array" aca="1" ref="B51:H51" ca="1">Días+22+DATE(Calendario4Año,Calendario4MesOpción,1)-WEEKDAY(DATE(Calendario4Año,Calendario4MesOpción,1),DíaDeLaSemanaOpción)</f>
        <v>45404</v>
      </c>
      <c r="C51" s="10">
        <f ca="1"/>
        <v>45405</v>
      </c>
      <c r="D51" s="10">
        <f ca="1"/>
        <v>45406</v>
      </c>
      <c r="E51" s="10">
        <f ca="1"/>
        <v>45407</v>
      </c>
      <c r="F51" s="10">
        <f ca="1"/>
        <v>45408</v>
      </c>
      <c r="G51" s="10">
        <f ca="1"/>
        <v>45409</v>
      </c>
      <c r="H51" s="11">
        <f ca="1"/>
        <v>45410</v>
      </c>
    </row>
    <row r="52" spans="1:8" x14ac:dyDescent="0.3">
      <c r="B52" s="6"/>
      <c r="C52" s="6"/>
      <c r="D52" s="6"/>
      <c r="E52" s="6"/>
      <c r="F52" s="6"/>
      <c r="G52" s="6"/>
      <c r="H52" s="7"/>
    </row>
    <row r="53" spans="1:8" ht="21" x14ac:dyDescent="0.3">
      <c r="B53" s="10">
        <f t="array" aca="1" ref="B53:H53" ca="1">Días+29+DATE(Calendario4Año,Calendario4MesOpción,1)-WEEKDAY(DATE(Calendario4Año,Calendario4MesOpción,1),DíaDeLaSemanaOpción)</f>
        <v>45411</v>
      </c>
      <c r="C53" s="10">
        <f ca="1"/>
        <v>45412</v>
      </c>
      <c r="D53" s="10">
        <f ca="1"/>
        <v>45413</v>
      </c>
      <c r="E53" s="10">
        <f ca="1"/>
        <v>45414</v>
      </c>
      <c r="F53" s="10">
        <f ca="1"/>
        <v>45415</v>
      </c>
      <c r="G53" s="10">
        <f ca="1"/>
        <v>45416</v>
      </c>
      <c r="H53" s="11">
        <f ca="1"/>
        <v>45417</v>
      </c>
    </row>
    <row r="54" spans="1:8" x14ac:dyDescent="0.3">
      <c r="B54" s="6"/>
      <c r="C54" s="6"/>
      <c r="D54" s="6"/>
      <c r="E54" s="6"/>
      <c r="F54" s="6"/>
      <c r="G54" s="6"/>
      <c r="H54" s="8"/>
    </row>
    <row r="55" spans="1:8" ht="21" x14ac:dyDescent="0.3">
      <c r="B55" s="10">
        <f t="array" aca="1" ref="B55:C55" ca="1">Días+36+DATE(Calendario4Año,Calendario4MesOpción,1)-WEEKDAY(DATE(Calendario4Año,Calendario4MesOpción,1),DíaDeLaSemanaOpción)</f>
        <v>45418</v>
      </c>
      <c r="C55" s="10">
        <f ca="1"/>
        <v>45419</v>
      </c>
      <c r="D55" s="61" t="s">
        <v>1</v>
      </c>
      <c r="E55" s="62"/>
      <c r="F55" s="62"/>
      <c r="G55" s="62"/>
      <c r="H55" s="62"/>
    </row>
    <row r="56" spans="1:8" x14ac:dyDescent="0.3">
      <c r="B56" s="6"/>
      <c r="C56" s="6"/>
      <c r="D56" s="63"/>
      <c r="E56" s="63"/>
      <c r="F56" s="63"/>
      <c r="G56" s="63"/>
      <c r="H56" s="63"/>
    </row>
    <row r="57" spans="1:8" ht="46.5" x14ac:dyDescent="0.7">
      <c r="A57" s="2"/>
      <c r="B57" s="1">
        <f ca="1">YEAR(DATE(Calendario4Año,Calendario4MesOpción+1,1))</f>
        <v>2024</v>
      </c>
      <c r="C57" s="64" t="str">
        <f ca="1">TEXT(DATE(Calendario4Año,Calendario4MesOpción+1,1),"mmmm")</f>
        <v>mayo</v>
      </c>
      <c r="D57" s="64"/>
      <c r="E57" s="64"/>
      <c r="F57" s="2"/>
      <c r="G57" s="2"/>
      <c r="H57" s="2"/>
    </row>
    <row r="58" spans="1:8" x14ac:dyDescent="0.3">
      <c r="A58" s="3"/>
      <c r="B58" s="4" t="str">
        <f ca="1">UPPER(TEXT(B59,"dddd"))</f>
        <v>LUNES</v>
      </c>
      <c r="C58" s="5" t="str">
        <f t="shared" ref="C58:H58" ca="1" si="4">UPPER(TEXT(C59,"dddd"))</f>
        <v>MARTES</v>
      </c>
      <c r="D58" s="4" t="str">
        <f t="shared" ca="1" si="4"/>
        <v>MIÉRCOLES</v>
      </c>
      <c r="E58" s="5" t="str">
        <f t="shared" ca="1" si="4"/>
        <v>JUEVES</v>
      </c>
      <c r="F58" s="4" t="str">
        <f t="shared" ca="1" si="4"/>
        <v>VIERNES</v>
      </c>
      <c r="G58" s="5" t="str">
        <f t="shared" ca="1" si="4"/>
        <v>SÁBADO</v>
      </c>
      <c r="H58" s="4" t="str">
        <f t="shared" ca="1" si="4"/>
        <v>DOMINGO</v>
      </c>
    </row>
    <row r="59" spans="1:8" ht="21" x14ac:dyDescent="0.3">
      <c r="B59" s="10">
        <f t="array" aca="1" ref="B59:H59" ca="1">Días+1+DATE(Calendario5Año,Calendario5MesOpción,1)-WEEKDAY(DATE(Calendario5Año,Calendario5MesOpción,1),DíaDeLaSemanaOpción)</f>
        <v>45411</v>
      </c>
      <c r="C59" s="10">
        <f ca="1"/>
        <v>45412</v>
      </c>
      <c r="D59" s="10">
        <f ca="1"/>
        <v>45413</v>
      </c>
      <c r="E59" s="10">
        <f ca="1"/>
        <v>45414</v>
      </c>
      <c r="F59" s="10">
        <f ca="1"/>
        <v>45415</v>
      </c>
      <c r="G59" s="10">
        <f ca="1"/>
        <v>45416</v>
      </c>
      <c r="H59" s="11">
        <f ca="1"/>
        <v>45417</v>
      </c>
    </row>
    <row r="60" spans="1:8" x14ac:dyDescent="0.3">
      <c r="B60" s="6"/>
      <c r="C60" s="6"/>
      <c r="D60" s="6"/>
      <c r="E60" s="6"/>
      <c r="F60" s="6"/>
      <c r="G60" s="6"/>
      <c r="H60" s="7"/>
    </row>
    <row r="61" spans="1:8" ht="21" x14ac:dyDescent="0.3">
      <c r="B61" s="10">
        <f t="array" aca="1" ref="B61:H61" ca="1">Días+8+DATE(Calendario5Año,Calendario5MesOpción,1)-WEEKDAY(DATE(Calendario5Año,Calendario5MesOpción,1),DíaDeLaSemanaOpción)</f>
        <v>45418</v>
      </c>
      <c r="C61" s="10">
        <f ca="1"/>
        <v>45419</v>
      </c>
      <c r="D61" s="10">
        <f ca="1"/>
        <v>45420</v>
      </c>
      <c r="E61" s="10">
        <f ca="1"/>
        <v>45421</v>
      </c>
      <c r="F61" s="10">
        <f ca="1"/>
        <v>45422</v>
      </c>
      <c r="G61" s="10">
        <f ca="1"/>
        <v>45423</v>
      </c>
      <c r="H61" s="11">
        <f ca="1"/>
        <v>45424</v>
      </c>
    </row>
    <row r="62" spans="1:8" x14ac:dyDescent="0.3">
      <c r="B62" s="6"/>
      <c r="C62" s="6"/>
      <c r="D62" s="6"/>
      <c r="E62" s="6"/>
      <c r="F62" s="6"/>
      <c r="G62" s="6"/>
      <c r="H62" s="7"/>
    </row>
    <row r="63" spans="1:8" ht="21" x14ac:dyDescent="0.3">
      <c r="B63" s="10">
        <f t="array" aca="1" ref="B63:H63" ca="1">Días+15+DATE(Calendario5Año,Calendario5MesOpción,1)-WEEKDAY(DATE(Calendario5Año,Calendario5MesOpción,1),DíaDeLaSemanaOpción)</f>
        <v>45425</v>
      </c>
      <c r="C63" s="10">
        <f ca="1"/>
        <v>45426</v>
      </c>
      <c r="D63" s="10">
        <f ca="1"/>
        <v>45427</v>
      </c>
      <c r="E63" s="10">
        <f ca="1"/>
        <v>45428</v>
      </c>
      <c r="F63" s="10">
        <f ca="1"/>
        <v>45429</v>
      </c>
      <c r="G63" s="10">
        <f ca="1"/>
        <v>45430</v>
      </c>
      <c r="H63" s="11">
        <f ca="1"/>
        <v>45431</v>
      </c>
    </row>
    <row r="64" spans="1:8" x14ac:dyDescent="0.3">
      <c r="B64" s="6"/>
      <c r="C64" s="6"/>
      <c r="D64" s="6"/>
      <c r="E64" s="6"/>
      <c r="F64" s="6"/>
      <c r="G64" s="6"/>
      <c r="H64" s="7"/>
    </row>
    <row r="65" spans="1:8" ht="21" x14ac:dyDescent="0.3">
      <c r="B65" s="10">
        <f t="array" aca="1" ref="B65:H65" ca="1">Días+22+DATE(Calendario5Año,Calendario5MesOpción,1)-WEEKDAY(DATE(Calendario5Año,Calendario5MesOpción,1),DíaDeLaSemanaOpción)</f>
        <v>45432</v>
      </c>
      <c r="C65" s="10">
        <f ca="1"/>
        <v>45433</v>
      </c>
      <c r="D65" s="10">
        <f ca="1"/>
        <v>45434</v>
      </c>
      <c r="E65" s="10">
        <f ca="1"/>
        <v>45435</v>
      </c>
      <c r="F65" s="10">
        <f ca="1"/>
        <v>45436</v>
      </c>
      <c r="G65" s="10">
        <f ca="1"/>
        <v>45437</v>
      </c>
      <c r="H65" s="11">
        <f ca="1"/>
        <v>45438</v>
      </c>
    </row>
    <row r="66" spans="1:8" x14ac:dyDescent="0.3">
      <c r="B66" s="6"/>
      <c r="C66" s="6"/>
      <c r="D66" s="6"/>
      <c r="E66" s="6"/>
      <c r="F66" s="6"/>
      <c r="G66" s="6"/>
      <c r="H66" s="7"/>
    </row>
    <row r="67" spans="1:8" ht="21" x14ac:dyDescent="0.3">
      <c r="B67" s="10">
        <f t="array" aca="1" ref="B67:H67" ca="1">Días+29+DATE(Calendario5Año,Calendario5MesOpción,1)-WEEKDAY(DATE(Calendario5Año,Calendario5MesOpción,1),DíaDeLaSemanaOpción)</f>
        <v>45439</v>
      </c>
      <c r="C67" s="10">
        <f ca="1"/>
        <v>45440</v>
      </c>
      <c r="D67" s="10">
        <f ca="1"/>
        <v>45441</v>
      </c>
      <c r="E67" s="10">
        <f ca="1"/>
        <v>45442</v>
      </c>
      <c r="F67" s="10">
        <f ca="1"/>
        <v>45443</v>
      </c>
      <c r="G67" s="10">
        <f ca="1"/>
        <v>45444</v>
      </c>
      <c r="H67" s="11">
        <f ca="1"/>
        <v>45445</v>
      </c>
    </row>
    <row r="68" spans="1:8" x14ac:dyDescent="0.3">
      <c r="B68" s="6"/>
      <c r="C68" s="6"/>
      <c r="D68" s="6"/>
      <c r="E68" s="6"/>
      <c r="F68" s="6"/>
      <c r="G68" s="6"/>
      <c r="H68" s="8"/>
    </row>
    <row r="69" spans="1:8" ht="21" x14ac:dyDescent="0.3">
      <c r="B69" s="10">
        <f t="array" aca="1" ref="B69:C69" ca="1">Días+36+DATE(Calendario5Año,Calendario5MesOpción,1)-WEEKDAY(DATE(Calendario5Año,Calendario5MesOpción,1),DíaDeLaSemanaOpción)</f>
        <v>45446</v>
      </c>
      <c r="C69" s="10">
        <f ca="1"/>
        <v>45447</v>
      </c>
      <c r="D69" s="61" t="s">
        <v>1</v>
      </c>
      <c r="E69" s="62"/>
      <c r="F69" s="62"/>
      <c r="G69" s="62"/>
      <c r="H69" s="62"/>
    </row>
    <row r="70" spans="1:8" x14ac:dyDescent="0.3">
      <c r="B70" s="6"/>
      <c r="C70" s="6"/>
      <c r="D70" s="63"/>
      <c r="E70" s="63"/>
      <c r="F70" s="63"/>
      <c r="G70" s="63"/>
      <c r="H70" s="63"/>
    </row>
    <row r="71" spans="1:8" ht="46.5" x14ac:dyDescent="0.7">
      <c r="A71" s="2"/>
      <c r="B71" s="1">
        <f ca="1">YEAR(DATE(Calendario5Año,Calendario5MesOpción+1,1))</f>
        <v>2024</v>
      </c>
      <c r="C71" s="64" t="str">
        <f ca="1">TEXT(DATE(Calendario5Año,Calendario5MesOpción+1,1),"mmmm")</f>
        <v>junio</v>
      </c>
      <c r="D71" s="64"/>
      <c r="E71" s="64"/>
      <c r="F71" s="2"/>
      <c r="G71" s="2"/>
      <c r="H71" s="2"/>
    </row>
    <row r="72" spans="1:8" x14ac:dyDescent="0.3">
      <c r="A72" s="3"/>
      <c r="B72" s="4" t="str">
        <f ca="1">UPPER(TEXT(B73,"dddd"))</f>
        <v>LUNES</v>
      </c>
      <c r="C72" s="5" t="str">
        <f t="shared" ref="C72:H72" ca="1" si="5">UPPER(TEXT(C73,"dddd"))</f>
        <v>MARTES</v>
      </c>
      <c r="D72" s="4" t="str">
        <f t="shared" ca="1" si="5"/>
        <v>MIÉRCOLES</v>
      </c>
      <c r="E72" s="5" t="str">
        <f t="shared" ca="1" si="5"/>
        <v>JUEVES</v>
      </c>
      <c r="F72" s="4" t="str">
        <f t="shared" ca="1" si="5"/>
        <v>VIERNES</v>
      </c>
      <c r="G72" s="5" t="str">
        <f t="shared" ca="1" si="5"/>
        <v>SÁBADO</v>
      </c>
      <c r="H72" s="4" t="str">
        <f t="shared" ca="1" si="5"/>
        <v>DOMINGO</v>
      </c>
    </row>
    <row r="73" spans="1:8" ht="21" x14ac:dyDescent="0.3">
      <c r="B73" s="10">
        <f t="array" aca="1" ref="B73:H73" ca="1">Días+1+DATE(Calendario6Año,Calendario6MesOpción,1)-WEEKDAY(DATE(Calendario6Año,Calendario6MesOpción,1),DíaDeLaSemanaOpción)</f>
        <v>45439</v>
      </c>
      <c r="C73" s="10">
        <f ca="1"/>
        <v>45440</v>
      </c>
      <c r="D73" s="10">
        <f ca="1"/>
        <v>45441</v>
      </c>
      <c r="E73" s="10">
        <f ca="1"/>
        <v>45442</v>
      </c>
      <c r="F73" s="10">
        <f ca="1"/>
        <v>45443</v>
      </c>
      <c r="G73" s="10">
        <f ca="1"/>
        <v>45444</v>
      </c>
      <c r="H73" s="11">
        <f ca="1"/>
        <v>45445</v>
      </c>
    </row>
    <row r="74" spans="1:8" x14ac:dyDescent="0.3">
      <c r="B74" s="6"/>
      <c r="C74" s="6"/>
      <c r="D74" s="6"/>
      <c r="E74" s="6"/>
      <c r="F74" s="6"/>
      <c r="G74" s="6"/>
      <c r="H74" s="7"/>
    </row>
    <row r="75" spans="1:8" ht="21" x14ac:dyDescent="0.3">
      <c r="B75" s="10">
        <f t="array" aca="1" ref="B75:H75" ca="1">Días+8+DATE(Calendario6Año,Calendario6MesOpción,1)-WEEKDAY(DATE(Calendario6Año,Calendario6MesOpción,1),DíaDeLaSemanaOpción)</f>
        <v>45446</v>
      </c>
      <c r="C75" s="10">
        <f ca="1"/>
        <v>45447</v>
      </c>
      <c r="D75" s="10">
        <f ca="1"/>
        <v>45448</v>
      </c>
      <c r="E75" s="10">
        <f ca="1"/>
        <v>45449</v>
      </c>
      <c r="F75" s="10">
        <f ca="1"/>
        <v>45450</v>
      </c>
      <c r="G75" s="10">
        <f ca="1"/>
        <v>45451</v>
      </c>
      <c r="H75" s="11">
        <f ca="1"/>
        <v>45452</v>
      </c>
    </row>
    <row r="76" spans="1:8" x14ac:dyDescent="0.3">
      <c r="B76" s="6"/>
      <c r="C76" s="6"/>
      <c r="D76" s="6"/>
      <c r="E76" s="6"/>
      <c r="F76" s="6"/>
      <c r="G76" s="6"/>
      <c r="H76" s="7"/>
    </row>
    <row r="77" spans="1:8" ht="21" x14ac:dyDescent="0.3">
      <c r="B77" s="10">
        <f t="array" aca="1" ref="B77:H77" ca="1">Días+15+DATE(Calendario6Año,Calendario6MesOpción,1)-WEEKDAY(DATE(Calendario6Año,Calendario6MesOpción,1),DíaDeLaSemanaOpción)</f>
        <v>45453</v>
      </c>
      <c r="C77" s="10">
        <f ca="1"/>
        <v>45454</v>
      </c>
      <c r="D77" s="10">
        <f ca="1"/>
        <v>45455</v>
      </c>
      <c r="E77" s="10">
        <f ca="1"/>
        <v>45456</v>
      </c>
      <c r="F77" s="10">
        <f ca="1"/>
        <v>45457</v>
      </c>
      <c r="G77" s="10">
        <f ca="1"/>
        <v>45458</v>
      </c>
      <c r="H77" s="11">
        <f ca="1"/>
        <v>45459</v>
      </c>
    </row>
    <row r="78" spans="1:8" x14ac:dyDescent="0.3">
      <c r="B78" s="6"/>
      <c r="C78" s="6"/>
      <c r="D78" s="6"/>
      <c r="E78" s="6"/>
      <c r="F78" s="6"/>
      <c r="G78" s="6"/>
      <c r="H78" s="7"/>
    </row>
    <row r="79" spans="1:8" ht="21" x14ac:dyDescent="0.3">
      <c r="B79" s="10">
        <f t="array" aca="1" ref="B79:H79" ca="1">Días+22+DATE(Calendario6Año,Calendario6MesOpción,1)-WEEKDAY(DATE(Calendario6Año,Calendario6MesOpción,1),DíaDeLaSemanaOpción)</f>
        <v>45460</v>
      </c>
      <c r="C79" s="10">
        <f ca="1"/>
        <v>45461</v>
      </c>
      <c r="D79" s="10">
        <f ca="1"/>
        <v>45462</v>
      </c>
      <c r="E79" s="10">
        <f ca="1"/>
        <v>45463</v>
      </c>
      <c r="F79" s="10">
        <f ca="1"/>
        <v>45464</v>
      </c>
      <c r="G79" s="10">
        <f ca="1"/>
        <v>45465</v>
      </c>
      <c r="H79" s="11">
        <f ca="1"/>
        <v>45466</v>
      </c>
    </row>
    <row r="80" spans="1:8" x14ac:dyDescent="0.3">
      <c r="B80" s="6"/>
      <c r="C80" s="6"/>
      <c r="D80" s="6"/>
      <c r="E80" s="6"/>
      <c r="F80" s="6"/>
      <c r="G80" s="6"/>
      <c r="H80" s="7"/>
    </row>
    <row r="81" spans="1:8" ht="21" x14ac:dyDescent="0.3">
      <c r="B81" s="10">
        <f t="array" aca="1" ref="B81:H81" ca="1">Días+29+DATE(Calendario6Año,Calendario6MesOpción,1)-WEEKDAY(DATE(Calendario6Año,Calendario6MesOpción,1),DíaDeLaSemanaOpción)</f>
        <v>45467</v>
      </c>
      <c r="C81" s="10">
        <f ca="1"/>
        <v>45468</v>
      </c>
      <c r="D81" s="10">
        <f ca="1"/>
        <v>45469</v>
      </c>
      <c r="E81" s="10">
        <f ca="1"/>
        <v>45470</v>
      </c>
      <c r="F81" s="10">
        <f ca="1"/>
        <v>45471</v>
      </c>
      <c r="G81" s="10">
        <f ca="1"/>
        <v>45472</v>
      </c>
      <c r="H81" s="11">
        <f ca="1"/>
        <v>45473</v>
      </c>
    </row>
    <row r="82" spans="1:8" x14ac:dyDescent="0.3">
      <c r="B82" s="6"/>
      <c r="C82" s="6"/>
      <c r="D82" s="6"/>
      <c r="E82" s="6"/>
      <c r="F82" s="6"/>
      <c r="G82" s="6"/>
      <c r="H82" s="8"/>
    </row>
    <row r="83" spans="1:8" ht="21" x14ac:dyDescent="0.3">
      <c r="B83" s="10">
        <f t="array" aca="1" ref="B83:C83" ca="1">Días+36+DATE(Calendario6Año,Calendario6MesOpción,1)-WEEKDAY(DATE(Calendario6Año,Calendario6MesOpción,1),DíaDeLaSemanaOpción)</f>
        <v>45474</v>
      </c>
      <c r="C83" s="10">
        <f ca="1"/>
        <v>45475</v>
      </c>
      <c r="D83" s="61" t="s">
        <v>1</v>
      </c>
      <c r="E83" s="62"/>
      <c r="F83" s="62"/>
      <c r="G83" s="62"/>
      <c r="H83" s="62"/>
    </row>
    <row r="84" spans="1:8" x14ac:dyDescent="0.3">
      <c r="B84" s="6"/>
      <c r="C84" s="6"/>
      <c r="D84" s="63"/>
      <c r="E84" s="63"/>
      <c r="F84" s="63"/>
      <c r="G84" s="63"/>
      <c r="H84" s="63"/>
    </row>
    <row r="85" spans="1:8" ht="46.5" x14ac:dyDescent="0.7">
      <c r="A85" s="2"/>
      <c r="B85" s="1">
        <f ca="1">YEAR(DATE(Calendario6Año,Calendario6MesOpción+1,1))</f>
        <v>2024</v>
      </c>
      <c r="C85" s="64" t="str">
        <f ca="1">TEXT(DATE(Calendario6Año,Calendario6MesOpción+1,1),"mmmm")</f>
        <v>julio</v>
      </c>
      <c r="D85" s="64"/>
      <c r="E85" s="64"/>
      <c r="F85" s="2"/>
      <c r="G85" s="2"/>
      <c r="H85" s="2"/>
    </row>
    <row r="86" spans="1:8" x14ac:dyDescent="0.3">
      <c r="A86" s="3"/>
      <c r="B86" s="4" t="str">
        <f ca="1">UPPER(TEXT(B87,"dddd"))</f>
        <v>LUNES</v>
      </c>
      <c r="C86" s="5" t="str">
        <f t="shared" ref="C86:H86" ca="1" si="6">UPPER(TEXT(C87,"dddd"))</f>
        <v>MARTES</v>
      </c>
      <c r="D86" s="4" t="str">
        <f t="shared" ca="1" si="6"/>
        <v>MIÉRCOLES</v>
      </c>
      <c r="E86" s="5" t="str">
        <f t="shared" ca="1" si="6"/>
        <v>JUEVES</v>
      </c>
      <c r="F86" s="4" t="str">
        <f t="shared" ca="1" si="6"/>
        <v>VIERNES</v>
      </c>
      <c r="G86" s="5" t="str">
        <f t="shared" ca="1" si="6"/>
        <v>SÁBADO</v>
      </c>
      <c r="H86" s="4" t="str">
        <f t="shared" ca="1" si="6"/>
        <v>DOMINGO</v>
      </c>
    </row>
    <row r="87" spans="1:8" ht="21" x14ac:dyDescent="0.3">
      <c r="B87" s="10">
        <f t="array" aca="1" ref="B87:H87" ca="1">Días+1+DATE(Calendario7Año,Calendario7MesOpción,1)-WEEKDAY(DATE(Calendario7Año,Calendario7MesOpción,1),DíaDeLaSemanaOpción)</f>
        <v>45474</v>
      </c>
      <c r="C87" s="10">
        <f ca="1"/>
        <v>45475</v>
      </c>
      <c r="D87" s="10">
        <f ca="1"/>
        <v>45476</v>
      </c>
      <c r="E87" s="10">
        <f ca="1"/>
        <v>45477</v>
      </c>
      <c r="F87" s="10">
        <f ca="1"/>
        <v>45478</v>
      </c>
      <c r="G87" s="10">
        <f ca="1"/>
        <v>45479</v>
      </c>
      <c r="H87" s="11">
        <f ca="1"/>
        <v>45480</v>
      </c>
    </row>
    <row r="88" spans="1:8" x14ac:dyDescent="0.3">
      <c r="B88" s="6"/>
      <c r="C88" s="6"/>
      <c r="D88" s="6"/>
      <c r="E88" s="6"/>
      <c r="F88" s="6"/>
      <c r="G88" s="6"/>
      <c r="H88" s="7"/>
    </row>
    <row r="89" spans="1:8" ht="21" x14ac:dyDescent="0.3">
      <c r="B89" s="10">
        <f t="array" aca="1" ref="B89:H89" ca="1">Días+8+DATE(Calendario7Año,Calendario7MesOpción,1)-WEEKDAY(DATE(Calendario7Año,Calendario7MesOpción,1),DíaDeLaSemanaOpción)</f>
        <v>45481</v>
      </c>
      <c r="C89" s="10">
        <f ca="1"/>
        <v>45482</v>
      </c>
      <c r="D89" s="10">
        <f ca="1"/>
        <v>45483</v>
      </c>
      <c r="E89" s="10">
        <f ca="1"/>
        <v>45484</v>
      </c>
      <c r="F89" s="10">
        <f ca="1"/>
        <v>45485</v>
      </c>
      <c r="G89" s="10">
        <f ca="1"/>
        <v>45486</v>
      </c>
      <c r="H89" s="11">
        <f ca="1"/>
        <v>45487</v>
      </c>
    </row>
    <row r="90" spans="1:8" x14ac:dyDescent="0.3">
      <c r="B90" s="6"/>
      <c r="C90" s="6"/>
      <c r="D90" s="6"/>
      <c r="E90" s="6"/>
      <c r="F90" s="6"/>
      <c r="G90" s="6"/>
      <c r="H90" s="7"/>
    </row>
    <row r="91" spans="1:8" ht="21" x14ac:dyDescent="0.3">
      <c r="B91" s="10">
        <f t="array" aca="1" ref="B91:H91" ca="1">Días+15+DATE(Calendario7Año,Calendario7MesOpción,1)-WEEKDAY(DATE(Calendario7Año,Calendario7MesOpción,1),DíaDeLaSemanaOpción)</f>
        <v>45488</v>
      </c>
      <c r="C91" s="10">
        <f ca="1"/>
        <v>45489</v>
      </c>
      <c r="D91" s="10">
        <f ca="1"/>
        <v>45490</v>
      </c>
      <c r="E91" s="10">
        <f ca="1"/>
        <v>45491</v>
      </c>
      <c r="F91" s="10">
        <f ca="1"/>
        <v>45492</v>
      </c>
      <c r="G91" s="10">
        <f ca="1"/>
        <v>45493</v>
      </c>
      <c r="H91" s="11">
        <f ca="1"/>
        <v>45494</v>
      </c>
    </row>
    <row r="92" spans="1:8" x14ac:dyDescent="0.3">
      <c r="B92" s="6"/>
      <c r="C92" s="6"/>
      <c r="D92" s="6"/>
      <c r="E92" s="6"/>
      <c r="F92" s="6"/>
      <c r="G92" s="6"/>
      <c r="H92" s="7"/>
    </row>
    <row r="93" spans="1:8" ht="21" x14ac:dyDescent="0.3">
      <c r="B93" s="10">
        <f t="array" aca="1" ref="B93:H93" ca="1">Días+22+DATE(Calendario7Año,Calendario7MesOpción,1)-WEEKDAY(DATE(Calendario7Año,Calendario7MesOpción,1),DíaDeLaSemanaOpción)</f>
        <v>45495</v>
      </c>
      <c r="C93" s="10">
        <f ca="1"/>
        <v>45496</v>
      </c>
      <c r="D93" s="10">
        <f ca="1"/>
        <v>45497</v>
      </c>
      <c r="E93" s="10">
        <f ca="1"/>
        <v>45498</v>
      </c>
      <c r="F93" s="10">
        <f ca="1"/>
        <v>45499</v>
      </c>
      <c r="G93" s="10">
        <f ca="1"/>
        <v>45500</v>
      </c>
      <c r="H93" s="11">
        <f ca="1"/>
        <v>45501</v>
      </c>
    </row>
    <row r="94" spans="1:8" x14ac:dyDescent="0.3">
      <c r="B94" s="6"/>
      <c r="C94" s="6"/>
      <c r="D94" s="6"/>
      <c r="E94" s="6"/>
      <c r="F94" s="6"/>
      <c r="G94" s="6"/>
      <c r="H94" s="7"/>
    </row>
    <row r="95" spans="1:8" ht="21" x14ac:dyDescent="0.3">
      <c r="B95" s="10">
        <f t="array" aca="1" ref="B95:H95" ca="1">Días+29+DATE(Calendario7Año,Calendario7MesOpción,1)-WEEKDAY(DATE(Calendario7Año,Calendario7MesOpción,1),DíaDeLaSemanaOpción)</f>
        <v>45502</v>
      </c>
      <c r="C95" s="10">
        <f ca="1"/>
        <v>45503</v>
      </c>
      <c r="D95" s="10">
        <f ca="1"/>
        <v>45504</v>
      </c>
      <c r="E95" s="10">
        <f ca="1"/>
        <v>45505</v>
      </c>
      <c r="F95" s="10">
        <f ca="1"/>
        <v>45506</v>
      </c>
      <c r="G95" s="10">
        <f ca="1"/>
        <v>45507</v>
      </c>
      <c r="H95" s="11">
        <f ca="1"/>
        <v>45508</v>
      </c>
    </row>
    <row r="96" spans="1:8" x14ac:dyDescent="0.3">
      <c r="B96" s="6"/>
      <c r="C96" s="6"/>
      <c r="D96" s="6"/>
      <c r="E96" s="6"/>
      <c r="F96" s="6"/>
      <c r="G96" s="6"/>
      <c r="H96" s="8"/>
    </row>
    <row r="97" spans="1:8" ht="21" x14ac:dyDescent="0.3">
      <c r="B97" s="10">
        <f t="array" aca="1" ref="B97:C97" ca="1">Días+36+DATE(Calendario7Año,Calendario7MesOpción,1)-WEEKDAY(DATE(Calendario7Año,Calendario7MesOpción,1),DíaDeLaSemanaOpción)</f>
        <v>45509</v>
      </c>
      <c r="C97" s="10">
        <f ca="1"/>
        <v>45510</v>
      </c>
      <c r="D97" s="61" t="s">
        <v>1</v>
      </c>
      <c r="E97" s="62"/>
      <c r="F97" s="62"/>
      <c r="G97" s="62"/>
      <c r="H97" s="62"/>
    </row>
    <row r="98" spans="1:8" x14ac:dyDescent="0.3">
      <c r="B98" s="6"/>
      <c r="C98" s="6"/>
      <c r="D98" s="63"/>
      <c r="E98" s="63"/>
      <c r="F98" s="63"/>
      <c r="G98" s="63"/>
      <c r="H98" s="63"/>
    </row>
    <row r="99" spans="1:8" ht="46.5" x14ac:dyDescent="0.7">
      <c r="A99" s="2"/>
      <c r="B99" s="1">
        <f ca="1">YEAR(DATE(Calendario7Año,Calendario7MesOpción+1,1))</f>
        <v>2024</v>
      </c>
      <c r="C99" s="64" t="str">
        <f ca="1">TEXT(DATE(Calendario7Año,Calendario7MesOpción+1,1),"mmmm")</f>
        <v>agosto</v>
      </c>
      <c r="D99" s="64"/>
      <c r="E99" s="64"/>
      <c r="F99" s="2"/>
      <c r="G99" s="2"/>
      <c r="H99" s="2"/>
    </row>
    <row r="100" spans="1:8" x14ac:dyDescent="0.3">
      <c r="A100" s="3"/>
      <c r="B100" s="4" t="str">
        <f ca="1">UPPER(TEXT(B101,"dddd"))</f>
        <v>LUNES</v>
      </c>
      <c r="C100" s="5" t="str">
        <f t="shared" ref="C100:H100" ca="1" si="7">UPPER(TEXT(C101,"dddd"))</f>
        <v>MARTES</v>
      </c>
      <c r="D100" s="4" t="str">
        <f t="shared" ca="1" si="7"/>
        <v>MIÉRCOLES</v>
      </c>
      <c r="E100" s="5" t="str">
        <f t="shared" ca="1" si="7"/>
        <v>JUEVES</v>
      </c>
      <c r="F100" s="4" t="str">
        <f t="shared" ca="1" si="7"/>
        <v>VIERNES</v>
      </c>
      <c r="G100" s="5" t="str">
        <f t="shared" ca="1" si="7"/>
        <v>SÁBADO</v>
      </c>
      <c r="H100" s="4" t="str">
        <f t="shared" ca="1" si="7"/>
        <v>DOMINGO</v>
      </c>
    </row>
    <row r="101" spans="1:8" ht="21" x14ac:dyDescent="0.3">
      <c r="B101" s="10">
        <f t="array" aca="1" ref="B101:H101" ca="1">Días+1+DATE(Calendario8Año,Calendario8MesOpción,1)-WEEKDAY(DATE(Calendario8Año,Calendario8MesOpción,1),DíaDeLaSemanaOpción)</f>
        <v>45502</v>
      </c>
      <c r="C101" s="10">
        <f ca="1"/>
        <v>45503</v>
      </c>
      <c r="D101" s="10">
        <f ca="1"/>
        <v>45504</v>
      </c>
      <c r="E101" s="10">
        <f ca="1"/>
        <v>45505</v>
      </c>
      <c r="F101" s="10">
        <f ca="1"/>
        <v>45506</v>
      </c>
      <c r="G101" s="10">
        <f ca="1"/>
        <v>45507</v>
      </c>
      <c r="H101" s="11">
        <f ca="1"/>
        <v>45508</v>
      </c>
    </row>
    <row r="102" spans="1:8" x14ac:dyDescent="0.3">
      <c r="B102" s="6"/>
      <c r="C102" s="6"/>
      <c r="D102" s="6"/>
      <c r="E102" s="6"/>
      <c r="F102" s="6"/>
      <c r="G102" s="6"/>
      <c r="H102" s="7"/>
    </row>
    <row r="103" spans="1:8" ht="21" x14ac:dyDescent="0.3">
      <c r="B103" s="10">
        <f t="array" aca="1" ref="B103:H103" ca="1">Días+8+DATE(Calendario8Año,Calendario8MesOpción,1)-WEEKDAY(DATE(Calendario8Año,Calendario8MesOpción,1),DíaDeLaSemanaOpción)</f>
        <v>45509</v>
      </c>
      <c r="C103" s="10">
        <f ca="1"/>
        <v>45510</v>
      </c>
      <c r="D103" s="10">
        <f ca="1"/>
        <v>45511</v>
      </c>
      <c r="E103" s="10">
        <f ca="1"/>
        <v>45512</v>
      </c>
      <c r="F103" s="10">
        <f ca="1"/>
        <v>45513</v>
      </c>
      <c r="G103" s="10">
        <f ca="1"/>
        <v>45514</v>
      </c>
      <c r="H103" s="11">
        <f ca="1"/>
        <v>45515</v>
      </c>
    </row>
    <row r="104" spans="1:8" x14ac:dyDescent="0.3">
      <c r="B104" s="6"/>
      <c r="C104" s="6"/>
      <c r="D104" s="6"/>
      <c r="E104" s="6"/>
      <c r="F104" s="6"/>
      <c r="G104" s="6"/>
      <c r="H104" s="7"/>
    </row>
    <row r="105" spans="1:8" ht="21" x14ac:dyDescent="0.3">
      <c r="B105" s="10">
        <f t="array" aca="1" ref="B105:H105" ca="1">Días+15+DATE(Calendario8Año,Calendario8MesOpción,1)-WEEKDAY(DATE(Calendario8Año,Calendario8MesOpción,1),DíaDeLaSemanaOpción)</f>
        <v>45516</v>
      </c>
      <c r="C105" s="10">
        <f ca="1"/>
        <v>45517</v>
      </c>
      <c r="D105" s="10">
        <f ca="1"/>
        <v>45518</v>
      </c>
      <c r="E105" s="10">
        <f ca="1"/>
        <v>45519</v>
      </c>
      <c r="F105" s="10">
        <f ca="1"/>
        <v>45520</v>
      </c>
      <c r="G105" s="10">
        <f ca="1"/>
        <v>45521</v>
      </c>
      <c r="H105" s="11">
        <f ca="1"/>
        <v>45522</v>
      </c>
    </row>
    <row r="106" spans="1:8" x14ac:dyDescent="0.3">
      <c r="B106" s="6"/>
      <c r="C106" s="6"/>
      <c r="D106" s="6"/>
      <c r="E106" s="6"/>
      <c r="F106" s="6"/>
      <c r="G106" s="6"/>
      <c r="H106" s="7"/>
    </row>
    <row r="107" spans="1:8" ht="21" x14ac:dyDescent="0.3">
      <c r="B107" s="10">
        <f t="array" aca="1" ref="B107:H107" ca="1">Días+22+DATE(Calendario8Año,Calendario8MesOpción,1)-WEEKDAY(DATE(Calendario8Año,Calendario8MesOpción,1),DíaDeLaSemanaOpción)</f>
        <v>45523</v>
      </c>
      <c r="C107" s="10">
        <f ca="1"/>
        <v>45524</v>
      </c>
      <c r="D107" s="10">
        <f ca="1"/>
        <v>45525</v>
      </c>
      <c r="E107" s="10">
        <f ca="1"/>
        <v>45526</v>
      </c>
      <c r="F107" s="10">
        <f ca="1"/>
        <v>45527</v>
      </c>
      <c r="G107" s="10">
        <f ca="1"/>
        <v>45528</v>
      </c>
      <c r="H107" s="11">
        <f ca="1"/>
        <v>45529</v>
      </c>
    </row>
    <row r="108" spans="1:8" x14ac:dyDescent="0.3">
      <c r="B108" s="6"/>
      <c r="C108" s="6"/>
      <c r="D108" s="6"/>
      <c r="E108" s="6"/>
      <c r="F108" s="6"/>
      <c r="G108" s="6"/>
      <c r="H108" s="7"/>
    </row>
    <row r="109" spans="1:8" ht="21" x14ac:dyDescent="0.3">
      <c r="B109" s="10">
        <f t="array" aca="1" ref="B109:H109" ca="1">Días+29+DATE(Calendario8Año,Calendario8MesOpción,1)-WEEKDAY(DATE(Calendario8Año,Calendario8MesOpción,1),DíaDeLaSemanaOpción)</f>
        <v>45530</v>
      </c>
      <c r="C109" s="10">
        <f ca="1"/>
        <v>45531</v>
      </c>
      <c r="D109" s="10">
        <f ca="1"/>
        <v>45532</v>
      </c>
      <c r="E109" s="10">
        <f ca="1"/>
        <v>45533</v>
      </c>
      <c r="F109" s="10">
        <f ca="1"/>
        <v>45534</v>
      </c>
      <c r="G109" s="10">
        <f ca="1"/>
        <v>45535</v>
      </c>
      <c r="H109" s="11">
        <f ca="1"/>
        <v>45536</v>
      </c>
    </row>
    <row r="110" spans="1:8" x14ac:dyDescent="0.3">
      <c r="B110" s="6"/>
      <c r="C110" s="6"/>
      <c r="D110" s="6"/>
      <c r="E110" s="6"/>
      <c r="F110" s="6"/>
      <c r="G110" s="6"/>
      <c r="H110" s="8"/>
    </row>
    <row r="111" spans="1:8" ht="21" x14ac:dyDescent="0.3">
      <c r="B111" s="10">
        <f t="array" aca="1" ref="B111:C111" ca="1">Días+36+DATE(Calendario8Año,Calendario8MesOpción,1)-WEEKDAY(DATE(Calendario8Año,Calendario8MesOpción,1),DíaDeLaSemanaOpción)</f>
        <v>45537</v>
      </c>
      <c r="C111" s="10">
        <f ca="1"/>
        <v>45538</v>
      </c>
      <c r="D111" s="61" t="s">
        <v>1</v>
      </c>
      <c r="E111" s="62"/>
      <c r="F111" s="62"/>
      <c r="G111" s="62"/>
      <c r="H111" s="62"/>
    </row>
    <row r="112" spans="1:8" x14ac:dyDescent="0.3">
      <c r="B112" s="6"/>
      <c r="C112" s="6"/>
      <c r="D112" s="63"/>
      <c r="E112" s="63"/>
      <c r="F112" s="63"/>
      <c r="G112" s="63"/>
      <c r="H112" s="63"/>
    </row>
    <row r="113" spans="1:8" ht="46.5" x14ac:dyDescent="0.7">
      <c r="A113" s="2"/>
      <c r="B113" s="1">
        <f ca="1">YEAR(DATE(Calendario8Año,Calendario8MesOpción+1,1))</f>
        <v>2024</v>
      </c>
      <c r="C113" s="64" t="str">
        <f ca="1">TEXT(DATE(Calendario8Año,Calendario8MesOpción+1,1),"mmmm")</f>
        <v>septiembre</v>
      </c>
      <c r="D113" s="64"/>
      <c r="E113" s="64"/>
      <c r="F113" s="2"/>
      <c r="G113" s="2"/>
      <c r="H113" s="2"/>
    </row>
    <row r="114" spans="1:8" x14ac:dyDescent="0.3">
      <c r="A114" s="3"/>
      <c r="B114" s="4" t="str">
        <f ca="1">UPPER(TEXT(B115,"dddd"))</f>
        <v>LUNES</v>
      </c>
      <c r="C114" s="5" t="str">
        <f t="shared" ref="C114:H114" ca="1" si="8">UPPER(TEXT(C115,"dddd"))</f>
        <v>MARTES</v>
      </c>
      <c r="D114" s="4" t="str">
        <f t="shared" ca="1" si="8"/>
        <v>MIÉRCOLES</v>
      </c>
      <c r="E114" s="5" t="str">
        <f t="shared" ca="1" si="8"/>
        <v>JUEVES</v>
      </c>
      <c r="F114" s="4" t="str">
        <f t="shared" ca="1" si="8"/>
        <v>VIERNES</v>
      </c>
      <c r="G114" s="5" t="str">
        <f t="shared" ca="1" si="8"/>
        <v>SÁBADO</v>
      </c>
      <c r="H114" s="4" t="str">
        <f t="shared" ca="1" si="8"/>
        <v>DOMINGO</v>
      </c>
    </row>
    <row r="115" spans="1:8" ht="21" x14ac:dyDescent="0.3">
      <c r="B115" s="10">
        <f t="array" aca="1" ref="B115:H115" ca="1">Días+1+DATE(Calendario9Año,Calendario9MesOpción,1)-WEEKDAY(DATE(Calendario9Año,Calendario9MesOpción,1),DíaDeLaSemanaOpción)</f>
        <v>45530</v>
      </c>
      <c r="C115" s="10">
        <f ca="1"/>
        <v>45531</v>
      </c>
      <c r="D115" s="10">
        <f ca="1"/>
        <v>45532</v>
      </c>
      <c r="E115" s="10">
        <f ca="1"/>
        <v>45533</v>
      </c>
      <c r="F115" s="10">
        <f ca="1"/>
        <v>45534</v>
      </c>
      <c r="G115" s="10">
        <f ca="1"/>
        <v>45535</v>
      </c>
      <c r="H115" s="11">
        <f ca="1"/>
        <v>45536</v>
      </c>
    </row>
    <row r="116" spans="1:8" x14ac:dyDescent="0.3">
      <c r="B116" s="6"/>
      <c r="C116" s="6"/>
      <c r="D116" s="6"/>
      <c r="E116" s="6"/>
      <c r="F116" s="6"/>
      <c r="G116" s="6"/>
      <c r="H116" s="7"/>
    </row>
    <row r="117" spans="1:8" ht="21" x14ac:dyDescent="0.3">
      <c r="B117" s="10">
        <f t="array" aca="1" ref="B117:H117" ca="1">Días+8+DATE(Calendario9Año,Calendario9MesOpción,1)-WEEKDAY(DATE(Calendario9Año,Calendario9MesOpción,1),DíaDeLaSemanaOpción)</f>
        <v>45537</v>
      </c>
      <c r="C117" s="10">
        <f ca="1"/>
        <v>45538</v>
      </c>
      <c r="D117" s="10">
        <f ca="1"/>
        <v>45539</v>
      </c>
      <c r="E117" s="10">
        <f ca="1"/>
        <v>45540</v>
      </c>
      <c r="F117" s="10">
        <f ca="1"/>
        <v>45541</v>
      </c>
      <c r="G117" s="10">
        <f ca="1"/>
        <v>45542</v>
      </c>
      <c r="H117" s="11">
        <f ca="1"/>
        <v>45543</v>
      </c>
    </row>
    <row r="118" spans="1:8" x14ac:dyDescent="0.3">
      <c r="B118" s="6"/>
      <c r="C118" s="6"/>
      <c r="D118" s="6"/>
      <c r="E118" s="6"/>
      <c r="F118" s="6"/>
      <c r="G118" s="6"/>
      <c r="H118" s="7"/>
    </row>
    <row r="119" spans="1:8" ht="21" x14ac:dyDescent="0.3">
      <c r="B119" s="10">
        <f t="array" aca="1" ref="B119:H119" ca="1">Días+15+DATE(Calendario9Año,Calendario9MesOpción,1)-WEEKDAY(DATE(Calendario9Año,Calendario9MesOpción,1),DíaDeLaSemanaOpción)</f>
        <v>45544</v>
      </c>
      <c r="C119" s="10">
        <f ca="1"/>
        <v>45545</v>
      </c>
      <c r="D119" s="10">
        <f ca="1"/>
        <v>45546</v>
      </c>
      <c r="E119" s="10">
        <f ca="1"/>
        <v>45547</v>
      </c>
      <c r="F119" s="10">
        <f ca="1"/>
        <v>45548</v>
      </c>
      <c r="G119" s="10">
        <f ca="1"/>
        <v>45549</v>
      </c>
      <c r="H119" s="11">
        <f ca="1"/>
        <v>45550</v>
      </c>
    </row>
    <row r="120" spans="1:8" x14ac:dyDescent="0.3">
      <c r="B120" s="6"/>
      <c r="C120" s="6"/>
      <c r="D120" s="6"/>
      <c r="E120" s="6"/>
      <c r="F120" s="6"/>
      <c r="G120" s="6"/>
      <c r="H120" s="7"/>
    </row>
    <row r="121" spans="1:8" ht="21" x14ac:dyDescent="0.3">
      <c r="B121" s="10">
        <f t="array" aca="1" ref="B121:H121" ca="1">Días+22+DATE(Calendario9Año,Calendario9MesOpción,1)-WEEKDAY(DATE(Calendario9Año,Calendario9MesOpción,1),DíaDeLaSemanaOpción)</f>
        <v>45551</v>
      </c>
      <c r="C121" s="10">
        <f ca="1"/>
        <v>45552</v>
      </c>
      <c r="D121" s="10">
        <f ca="1"/>
        <v>45553</v>
      </c>
      <c r="E121" s="10">
        <f ca="1"/>
        <v>45554</v>
      </c>
      <c r="F121" s="10">
        <f ca="1"/>
        <v>45555</v>
      </c>
      <c r="G121" s="10">
        <f ca="1"/>
        <v>45556</v>
      </c>
      <c r="H121" s="11">
        <f ca="1"/>
        <v>45557</v>
      </c>
    </row>
    <row r="122" spans="1:8" x14ac:dyDescent="0.3">
      <c r="B122" s="6"/>
      <c r="C122" s="6"/>
      <c r="D122" s="6"/>
      <c r="E122" s="6"/>
      <c r="F122" s="6"/>
      <c r="G122" s="6"/>
      <c r="H122" s="7"/>
    </row>
    <row r="123" spans="1:8" ht="21" x14ac:dyDescent="0.3">
      <c r="B123" s="10">
        <f t="array" aca="1" ref="B123:H123" ca="1">Días+29+DATE(Calendario9Año,Calendario9MesOpción,1)-WEEKDAY(DATE(Calendario9Año,Calendario9MesOpción,1),DíaDeLaSemanaOpción)</f>
        <v>45558</v>
      </c>
      <c r="C123" s="10">
        <f ca="1"/>
        <v>45559</v>
      </c>
      <c r="D123" s="10">
        <f ca="1"/>
        <v>45560</v>
      </c>
      <c r="E123" s="10">
        <f ca="1"/>
        <v>45561</v>
      </c>
      <c r="F123" s="10">
        <f ca="1"/>
        <v>45562</v>
      </c>
      <c r="G123" s="10">
        <f ca="1"/>
        <v>45563</v>
      </c>
      <c r="H123" s="11">
        <f ca="1"/>
        <v>45564</v>
      </c>
    </row>
    <row r="124" spans="1:8" x14ac:dyDescent="0.3">
      <c r="B124" s="6"/>
      <c r="C124" s="6"/>
      <c r="D124" s="6"/>
      <c r="E124" s="6"/>
      <c r="F124" s="6"/>
      <c r="G124" s="6"/>
      <c r="H124" s="8"/>
    </row>
    <row r="125" spans="1:8" ht="21" x14ac:dyDescent="0.3">
      <c r="B125" s="10">
        <f t="array" aca="1" ref="B125:C125" ca="1">Días+36+DATE(Calendario9Año,Calendario9MesOpción,1)-WEEKDAY(DATE(Calendario9Año,Calendario9MesOpción,1),DíaDeLaSemanaOpción)</f>
        <v>45565</v>
      </c>
      <c r="C125" s="10">
        <f ca="1"/>
        <v>45566</v>
      </c>
      <c r="D125" s="61" t="s">
        <v>1</v>
      </c>
      <c r="E125" s="62"/>
      <c r="F125" s="62"/>
      <c r="G125" s="62"/>
      <c r="H125" s="62"/>
    </row>
    <row r="126" spans="1:8" x14ac:dyDescent="0.3">
      <c r="B126" s="6"/>
      <c r="C126" s="6"/>
      <c r="D126" s="63"/>
      <c r="E126" s="63"/>
      <c r="F126" s="63"/>
      <c r="G126" s="63"/>
      <c r="H126" s="63"/>
    </row>
    <row r="127" spans="1:8" ht="46.5" x14ac:dyDescent="0.7">
      <c r="A127" s="2"/>
      <c r="B127" s="12">
        <f ca="1">YEAR(DATE(Calendario9Año,Calendario9MesOpción+1,1))</f>
        <v>2024</v>
      </c>
      <c r="C127" s="64" t="str">
        <f ca="1">TEXT(DATE(Calendario9Año,Calendario9MesOpción+1,1),"mmmm")</f>
        <v>octubre</v>
      </c>
      <c r="D127" s="64"/>
      <c r="E127" s="64"/>
      <c r="F127" s="2"/>
      <c r="G127" s="2"/>
      <c r="H127" s="2"/>
    </row>
    <row r="128" spans="1:8" x14ac:dyDescent="0.3">
      <c r="A128" s="3"/>
      <c r="B128" s="4" t="str">
        <f ca="1">UPPER(TEXT(B129,"dddd"))</f>
        <v>LUNES</v>
      </c>
      <c r="C128" s="5" t="str">
        <f t="shared" ref="C128:H128" ca="1" si="9">UPPER(TEXT(C129,"dddd"))</f>
        <v>MARTES</v>
      </c>
      <c r="D128" s="4" t="str">
        <f t="shared" ca="1" si="9"/>
        <v>MIÉRCOLES</v>
      </c>
      <c r="E128" s="5" t="str">
        <f t="shared" ca="1" si="9"/>
        <v>JUEVES</v>
      </c>
      <c r="F128" s="4" t="str">
        <f t="shared" ca="1" si="9"/>
        <v>VIERNES</v>
      </c>
      <c r="G128" s="5" t="str">
        <f t="shared" ca="1" si="9"/>
        <v>SÁBADO</v>
      </c>
      <c r="H128" s="4" t="str">
        <f t="shared" ca="1" si="9"/>
        <v>DOMINGO</v>
      </c>
    </row>
    <row r="129" spans="2:8" ht="21" x14ac:dyDescent="0.3">
      <c r="B129" s="10">
        <f t="array" aca="1" ref="B129:H129" ca="1">Días+1+DATE(Calendario10Año,Calendario10MesOpción,1)-WEEKDAY(DATE(Calendario10Año,Calendario10MesOpción,1),DíaDeLaSemanaOpción)</f>
        <v>45565</v>
      </c>
      <c r="C129" s="10">
        <f ca="1"/>
        <v>45566</v>
      </c>
      <c r="D129" s="10">
        <f ca="1"/>
        <v>45567</v>
      </c>
      <c r="E129" s="10">
        <f ca="1"/>
        <v>45568</v>
      </c>
      <c r="F129" s="10">
        <f ca="1"/>
        <v>45569</v>
      </c>
      <c r="G129" s="10">
        <f ca="1"/>
        <v>45570</v>
      </c>
      <c r="H129" s="11">
        <f ca="1"/>
        <v>45571</v>
      </c>
    </row>
    <row r="130" spans="2:8" x14ac:dyDescent="0.3">
      <c r="B130" s="6"/>
      <c r="C130" s="6"/>
      <c r="D130" s="6"/>
      <c r="E130" s="6"/>
      <c r="F130" s="6"/>
      <c r="G130" s="6"/>
      <c r="H130" s="7"/>
    </row>
    <row r="131" spans="2:8" ht="21" x14ac:dyDescent="0.3">
      <c r="B131" s="10">
        <f t="array" aca="1" ref="B131:H131" ca="1">Días+8+DATE(Calendario10Año,Calendario10MesOpción,1)-WEEKDAY(DATE(Calendario10Año,Calendario10MesOpción,1),DíaDeLaSemanaOpción)</f>
        <v>45572</v>
      </c>
      <c r="C131" s="10">
        <f ca="1"/>
        <v>45573</v>
      </c>
      <c r="D131" s="10">
        <f ca="1"/>
        <v>45574</v>
      </c>
      <c r="E131" s="10">
        <f ca="1"/>
        <v>45575</v>
      </c>
      <c r="F131" s="10">
        <f ca="1"/>
        <v>45576</v>
      </c>
      <c r="G131" s="10">
        <f ca="1"/>
        <v>45577</v>
      </c>
      <c r="H131" s="11">
        <f ca="1"/>
        <v>45578</v>
      </c>
    </row>
    <row r="132" spans="2:8" x14ac:dyDescent="0.3">
      <c r="B132" s="6"/>
      <c r="C132" s="6"/>
      <c r="D132" s="6"/>
      <c r="E132" s="6"/>
      <c r="F132" s="6"/>
      <c r="G132" s="6"/>
      <c r="H132" s="7"/>
    </row>
    <row r="133" spans="2:8" ht="21" x14ac:dyDescent="0.3">
      <c r="B133" s="10">
        <f t="array" aca="1" ref="B133:H133" ca="1">Días+15+DATE(Calendario10Año,Calendario10MesOpción,1)-WEEKDAY(DATE(Calendario10Año,Calendario10MesOpción,1),DíaDeLaSemanaOpción)</f>
        <v>45579</v>
      </c>
      <c r="C133" s="10">
        <f ca="1"/>
        <v>45580</v>
      </c>
      <c r="D133" s="10">
        <f ca="1"/>
        <v>45581</v>
      </c>
      <c r="E133" s="10">
        <f ca="1"/>
        <v>45582</v>
      </c>
      <c r="F133" s="10">
        <f ca="1"/>
        <v>45583</v>
      </c>
      <c r="G133" s="10">
        <f ca="1"/>
        <v>45584</v>
      </c>
      <c r="H133" s="11">
        <f ca="1"/>
        <v>45585</v>
      </c>
    </row>
    <row r="134" spans="2:8" x14ac:dyDescent="0.3">
      <c r="B134" s="6"/>
      <c r="C134" s="6"/>
      <c r="D134" s="6"/>
      <c r="E134" s="6"/>
      <c r="F134" s="6"/>
      <c r="G134" s="6"/>
      <c r="H134" s="7"/>
    </row>
    <row r="135" spans="2:8" ht="21" x14ac:dyDescent="0.3">
      <c r="B135" s="10">
        <f t="array" aca="1" ref="B135:H135" ca="1">Días+22+DATE(Calendario10Año,Calendario10MesOpción,1)-WEEKDAY(DATE(Calendario10Año,Calendario10MesOpción,1),DíaDeLaSemanaOpción)</f>
        <v>45586</v>
      </c>
      <c r="C135" s="10">
        <f ca="1"/>
        <v>45587</v>
      </c>
      <c r="D135" s="10">
        <f ca="1"/>
        <v>45588</v>
      </c>
      <c r="E135" s="10">
        <f ca="1"/>
        <v>45589</v>
      </c>
      <c r="F135" s="10">
        <f ca="1"/>
        <v>45590</v>
      </c>
      <c r="G135" s="10">
        <f ca="1"/>
        <v>45591</v>
      </c>
      <c r="H135" s="11">
        <f ca="1"/>
        <v>45592</v>
      </c>
    </row>
    <row r="136" spans="2:8" x14ac:dyDescent="0.3">
      <c r="B136" s="6"/>
      <c r="C136" s="6"/>
      <c r="D136" s="6"/>
      <c r="E136" s="6"/>
      <c r="F136" s="6"/>
      <c r="G136" s="6"/>
      <c r="H136" s="7"/>
    </row>
    <row r="137" spans="2:8" ht="21" x14ac:dyDescent="0.3">
      <c r="B137" s="10">
        <f t="array" aca="1" ref="B137:H137" ca="1">Días+29+DATE(Calendario10Año,Calendario10MesOpción,1)-WEEKDAY(DATE(Calendario10Año,Calendario10MesOpción,1),DíaDeLaSemanaOpción)</f>
        <v>45593</v>
      </c>
      <c r="C137" s="10">
        <f ca="1"/>
        <v>45594</v>
      </c>
      <c r="D137" s="10">
        <f ca="1"/>
        <v>45595</v>
      </c>
      <c r="E137" s="10">
        <f ca="1"/>
        <v>45596</v>
      </c>
      <c r="F137" s="10">
        <f ca="1"/>
        <v>45597</v>
      </c>
      <c r="G137" s="10">
        <f ca="1"/>
        <v>45598</v>
      </c>
      <c r="H137" s="11">
        <f ca="1"/>
        <v>45599</v>
      </c>
    </row>
    <row r="138" spans="2:8" x14ac:dyDescent="0.3">
      <c r="B138" s="6"/>
      <c r="C138" s="6"/>
      <c r="D138" s="6"/>
      <c r="E138" s="6"/>
      <c r="F138" s="6"/>
      <c r="G138" s="6"/>
      <c r="H138" s="8"/>
    </row>
    <row r="139" spans="2:8" ht="21" x14ac:dyDescent="0.3">
      <c r="B139" s="10">
        <f t="array" aca="1" ref="B139:C139" ca="1">Días+36+DATE(Calendario10Año,Calendario10MesOpción,1)-WEEKDAY(DATE(Calendario10Año,Calendario10MesOpción,1),DíaDeLaSemanaOpción)</f>
        <v>45600</v>
      </c>
      <c r="C139" s="10">
        <f ca="1"/>
        <v>45601</v>
      </c>
      <c r="D139" s="61" t="s">
        <v>1</v>
      </c>
      <c r="E139" s="62"/>
      <c r="F139" s="62"/>
      <c r="G139" s="62"/>
      <c r="H139" s="62"/>
    </row>
    <row r="140" spans="2:8" x14ac:dyDescent="0.3">
      <c r="B140" s="6"/>
      <c r="C140" s="6"/>
      <c r="D140" s="63"/>
      <c r="E140" s="63"/>
      <c r="F140" s="63"/>
      <c r="G140" s="63"/>
      <c r="H140" s="63"/>
    </row>
    <row r="141" spans="2:8" ht="46.5" x14ac:dyDescent="0.7">
      <c r="B141" s="1">
        <f ca="1">YEAR(DATE(Calendario10Año,Calendario10MesOpción+1,1))</f>
        <v>2024</v>
      </c>
      <c r="C141" s="64" t="str">
        <f ca="1">TEXT(DATE(Calendario10Año,Calendario10MesOpción+1,1),"mmmm")</f>
        <v>noviembre</v>
      </c>
      <c r="D141" s="64"/>
      <c r="E141" s="64"/>
      <c r="F141" s="2"/>
      <c r="G141" s="2"/>
      <c r="H141" s="2"/>
    </row>
    <row r="142" spans="2:8" x14ac:dyDescent="0.3">
      <c r="B142" s="4" t="str">
        <f ca="1">UPPER(TEXT(B143,"dddd"))</f>
        <v>LUNES</v>
      </c>
      <c r="C142" s="5" t="str">
        <f t="shared" ref="C142:H142" ca="1" si="10">UPPER(TEXT(C143,"dddd"))</f>
        <v>MARTES</v>
      </c>
      <c r="D142" s="4" t="str">
        <f t="shared" ca="1" si="10"/>
        <v>MIÉRCOLES</v>
      </c>
      <c r="E142" s="5" t="str">
        <f t="shared" ca="1" si="10"/>
        <v>JUEVES</v>
      </c>
      <c r="F142" s="4" t="str">
        <f t="shared" ca="1" si="10"/>
        <v>VIERNES</v>
      </c>
      <c r="G142" s="5" t="str">
        <f t="shared" ca="1" si="10"/>
        <v>SÁBADO</v>
      </c>
      <c r="H142" s="4" t="str">
        <f t="shared" ca="1" si="10"/>
        <v>DOMINGO</v>
      </c>
    </row>
    <row r="143" spans="2:8" ht="21" x14ac:dyDescent="0.3">
      <c r="B143" s="10">
        <f t="array" aca="1" ref="B143:H143" ca="1">Días+1+DATE(Calendario11Año,Calendario11MesOpción,1)-WEEKDAY(DATE(Calendario11Año,Calendario11MesOpción,1),DíaDeLaSemanaOpción)</f>
        <v>45593</v>
      </c>
      <c r="C143" s="10">
        <f ca="1"/>
        <v>45594</v>
      </c>
      <c r="D143" s="10">
        <f ca="1"/>
        <v>45595</v>
      </c>
      <c r="E143" s="10">
        <f ca="1"/>
        <v>45596</v>
      </c>
      <c r="F143" s="10">
        <f ca="1"/>
        <v>45597</v>
      </c>
      <c r="G143" s="10">
        <f ca="1"/>
        <v>45598</v>
      </c>
      <c r="H143" s="11">
        <f ca="1"/>
        <v>45599</v>
      </c>
    </row>
    <row r="144" spans="2:8" x14ac:dyDescent="0.3">
      <c r="B144" s="6"/>
      <c r="C144" s="6"/>
      <c r="D144" s="6"/>
      <c r="E144" s="6"/>
      <c r="F144" s="6"/>
      <c r="G144" s="6"/>
      <c r="H144" s="7"/>
    </row>
    <row r="145" spans="2:8" ht="21" x14ac:dyDescent="0.3">
      <c r="B145" s="10">
        <f t="array" aca="1" ref="B145:H145" ca="1">Días+8+DATE(Calendario11Año,Calendario11MesOpción,1)-WEEKDAY(DATE(Calendario11Año,Calendario11MesOpción,1),DíaDeLaSemanaOpción)</f>
        <v>45600</v>
      </c>
      <c r="C145" s="10">
        <f ca="1"/>
        <v>45601</v>
      </c>
      <c r="D145" s="10">
        <f ca="1"/>
        <v>45602</v>
      </c>
      <c r="E145" s="10">
        <f ca="1"/>
        <v>45603</v>
      </c>
      <c r="F145" s="10">
        <f ca="1"/>
        <v>45604</v>
      </c>
      <c r="G145" s="10">
        <f ca="1"/>
        <v>45605</v>
      </c>
      <c r="H145" s="11">
        <f ca="1"/>
        <v>45606</v>
      </c>
    </row>
    <row r="146" spans="2:8" x14ac:dyDescent="0.3">
      <c r="B146" s="6"/>
      <c r="C146" s="6"/>
      <c r="D146" s="6"/>
      <c r="E146" s="6"/>
      <c r="F146" s="6"/>
      <c r="G146" s="6"/>
      <c r="H146" s="7"/>
    </row>
    <row r="147" spans="2:8" ht="21" x14ac:dyDescent="0.3">
      <c r="B147" s="10">
        <f t="array" aca="1" ref="B147:H147" ca="1">Días+15+DATE(Calendario11Año,Calendario11MesOpción,1)-WEEKDAY(DATE(Calendario11Año,Calendario11MesOpción,1),DíaDeLaSemanaOpción)</f>
        <v>45607</v>
      </c>
      <c r="C147" s="10">
        <f ca="1"/>
        <v>45608</v>
      </c>
      <c r="D147" s="10">
        <f ca="1"/>
        <v>45609</v>
      </c>
      <c r="E147" s="10">
        <f ca="1"/>
        <v>45610</v>
      </c>
      <c r="F147" s="10">
        <f ca="1"/>
        <v>45611</v>
      </c>
      <c r="G147" s="10">
        <f ca="1"/>
        <v>45612</v>
      </c>
      <c r="H147" s="11">
        <f ca="1"/>
        <v>45613</v>
      </c>
    </row>
    <row r="148" spans="2:8" x14ac:dyDescent="0.3">
      <c r="B148" s="6"/>
      <c r="C148" s="6"/>
      <c r="D148" s="6"/>
      <c r="E148" s="6"/>
      <c r="F148" s="6"/>
      <c r="G148" s="6"/>
      <c r="H148" s="7"/>
    </row>
    <row r="149" spans="2:8" ht="21" x14ac:dyDescent="0.3">
      <c r="B149" s="10">
        <f t="array" aca="1" ref="B149:H149" ca="1">Días+22+DATE(Calendario11Año,Calendario11MesOpción,1)-WEEKDAY(DATE(Calendario11Año,Calendario11MesOpción,1),DíaDeLaSemanaOpción)</f>
        <v>45614</v>
      </c>
      <c r="C149" s="10">
        <f ca="1"/>
        <v>45615</v>
      </c>
      <c r="D149" s="10">
        <f ca="1"/>
        <v>45616</v>
      </c>
      <c r="E149" s="10">
        <f ca="1"/>
        <v>45617</v>
      </c>
      <c r="F149" s="10">
        <f ca="1"/>
        <v>45618</v>
      </c>
      <c r="G149" s="10">
        <f ca="1"/>
        <v>45619</v>
      </c>
      <c r="H149" s="11">
        <f ca="1"/>
        <v>45620</v>
      </c>
    </row>
    <row r="150" spans="2:8" x14ac:dyDescent="0.3">
      <c r="B150" s="6"/>
      <c r="C150" s="6"/>
      <c r="D150" s="6"/>
      <c r="E150" s="6"/>
      <c r="F150" s="6"/>
      <c r="G150" s="6"/>
      <c r="H150" s="7"/>
    </row>
    <row r="151" spans="2:8" ht="21" x14ac:dyDescent="0.3">
      <c r="B151" s="10">
        <f t="array" aca="1" ref="B151:H151" ca="1">Días+29+DATE(Calendario11Año,Calendario11MesOpción,1)-WEEKDAY(DATE(Calendario11Año,Calendario11MesOpción,1),DíaDeLaSemanaOpción)</f>
        <v>45621</v>
      </c>
      <c r="C151" s="10">
        <f ca="1"/>
        <v>45622</v>
      </c>
      <c r="D151" s="10">
        <f ca="1"/>
        <v>45623</v>
      </c>
      <c r="E151" s="10">
        <f ca="1"/>
        <v>45624</v>
      </c>
      <c r="F151" s="10">
        <f ca="1"/>
        <v>45625</v>
      </c>
      <c r="G151" s="10">
        <f ca="1"/>
        <v>45626</v>
      </c>
      <c r="H151" s="11">
        <f ca="1"/>
        <v>45627</v>
      </c>
    </row>
    <row r="152" spans="2:8" x14ac:dyDescent="0.3">
      <c r="B152" s="6"/>
      <c r="C152" s="6"/>
      <c r="D152" s="6"/>
      <c r="E152" s="6"/>
      <c r="F152" s="6"/>
      <c r="G152" s="6"/>
      <c r="H152" s="8"/>
    </row>
    <row r="153" spans="2:8" ht="21" x14ac:dyDescent="0.3">
      <c r="B153" s="10">
        <f t="array" aca="1" ref="B153:C153" ca="1">Días+36+DATE(Calendario11Año,Calendario11MesOpción,1)-WEEKDAY(DATE(Calendario11Año,Calendario11MesOpción,1),DíaDeLaSemanaOpción)</f>
        <v>45628</v>
      </c>
      <c r="C153" s="10">
        <f ca="1"/>
        <v>45629</v>
      </c>
      <c r="D153" s="61" t="s">
        <v>1</v>
      </c>
      <c r="E153" s="62"/>
      <c r="F153" s="62"/>
      <c r="G153" s="62"/>
      <c r="H153" s="62"/>
    </row>
    <row r="154" spans="2:8" x14ac:dyDescent="0.3">
      <c r="B154" s="6"/>
      <c r="C154" s="6"/>
      <c r="D154" s="63"/>
      <c r="E154" s="63"/>
      <c r="F154" s="63"/>
      <c r="G154" s="63"/>
      <c r="H154" s="63"/>
    </row>
    <row r="155" spans="2:8" ht="46.5" x14ac:dyDescent="0.7">
      <c r="B155" s="1">
        <f ca="1">YEAR(DATE(Calendario11Año,Calendario11MesOpción+1,1))</f>
        <v>2024</v>
      </c>
      <c r="C155" s="64" t="str">
        <f ca="1">TEXT(DATE(Calendario11Año,Calendario11MesOpción+1,1),"mmmm")</f>
        <v>diciembre</v>
      </c>
      <c r="D155" s="64"/>
      <c r="E155" s="64"/>
      <c r="F155" s="2"/>
      <c r="G155" s="2"/>
      <c r="H155" s="2"/>
    </row>
    <row r="156" spans="2:8" x14ac:dyDescent="0.3">
      <c r="B156" s="4" t="str">
        <f ca="1">UPPER(TEXT(B157,"dddd"))</f>
        <v>LUNES</v>
      </c>
      <c r="C156" s="5" t="str">
        <f t="shared" ref="C156:H156" ca="1" si="11">UPPER(TEXT(C157,"dddd"))</f>
        <v>MARTES</v>
      </c>
      <c r="D156" s="4" t="str">
        <f t="shared" ca="1" si="11"/>
        <v>MIÉRCOLES</v>
      </c>
      <c r="E156" s="5" t="str">
        <f t="shared" ca="1" si="11"/>
        <v>JUEVES</v>
      </c>
      <c r="F156" s="4" t="str">
        <f t="shared" ca="1" si="11"/>
        <v>VIERNES</v>
      </c>
      <c r="G156" s="5" t="str">
        <f t="shared" ca="1" si="11"/>
        <v>SÁBADO</v>
      </c>
      <c r="H156" s="4" t="str">
        <f t="shared" ca="1" si="11"/>
        <v>DOMINGO</v>
      </c>
    </row>
    <row r="157" spans="2:8" ht="21" x14ac:dyDescent="0.3">
      <c r="B157" s="10">
        <f t="array" aca="1" ref="B157:H157" ca="1">Días+1+DATE(Calendario12Año,Calendario12MesOpción,1)-WEEKDAY(DATE(Calendario12Año,Calendario12MesOpción,1),DíaDeLaSemanaOpción)</f>
        <v>45621</v>
      </c>
      <c r="C157" s="10">
        <f ca="1"/>
        <v>45622</v>
      </c>
      <c r="D157" s="10">
        <f ca="1"/>
        <v>45623</v>
      </c>
      <c r="E157" s="10">
        <f ca="1"/>
        <v>45624</v>
      </c>
      <c r="F157" s="10">
        <f ca="1"/>
        <v>45625</v>
      </c>
      <c r="G157" s="10">
        <f ca="1"/>
        <v>45626</v>
      </c>
      <c r="H157" s="11">
        <f ca="1"/>
        <v>45627</v>
      </c>
    </row>
    <row r="158" spans="2:8" x14ac:dyDescent="0.3">
      <c r="B158" s="6"/>
      <c r="C158" s="6"/>
      <c r="D158" s="6"/>
      <c r="E158" s="6"/>
      <c r="F158" s="6"/>
      <c r="G158" s="6"/>
      <c r="H158" s="7"/>
    </row>
    <row r="159" spans="2:8" ht="21" x14ac:dyDescent="0.3">
      <c r="B159" s="10">
        <f t="array" aca="1" ref="B159:H159" ca="1">Días+8+DATE(Calendario12Año,Calendario12MesOpción,1)-WEEKDAY(DATE(Calendario12Año,Calendario12MesOpción,1),DíaDeLaSemanaOpción)</f>
        <v>45628</v>
      </c>
      <c r="C159" s="10">
        <f ca="1"/>
        <v>45629</v>
      </c>
      <c r="D159" s="10">
        <f ca="1"/>
        <v>45630</v>
      </c>
      <c r="E159" s="10">
        <f ca="1"/>
        <v>45631</v>
      </c>
      <c r="F159" s="10">
        <f ca="1"/>
        <v>45632</v>
      </c>
      <c r="G159" s="10">
        <f ca="1"/>
        <v>45633</v>
      </c>
      <c r="H159" s="11">
        <f ca="1"/>
        <v>45634</v>
      </c>
    </row>
    <row r="160" spans="2:8" x14ac:dyDescent="0.3">
      <c r="B160" s="6"/>
      <c r="C160" s="6"/>
      <c r="D160" s="6"/>
      <c r="E160" s="6"/>
      <c r="F160" s="6"/>
      <c r="G160" s="6"/>
      <c r="H160" s="7"/>
    </row>
    <row r="161" spans="2:8" ht="21" x14ac:dyDescent="0.3">
      <c r="B161" s="10">
        <f t="array" aca="1" ref="B161:H161" ca="1">Días+15+DATE(Calendario12Año,Calendario12MesOpción,1)-WEEKDAY(DATE(Calendario12Año,Calendario12MesOpción,1),DíaDeLaSemanaOpción)</f>
        <v>45635</v>
      </c>
      <c r="C161" s="10">
        <f ca="1"/>
        <v>45636</v>
      </c>
      <c r="D161" s="10">
        <f ca="1"/>
        <v>45637</v>
      </c>
      <c r="E161" s="10">
        <f ca="1"/>
        <v>45638</v>
      </c>
      <c r="F161" s="10">
        <f ca="1"/>
        <v>45639</v>
      </c>
      <c r="G161" s="10">
        <f ca="1"/>
        <v>45640</v>
      </c>
      <c r="H161" s="11">
        <f ca="1"/>
        <v>45641</v>
      </c>
    </row>
    <row r="162" spans="2:8" x14ac:dyDescent="0.3">
      <c r="B162" s="6"/>
      <c r="C162" s="6"/>
      <c r="D162" s="6"/>
      <c r="E162" s="6"/>
      <c r="F162" s="6"/>
      <c r="G162" s="6"/>
      <c r="H162" s="7"/>
    </row>
    <row r="163" spans="2:8" ht="21" x14ac:dyDescent="0.3">
      <c r="B163" s="10">
        <f t="array" aca="1" ref="B163:H163" ca="1">Días+22+DATE(Calendario12Año,Calendario12MesOpción,1)-WEEKDAY(DATE(Calendario12Año,Calendario12MesOpción,1),DíaDeLaSemanaOpción)</f>
        <v>45642</v>
      </c>
      <c r="C163" s="10">
        <f ca="1"/>
        <v>45643</v>
      </c>
      <c r="D163" s="10">
        <f ca="1"/>
        <v>45644</v>
      </c>
      <c r="E163" s="10">
        <f ca="1"/>
        <v>45645</v>
      </c>
      <c r="F163" s="10">
        <f ca="1"/>
        <v>45646</v>
      </c>
      <c r="G163" s="10">
        <f ca="1"/>
        <v>45647</v>
      </c>
      <c r="H163" s="11">
        <f ca="1"/>
        <v>45648</v>
      </c>
    </row>
    <row r="164" spans="2:8" x14ac:dyDescent="0.3">
      <c r="B164" s="6"/>
      <c r="C164" s="6"/>
      <c r="D164" s="6"/>
      <c r="E164" s="6"/>
      <c r="F164" s="6"/>
      <c r="G164" s="6"/>
      <c r="H164" s="7"/>
    </row>
    <row r="165" spans="2:8" ht="21" x14ac:dyDescent="0.3">
      <c r="B165" s="10">
        <f t="array" aca="1" ref="B165:H165" ca="1">Días+29+DATE(Calendario12Año,Calendario12MesOpción,1)-WEEKDAY(DATE(Calendario12Año,Calendario12MesOpción,1),DíaDeLaSemanaOpción)</f>
        <v>45649</v>
      </c>
      <c r="C165" s="10">
        <f ca="1"/>
        <v>45650</v>
      </c>
      <c r="D165" s="10">
        <f ca="1"/>
        <v>45651</v>
      </c>
      <c r="E165" s="10">
        <f ca="1"/>
        <v>45652</v>
      </c>
      <c r="F165" s="10">
        <f ca="1"/>
        <v>45653</v>
      </c>
      <c r="G165" s="10">
        <f ca="1"/>
        <v>45654</v>
      </c>
      <c r="H165" s="11">
        <f ca="1"/>
        <v>45655</v>
      </c>
    </row>
    <row r="166" spans="2:8" x14ac:dyDescent="0.3">
      <c r="B166" s="6"/>
      <c r="C166" s="6"/>
      <c r="D166" s="6"/>
      <c r="E166" s="6"/>
      <c r="F166" s="6"/>
      <c r="G166" s="6"/>
      <c r="H166" s="8"/>
    </row>
    <row r="167" spans="2:8" ht="21" x14ac:dyDescent="0.3">
      <c r="B167" s="10">
        <f t="array" aca="1" ref="B167:C167" ca="1">Días+36+DATE(Calendario12Año,Calendario12MesOpción,1)-WEEKDAY(DATE(Calendario12Año,Calendario12MesOpción,1),DíaDeLaSemanaOpción)</f>
        <v>45656</v>
      </c>
      <c r="C167" s="10">
        <f ca="1"/>
        <v>45657</v>
      </c>
      <c r="D167" s="61" t="s">
        <v>1</v>
      </c>
      <c r="E167" s="62"/>
      <c r="F167" s="62"/>
      <c r="G167" s="62"/>
      <c r="H167" s="62"/>
    </row>
    <row r="168" spans="2:8" x14ac:dyDescent="0.3">
      <c r="B168" s="6"/>
      <c r="C168" s="6"/>
      <c r="D168" s="63"/>
      <c r="E168" s="63"/>
      <c r="F168" s="63"/>
      <c r="G168" s="63"/>
      <c r="H168" s="63"/>
    </row>
  </sheetData>
  <mergeCells count="35">
    <mergeCell ref="E1:G1"/>
    <mergeCell ref="D13:H13"/>
    <mergeCell ref="D14:H14"/>
    <mergeCell ref="D27:H27"/>
    <mergeCell ref="D28:H28"/>
    <mergeCell ref="E15:G15"/>
    <mergeCell ref="C85:E85"/>
    <mergeCell ref="D41:H41"/>
    <mergeCell ref="D42:H42"/>
    <mergeCell ref="C43:E43"/>
    <mergeCell ref="D55:H55"/>
    <mergeCell ref="D56:H56"/>
    <mergeCell ref="C57:E57"/>
    <mergeCell ref="D69:H69"/>
    <mergeCell ref="D70:H70"/>
    <mergeCell ref="C71:E71"/>
    <mergeCell ref="D83:H83"/>
    <mergeCell ref="D84:H84"/>
    <mergeCell ref="C141:E141"/>
    <mergeCell ref="D97:H97"/>
    <mergeCell ref="D98:H98"/>
    <mergeCell ref="C99:E99"/>
    <mergeCell ref="D111:H111"/>
    <mergeCell ref="D112:H112"/>
    <mergeCell ref="C113:E113"/>
    <mergeCell ref="D125:H125"/>
    <mergeCell ref="D126:H126"/>
    <mergeCell ref="C127:E127"/>
    <mergeCell ref="D139:H139"/>
    <mergeCell ref="D140:H140"/>
    <mergeCell ref="D153:H153"/>
    <mergeCell ref="D154:H154"/>
    <mergeCell ref="C155:E155"/>
    <mergeCell ref="D167:H167"/>
    <mergeCell ref="D168:H168"/>
  </mergeCells>
  <dataValidations count="13">
    <dataValidation allowBlank="1" showInputMessage="1" prompt="Fecha" sqref="B3" xr:uid="{00000000-0002-0000-28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28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 E15" xr:uid="{00000000-0002-0000-2800-000002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2800-000004000000}"/>
    <dataValidation allowBlank="1" showInputMessage="1" showErrorMessage="1" prompt="Escriba el año en esta celda" sqref="B1" xr:uid="{00000000-0002-0000-2800-000005000000}"/>
    <dataValidation allowBlank="1" showInputMessage="1" prompt="Día laborable determinado automáticamente. Para cambiar los días laborables, seleccione un nuevo día de inicio de semana en la celda B2." sqref="C2:H2 B16" xr:uid="{00000000-0002-0000-2800-000006000000}"/>
    <dataValidation allowBlank="1" showInputMessage="1" prompt="El año natural se actualiza automáticamente según el año seleccionado en la celda B1" sqref="B15" xr:uid="{00000000-0002-0000-2800-000008000000}"/>
    <dataValidation allowBlank="1" showInputMessage="1" prompt="El mes natural se actualiza automáticamente según el mes seleccionado en la celda C1" sqref="C15:D15" xr:uid="{00000000-0002-0000-2800-000009000000}"/>
    <dataValidation allowBlank="1" showInputMessage="1" prompt="Escriba las notas del mes en la siguiente celda" sqref="D13:H13" xr:uid="{00000000-0002-0000-2800-00000A000000}"/>
    <dataValidation allowBlank="1" showInputMessage="1" prompt="Escriba las notas del mes en esta celda" sqref="D14:H14" xr:uid="{00000000-0002-0000-2800-00000B000000}"/>
    <dataValidation allowBlank="1" showInputMessage="1" showErrorMessage="1" prompt="El año natural se actualiza automáticamente según el año seleccionado en la celda B1" sqref="B29 B155 B141 B127 B113 B99 B85 B71 B57 B43" xr:uid="{00000000-0002-0000-2800-00000C000000}"/>
    <dataValidation allowBlank="1" showInputMessage="1" showErrorMessage="1" prompt="El mes natural se actualiza automáticamente según el mes seleccionado en la celda C1" sqref="C141:E141 C155:E155 C127:E127 C113:E113 C99:E99 C85:E85 C71:E71 C57:E57 C43:E43 C29:E29" xr:uid="{00000000-0002-0000-2800-000016000000}"/>
    <dataValidation allowBlank="1" showInputMessage="1" showErrorMessage="1" prompt="Día laborable determinado automáticamente. Para cambiar los días laborables, seleccione un nuevo día de inicio de semana en la celda B2." sqref="C16:H16 B156:H156 B142:H142 B128:H128 B114:H114 B100:H100 B86:H86 B72:H72 B58:H58 B44:H44 B30:H30" xr:uid="{00000000-0002-0000-2800-000020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539BB6CE-1303-4503-8817-918C7FE83753}">
            <xm:f>MONTH(JoMa!B3)&lt;&gt;Calendario1MesOpción</xm:f>
            <x14:dxf>
              <font>
                <color rgb="FF747474"/>
              </font>
            </x14:dxf>
          </x14:cfRule>
          <xm:sqref>B3:H3 B5:H5 B7:H7 B9:H9 B11:H11 B13:C13</xm:sqref>
        </x14:conditionalFormatting>
        <x14:conditionalFormatting xmlns:xm="http://schemas.microsoft.com/office/excel/2006/main">
          <x14:cfRule type="expression" priority="11" id="{933129EC-AC28-4CC5-B9F8-D2C098C2D27A}">
            <xm:f>MONTH(JoMa!B17)&lt;&gt;Calendario2MesOpción</xm:f>
            <x14:dxf>
              <font>
                <color rgb="FF747474"/>
              </font>
            </x14:dxf>
          </x14:cfRule>
          <xm:sqref>B17:H17 B19:H19 B21:H21 B23:H23 B25:H25 B27:C27</xm:sqref>
        </x14:conditionalFormatting>
        <x14:conditionalFormatting xmlns:xm="http://schemas.microsoft.com/office/excel/2006/main">
          <x14:cfRule type="expression" priority="10" id="{D03C5895-5801-4965-82AF-A0A72FCF4868}">
            <xm:f>MONTH(JoMa!B31)&lt;&gt;Calendario3MesOpción</xm:f>
            <x14:dxf>
              <font>
                <color rgb="FF747474"/>
              </font>
            </x14:dxf>
          </x14:cfRule>
          <xm:sqref>B31:H31 B33:H33 B35:H35 B37:H37 B39:H39 B41:C41</xm:sqref>
        </x14:conditionalFormatting>
        <x14:conditionalFormatting xmlns:xm="http://schemas.microsoft.com/office/excel/2006/main">
          <x14:cfRule type="expression" priority="9" id="{DBAD0E29-2599-4A92-835D-961F15ED999C}">
            <xm:f>MONTH(JoMa!B45)&lt;&gt;Calendario4MesOpción</xm:f>
            <x14:dxf>
              <font>
                <color rgb="FF747474"/>
              </font>
            </x14:dxf>
          </x14:cfRule>
          <xm:sqref>B45:H45 B47:H47 B49:H49 B51:H51 B53:H53 B55:C55</xm:sqref>
        </x14:conditionalFormatting>
        <x14:conditionalFormatting xmlns:xm="http://schemas.microsoft.com/office/excel/2006/main">
          <x14:cfRule type="expression" priority="8" id="{F9D91231-CF8D-414B-AF30-3755A0F52898}">
            <xm:f>MONTH(JoMa!B59)&lt;&gt;Calendario5MesOpción</xm:f>
            <x14:dxf>
              <font>
                <color rgb="FF747474"/>
              </font>
            </x14:dxf>
          </x14:cfRule>
          <xm:sqref>B59:H59 B61:H61 B63:H63 B65:H65 B67:H67 B69:C69</xm:sqref>
        </x14:conditionalFormatting>
        <x14:conditionalFormatting xmlns:xm="http://schemas.microsoft.com/office/excel/2006/main">
          <x14:cfRule type="expression" priority="7" id="{2B399EC6-58D2-45CA-A4FE-EFE8451182C0}">
            <xm:f>MONTH(JoMa!B73)&lt;&gt;Calendario6MesOpción</xm:f>
            <x14:dxf>
              <font>
                <color rgb="FF747474"/>
              </font>
            </x14:dxf>
          </x14:cfRule>
          <xm:sqref>B73:H73 B75:H75 B77:H77 B79:H79 B81:H81 B83:C83</xm:sqref>
        </x14:conditionalFormatting>
        <x14:conditionalFormatting xmlns:xm="http://schemas.microsoft.com/office/excel/2006/main">
          <x14:cfRule type="expression" priority="6" id="{F078A98D-82B6-4AB5-99BF-C2A1DC93F571}">
            <xm:f>MONTH(JoMa!B87)&lt;&gt;Calendario7MesOpción</xm:f>
            <x14:dxf>
              <font>
                <color rgb="FF747474"/>
              </font>
            </x14:dxf>
          </x14:cfRule>
          <xm:sqref>B87:H87 B89:H89 B91:H91 B93:H93 B95:H95 B97:C97</xm:sqref>
        </x14:conditionalFormatting>
        <x14:conditionalFormatting xmlns:xm="http://schemas.microsoft.com/office/excel/2006/main">
          <x14:cfRule type="expression" priority="5" id="{D0DD5ED7-C749-484D-887B-A613711595F8}">
            <xm:f>MONTH(JoMa!B101)&lt;&gt;Calendario8MesOpción</xm:f>
            <x14:dxf>
              <font>
                <color rgb="FF747474"/>
              </font>
            </x14:dxf>
          </x14:cfRule>
          <xm:sqref>B101:H101 B103:H103 B105:H105 B107:H107 B109:H109 B111:C111</xm:sqref>
        </x14:conditionalFormatting>
        <x14:conditionalFormatting xmlns:xm="http://schemas.microsoft.com/office/excel/2006/main">
          <x14:cfRule type="expression" priority="4" id="{97D491AC-D157-403A-94B6-0267A38D4EFD}">
            <xm:f>MONTH(JoMa!B115)&lt;&gt;Calendario9MesOpción</xm:f>
            <x14:dxf>
              <font>
                <color rgb="FF747474"/>
              </font>
            </x14:dxf>
          </x14:cfRule>
          <xm:sqref>B115:H115 B117:H117 B119:H119 B121:H121 B123:H123 B125:C125</xm:sqref>
        </x14:conditionalFormatting>
        <x14:conditionalFormatting xmlns:xm="http://schemas.microsoft.com/office/excel/2006/main">
          <x14:cfRule type="expression" priority="3" id="{B3235660-5A16-4137-A6ED-4747194BF867}">
            <xm:f>MONTH(JoMa!B129)&lt;&gt;Calendario10MesOpción</xm:f>
            <x14:dxf>
              <font>
                <color rgb="FF747474"/>
              </font>
            </x14:dxf>
          </x14:cfRule>
          <xm:sqref>B129:H129 B131:H131 B133:H133 B135:H135 B137:H137 B139:C139</xm:sqref>
        </x14:conditionalFormatting>
        <x14:conditionalFormatting xmlns:xm="http://schemas.microsoft.com/office/excel/2006/main">
          <x14:cfRule type="expression" priority="2" id="{7980B357-F338-4E33-B2F5-8E35DB641B81}">
            <xm:f>MONTH(JoMa!B143)&lt;&gt;Calendario11MesOpción</xm:f>
            <x14:dxf>
              <font>
                <color rgb="FF747474"/>
              </font>
            </x14:dxf>
          </x14:cfRule>
          <xm:sqref>B143:H143 B145:H145 B147:H147 B149:H149 B151:H151 B153:C153</xm:sqref>
        </x14:conditionalFormatting>
        <x14:conditionalFormatting xmlns:xm="http://schemas.microsoft.com/office/excel/2006/main">
          <x14:cfRule type="expression" priority="1" id="{BE75D7E6-24D1-439F-A6CE-D11020E168F2}">
            <xm:f>MONTH(JoMa!B157)&lt;&gt;Calendario12MesOpción</xm:f>
            <x14:dxf>
              <font>
                <color rgb="FF747474"/>
              </font>
            </x14:dxf>
          </x14:cfRule>
          <xm:sqref>B157:H157 B159:H159 B161:H161 B163:H163 B165:H165 B167:C167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4" tint="-0.249977111117893"/>
  </sheetPr>
  <dimension ref="A1:J168"/>
  <sheetViews>
    <sheetView topLeftCell="A7" workbookViewId="0">
      <selection activeCell="F22" sqref="F22"/>
    </sheetView>
  </sheetViews>
  <sheetFormatPr baseColWidth="10" defaultRowHeight="16.5" x14ac:dyDescent="0.3"/>
  <cols>
    <col min="1" max="1" width="18.25" customWidth="1"/>
    <col min="2" max="7" width="17.625" customWidth="1"/>
    <col min="8" max="8" width="2.5" customWidth="1"/>
  </cols>
  <sheetData>
    <row r="1" spans="1:9" ht="46.5" x14ac:dyDescent="0.7">
      <c r="A1" s="1">
        <f ca="1">YEAR(TODAY())</f>
        <v>2024</v>
      </c>
      <c r="B1" s="18" t="s">
        <v>2</v>
      </c>
      <c r="C1" s="13"/>
      <c r="D1" s="65"/>
      <c r="E1" s="65"/>
      <c r="F1" s="65"/>
      <c r="G1" s="19"/>
      <c r="I1" s="20"/>
    </row>
    <row r="2" spans="1:9" x14ac:dyDescent="0.3">
      <c r="A2" s="4" t="s">
        <v>0</v>
      </c>
      <c r="B2" s="5" t="str">
        <f ca="1">UPPER(TEXT(B3,"dddd"))</f>
        <v>MARTES</v>
      </c>
      <c r="C2" s="4" t="str">
        <f t="shared" ref="C2:G2" ca="1" si="0">UPPER(TEXT(C3,"dddd"))</f>
        <v>MIÉRCOLES</v>
      </c>
      <c r="D2" s="5" t="str">
        <f t="shared" ca="1" si="0"/>
        <v>JUEVES</v>
      </c>
      <c r="E2" s="4" t="str">
        <f t="shared" ca="1" si="0"/>
        <v>VIERNES</v>
      </c>
      <c r="F2" s="5" t="str">
        <f t="shared" ca="1" si="0"/>
        <v>SÁBADO</v>
      </c>
      <c r="G2" s="4" t="str">
        <f t="shared" ca="1" si="0"/>
        <v>DOMINGO</v>
      </c>
    </row>
    <row r="3" spans="1:9" ht="21" x14ac:dyDescent="0.3">
      <c r="A3" s="10">
        <f t="array" aca="1" ref="A3:G3" ca="1">Días+1+DATE(Calendario1Año,Calendario1MesOpción,1)-WEEKDAY(DATE(Calendario1Año,Calendario1MesOpción,1),DíaDeLaSemanaOpción)</f>
        <v>45292</v>
      </c>
      <c r="B3" s="10">
        <f ca="1"/>
        <v>45293</v>
      </c>
      <c r="C3" s="10">
        <f ca="1"/>
        <v>45294</v>
      </c>
      <c r="D3" s="10">
        <f ca="1"/>
        <v>45295</v>
      </c>
      <c r="E3" s="10">
        <f ca="1"/>
        <v>45296</v>
      </c>
      <c r="F3" s="10">
        <f ca="1"/>
        <v>45297</v>
      </c>
      <c r="G3" s="11">
        <f ca="1"/>
        <v>45298</v>
      </c>
    </row>
    <row r="4" spans="1:9" x14ac:dyDescent="0.3">
      <c r="A4" s="6"/>
      <c r="B4" s="6"/>
      <c r="C4" s="6"/>
      <c r="D4" s="6"/>
      <c r="E4" s="7"/>
      <c r="F4" s="6"/>
      <c r="G4" s="7"/>
    </row>
    <row r="5" spans="1:9" ht="21" x14ac:dyDescent="0.3">
      <c r="A5" s="10">
        <f t="array" aca="1" ref="A5:G5" ca="1">Días+8+DATE(Calendario1Año,Calendario1MesOpción,1)-WEEKDAY(DATE(Calendario1Año,Calendario1MesOpción,1),DíaDeLaSemanaOpción)</f>
        <v>45299</v>
      </c>
      <c r="B5" s="10">
        <f ca="1"/>
        <v>45300</v>
      </c>
      <c r="C5" s="10">
        <f ca="1"/>
        <v>45301</v>
      </c>
      <c r="D5" s="10">
        <f ca="1"/>
        <v>45302</v>
      </c>
      <c r="E5" s="10">
        <f ca="1"/>
        <v>45303</v>
      </c>
      <c r="F5" s="10">
        <f ca="1"/>
        <v>45304</v>
      </c>
      <c r="G5" s="11">
        <f ca="1"/>
        <v>45305</v>
      </c>
    </row>
    <row r="6" spans="1:9" x14ac:dyDescent="0.3">
      <c r="A6" s="6"/>
      <c r="C6" s="6"/>
      <c r="D6" s="7"/>
      <c r="E6" s="6"/>
      <c r="F6" s="6"/>
      <c r="G6" s="7"/>
    </row>
    <row r="7" spans="1:9" ht="21" x14ac:dyDescent="0.3">
      <c r="A7" s="10">
        <f t="array" aca="1" ref="A7:G7" ca="1">Días+15+DATE(Calendario1Año,Calendario1MesOpción,1)-WEEKDAY(DATE(Calendario1Año,Calendario1MesOpción,1),DíaDeLaSemanaOpción)</f>
        <v>45306</v>
      </c>
      <c r="B7" s="10">
        <f ca="1"/>
        <v>45307</v>
      </c>
      <c r="C7" s="10">
        <f ca="1"/>
        <v>45308</v>
      </c>
      <c r="D7" s="10">
        <f ca="1"/>
        <v>45309</v>
      </c>
      <c r="E7" s="10">
        <f ca="1"/>
        <v>45310</v>
      </c>
      <c r="F7" s="10">
        <f ca="1"/>
        <v>45311</v>
      </c>
      <c r="G7" s="11">
        <f ca="1"/>
        <v>45312</v>
      </c>
    </row>
    <row r="8" spans="1:9" x14ac:dyDescent="0.3">
      <c r="A8" s="43"/>
      <c r="B8" s="6"/>
      <c r="C8" s="6"/>
      <c r="D8" s="6"/>
      <c r="E8" s="24"/>
      <c r="F8" s="24"/>
      <c r="G8" s="24"/>
    </row>
    <row r="9" spans="1:9" ht="21" x14ac:dyDescent="0.3">
      <c r="A9" s="10">
        <f t="array" aca="1" ref="A9:G9" ca="1">Días+22+DATE(Calendario1Año,Calendario1MesOpción,1)-WEEKDAY(DATE(Calendario1Año,Calendario1MesOpción,1),DíaDeLaSemanaOpción)</f>
        <v>45313</v>
      </c>
      <c r="B9" s="10">
        <f ca="1"/>
        <v>45314</v>
      </c>
      <c r="C9" s="10">
        <f ca="1"/>
        <v>45315</v>
      </c>
      <c r="D9" s="10">
        <f ca="1"/>
        <v>45316</v>
      </c>
      <c r="E9" s="10">
        <f ca="1"/>
        <v>45317</v>
      </c>
      <c r="F9" s="10">
        <f ca="1"/>
        <v>45318</v>
      </c>
      <c r="G9" s="11">
        <f ca="1"/>
        <v>45319</v>
      </c>
    </row>
    <row r="10" spans="1:9" x14ac:dyDescent="0.3">
      <c r="A10" s="6"/>
      <c r="B10" s="6"/>
      <c r="C10" s="6"/>
      <c r="D10" s="6"/>
      <c r="E10" s="6"/>
      <c r="F10" s="46"/>
      <c r="G10" s="7"/>
    </row>
    <row r="11" spans="1:9" ht="21" x14ac:dyDescent="0.3">
      <c r="A11" s="10">
        <f t="array" aca="1" ref="A11:G11" ca="1">Días+29+DATE(Calendario1Año,Calendario1MesOpción,1)-WEEKDAY(DATE(Calendario1Año,Calendario1MesOpción,1),DíaDeLaSemanaOpción)</f>
        <v>45320</v>
      </c>
      <c r="B11" s="10">
        <f ca="1"/>
        <v>45321</v>
      </c>
      <c r="C11" s="10">
        <f ca="1"/>
        <v>45322</v>
      </c>
      <c r="D11" s="10">
        <f ca="1"/>
        <v>45323</v>
      </c>
      <c r="E11" s="10">
        <f ca="1"/>
        <v>45324</v>
      </c>
      <c r="F11" s="10">
        <f ca="1"/>
        <v>45325</v>
      </c>
      <c r="G11" s="11">
        <f ca="1"/>
        <v>45326</v>
      </c>
    </row>
    <row r="12" spans="1:9" x14ac:dyDescent="0.3">
      <c r="A12" s="6"/>
      <c r="B12" s="6"/>
      <c r="C12" s="6"/>
      <c r="D12" s="6"/>
      <c r="E12" s="6"/>
      <c r="F12" s="6"/>
      <c r="G12" s="7"/>
    </row>
    <row r="13" spans="1:9" ht="21" x14ac:dyDescent="0.3">
      <c r="A13" s="10">
        <f t="array" aca="1" ref="A13:B13" ca="1">Días+36+DATE(Calendario1Año,Calendario1MesOpción,1)-WEEKDAY(DATE(Calendario1Año,Calendario1MesOpción,1),DíaDeLaSemanaOpción)</f>
        <v>45327</v>
      </c>
      <c r="B13" s="10">
        <f ca="1"/>
        <v>45328</v>
      </c>
      <c r="C13" s="62" t="s">
        <v>1</v>
      </c>
      <c r="D13" s="62"/>
      <c r="E13" s="62"/>
      <c r="F13" s="62"/>
      <c r="G13" s="62"/>
    </row>
    <row r="14" spans="1:9" x14ac:dyDescent="0.3">
      <c r="A14" s="6"/>
      <c r="B14" s="6"/>
      <c r="C14" s="63"/>
      <c r="D14" s="63"/>
      <c r="E14" s="63"/>
      <c r="F14" s="63"/>
      <c r="G14" s="63"/>
    </row>
    <row r="15" spans="1:9" ht="46.5" x14ac:dyDescent="0.7">
      <c r="A15" s="1">
        <f ca="1">YEAR(DATE(Calendario1Año,Calendario1MesOpción+1,1))</f>
        <v>2024</v>
      </c>
      <c r="B15" s="17" t="str">
        <f ca="1">TEXT(DATE(Calendario1Año,Calendario1MesOpción+1,1),"mmmm")</f>
        <v>febrero</v>
      </c>
      <c r="C15" s="13"/>
      <c r="D15" s="65" t="s">
        <v>160</v>
      </c>
      <c r="E15" s="65"/>
      <c r="F15" s="65"/>
      <c r="G15" s="19" t="s">
        <v>161</v>
      </c>
      <c r="I15" s="20">
        <v>50</v>
      </c>
    </row>
    <row r="16" spans="1:9" x14ac:dyDescent="0.3">
      <c r="A16" s="4" t="str">
        <f ca="1">UPPER(TEXT(A17,"dddd"))</f>
        <v>LUNES</v>
      </c>
      <c r="B16" s="5" t="str">
        <f t="shared" ref="B16:G16" ca="1" si="1">UPPER(TEXT(B17,"dddd"))</f>
        <v>MARTES</v>
      </c>
      <c r="C16" s="4" t="str">
        <f t="shared" ca="1" si="1"/>
        <v>MIÉRCOLES</v>
      </c>
      <c r="D16" s="5" t="str">
        <f t="shared" ca="1" si="1"/>
        <v>JUEVES</v>
      </c>
      <c r="E16" s="4" t="str">
        <f t="shared" ca="1" si="1"/>
        <v>VIERNES</v>
      </c>
      <c r="F16" s="5" t="str">
        <f t="shared" ca="1" si="1"/>
        <v>SÁBADO</v>
      </c>
      <c r="G16" s="4" t="str">
        <f t="shared" ca="1" si="1"/>
        <v>DOMINGO</v>
      </c>
    </row>
    <row r="17" spans="1:10" ht="21" x14ac:dyDescent="0.3">
      <c r="A17" s="10">
        <f t="array" aca="1" ref="A17:G17" ca="1">Días+1+DATE(Calendario2Año,Calendario2MesOpción,1)-WEEKDAY(DATE(Calendario2Año,Calendario2MesOpción,1),DíaDeLaSemanaOpción)</f>
        <v>45320</v>
      </c>
      <c r="B17" s="10">
        <f ca="1"/>
        <v>45321</v>
      </c>
      <c r="C17" s="10">
        <f ca="1"/>
        <v>45322</v>
      </c>
      <c r="D17" s="10">
        <f ca="1"/>
        <v>45323</v>
      </c>
      <c r="E17" s="10">
        <f ca="1"/>
        <v>45324</v>
      </c>
      <c r="F17" s="10">
        <f ca="1"/>
        <v>45325</v>
      </c>
      <c r="G17" s="11">
        <f ca="1"/>
        <v>45326</v>
      </c>
    </row>
    <row r="18" spans="1:10" ht="28.5" x14ac:dyDescent="0.3">
      <c r="A18" s="6"/>
      <c r="B18" s="6"/>
      <c r="C18" s="6"/>
      <c r="D18" s="37" t="s">
        <v>152</v>
      </c>
      <c r="E18" s="30" t="s">
        <v>153</v>
      </c>
      <c r="F18" s="30" t="s">
        <v>154</v>
      </c>
      <c r="G18" s="30" t="s">
        <v>155</v>
      </c>
    </row>
    <row r="19" spans="1:10" ht="21" x14ac:dyDescent="0.3">
      <c r="A19" s="10">
        <f t="array" aca="1" ref="A19:G19" ca="1">Días+8+DATE(Calendario2Año,Calendario2MesOpción,1)-WEEKDAY(DATE(Calendario2Año,Calendario2MesOpción,1),DíaDeLaSemanaOpción)</f>
        <v>45327</v>
      </c>
      <c r="B19" s="10">
        <f ca="1"/>
        <v>45328</v>
      </c>
      <c r="C19" s="10">
        <f ca="1"/>
        <v>45329</v>
      </c>
      <c r="D19" s="10">
        <f ca="1"/>
        <v>45330</v>
      </c>
      <c r="E19" s="10">
        <f ca="1"/>
        <v>45331</v>
      </c>
      <c r="F19" s="10">
        <f ca="1"/>
        <v>45332</v>
      </c>
      <c r="G19" s="11">
        <f ca="1"/>
        <v>45333</v>
      </c>
    </row>
    <row r="20" spans="1:10" ht="28.5" x14ac:dyDescent="0.3">
      <c r="A20" s="30" t="s">
        <v>153</v>
      </c>
      <c r="B20" s="30" t="s">
        <v>178</v>
      </c>
      <c r="C20" s="30" t="s">
        <v>153</v>
      </c>
      <c r="D20" s="30" t="s">
        <v>178</v>
      </c>
      <c r="E20" s="30" t="s">
        <v>153</v>
      </c>
      <c r="F20" s="24" t="s">
        <v>154</v>
      </c>
      <c r="G20" s="24" t="s">
        <v>178</v>
      </c>
    </row>
    <row r="21" spans="1:10" ht="21" x14ac:dyDescent="0.3">
      <c r="A21" s="10">
        <f t="array" aca="1" ref="A21:G21" ca="1">Días+15+DATE(Calendario2Año,Calendario2MesOpción,1)-WEEKDAY(DATE(Calendario2Año,Calendario2MesOpción,1),DíaDeLaSemanaOpción)</f>
        <v>45334</v>
      </c>
      <c r="B21" s="10">
        <f ca="1"/>
        <v>45335</v>
      </c>
      <c r="C21" s="10">
        <f ca="1"/>
        <v>45336</v>
      </c>
      <c r="D21" s="10">
        <f ca="1"/>
        <v>45337</v>
      </c>
      <c r="E21" s="10">
        <f ca="1"/>
        <v>45338</v>
      </c>
      <c r="F21" s="10">
        <f ca="1"/>
        <v>45339</v>
      </c>
      <c r="G21" s="11">
        <f ca="1"/>
        <v>45340</v>
      </c>
    </row>
    <row r="22" spans="1:10" ht="28.5" x14ac:dyDescent="0.3">
      <c r="A22" s="24" t="s">
        <v>153</v>
      </c>
      <c r="B22" s="24" t="s">
        <v>178</v>
      </c>
      <c r="C22" s="24" t="s">
        <v>153</v>
      </c>
      <c r="D22" s="24" t="s">
        <v>178</v>
      </c>
      <c r="E22" s="24" t="s">
        <v>153</v>
      </c>
      <c r="F22" s="24" t="s">
        <v>154</v>
      </c>
      <c r="G22" s="24" t="s">
        <v>155</v>
      </c>
      <c r="I22">
        <f>1400*7</f>
        <v>9800</v>
      </c>
      <c r="J22">
        <f>I22*1.16</f>
        <v>11368</v>
      </c>
    </row>
    <row r="23" spans="1:10" ht="21" x14ac:dyDescent="0.3">
      <c r="A23" s="10">
        <f t="array" aca="1" ref="A23:G23" ca="1">Días+22+DATE(Calendario2Año,Calendario2MesOpción,1)-WEEKDAY(DATE(Calendario2Año,Calendario2MesOpción,1),DíaDeLaSemanaOpción)</f>
        <v>45341</v>
      </c>
      <c r="B23" s="10">
        <f ca="1"/>
        <v>45342</v>
      </c>
      <c r="C23" s="10">
        <f ca="1"/>
        <v>45343</v>
      </c>
      <c r="D23" s="10">
        <f ca="1"/>
        <v>45344</v>
      </c>
      <c r="E23" s="10">
        <f ca="1"/>
        <v>45345</v>
      </c>
      <c r="F23" s="10">
        <f ca="1"/>
        <v>45346</v>
      </c>
      <c r="G23" s="11">
        <f ca="1"/>
        <v>45347</v>
      </c>
    </row>
    <row r="24" spans="1:10" ht="28.5" x14ac:dyDescent="0.3">
      <c r="A24" s="24" t="s">
        <v>153</v>
      </c>
      <c r="B24" s="24" t="s">
        <v>155</v>
      </c>
      <c r="C24" s="24" t="s">
        <v>153</v>
      </c>
      <c r="D24" s="24" t="s">
        <v>155</v>
      </c>
      <c r="E24" s="24" t="s">
        <v>153</v>
      </c>
      <c r="F24" s="24" t="s">
        <v>154</v>
      </c>
      <c r="G24" s="24" t="s">
        <v>155</v>
      </c>
    </row>
    <row r="25" spans="1:10" ht="21" x14ac:dyDescent="0.3">
      <c r="A25" s="10">
        <f t="array" aca="1" ref="A25:G25" ca="1">Días+29+DATE(Calendario2Año,Calendario2MesOpción,1)-WEEKDAY(DATE(Calendario2Año,Calendario2MesOpción,1),DíaDeLaSemanaOpción)</f>
        <v>45348</v>
      </c>
      <c r="B25" s="10">
        <f ca="1"/>
        <v>45349</v>
      </c>
      <c r="C25" s="10">
        <f ca="1"/>
        <v>45350</v>
      </c>
      <c r="D25" s="10">
        <f ca="1"/>
        <v>45351</v>
      </c>
      <c r="E25" s="10">
        <f ca="1"/>
        <v>45352</v>
      </c>
      <c r="F25" s="10">
        <f ca="1"/>
        <v>45353</v>
      </c>
      <c r="G25" s="11">
        <f ca="1"/>
        <v>45354</v>
      </c>
    </row>
    <row r="26" spans="1:10" ht="28.5" x14ac:dyDescent="0.3">
      <c r="A26" s="24" t="s">
        <v>153</v>
      </c>
      <c r="B26" s="24" t="s">
        <v>155</v>
      </c>
      <c r="C26" s="24" t="s">
        <v>153</v>
      </c>
      <c r="D26" s="24" t="s">
        <v>155</v>
      </c>
      <c r="E26" s="24"/>
      <c r="F26" s="24"/>
      <c r="G26" s="24"/>
    </row>
    <row r="27" spans="1:10" ht="21" x14ac:dyDescent="0.3">
      <c r="A27" s="10">
        <f t="array" aca="1" ref="A27:B27" ca="1">Días+36+DATE(Calendario2Año,Calendario2MesOpción,1)-WEEKDAY(DATE(Calendario2Año,Calendario2MesOpción,1),DíaDeLaSemanaOpción)</f>
        <v>45355</v>
      </c>
      <c r="B27" s="10">
        <f ca="1"/>
        <v>45356</v>
      </c>
      <c r="C27" s="62" t="s">
        <v>1</v>
      </c>
      <c r="D27" s="62"/>
      <c r="E27" s="62"/>
      <c r="F27" s="62"/>
      <c r="G27" s="62"/>
    </row>
    <row r="28" spans="1:10" x14ac:dyDescent="0.3">
      <c r="A28" s="6"/>
      <c r="B28" s="6"/>
      <c r="C28" s="63"/>
      <c r="D28" s="63"/>
      <c r="E28" s="63"/>
      <c r="F28" s="63"/>
      <c r="G28" s="63"/>
    </row>
    <row r="29" spans="1:10" ht="46.5" x14ac:dyDescent="0.7">
      <c r="A29" s="1">
        <f ca="1">YEAR(DATE(Calendario2Año,Calendario2MesOpción+1,1))</f>
        <v>2024</v>
      </c>
      <c r="B29" s="13" t="str">
        <f ca="1">TEXT(DATE(Calendario2Año,Calendario2MesOpción+1,1),"mmmm")</f>
        <v>marzo</v>
      </c>
      <c r="C29" s="13"/>
      <c r="D29" s="13"/>
      <c r="E29" s="2"/>
      <c r="F29" s="2"/>
      <c r="G29" s="2"/>
    </row>
    <row r="30" spans="1:10" x14ac:dyDescent="0.3">
      <c r="A30" s="4" t="str">
        <f ca="1">UPPER(TEXT(A31,"dddd"))</f>
        <v>LUNES</v>
      </c>
      <c r="B30" s="5" t="str">
        <f t="shared" ref="B30:G30" ca="1" si="2">UPPER(TEXT(B31,"dddd"))</f>
        <v>MARTES</v>
      </c>
      <c r="C30" s="4" t="str">
        <f t="shared" ca="1" si="2"/>
        <v>MIÉRCOLES</v>
      </c>
      <c r="D30" s="5" t="str">
        <f t="shared" ca="1" si="2"/>
        <v>JUEVES</v>
      </c>
      <c r="E30" s="4" t="str">
        <f t="shared" ca="1" si="2"/>
        <v>VIERNES</v>
      </c>
      <c r="F30" s="5" t="str">
        <f t="shared" ca="1" si="2"/>
        <v>SÁBADO</v>
      </c>
      <c r="G30" s="4" t="str">
        <f t="shared" ca="1" si="2"/>
        <v>DOMINGO</v>
      </c>
    </row>
    <row r="31" spans="1:10" ht="21" x14ac:dyDescent="0.3">
      <c r="A31" s="10">
        <f t="array" aca="1" ref="A31:G31" ca="1">Días+1+DATE(Calendario3Año,Calendario3MesOpción,1)-WEEKDAY(DATE(Calendario3Año,Calendario3MesOpción,1),DíaDeLaSemanaOpción)</f>
        <v>45348</v>
      </c>
      <c r="B31" s="10">
        <f ca="1"/>
        <v>45349</v>
      </c>
      <c r="C31" s="10">
        <f ca="1"/>
        <v>45350</v>
      </c>
      <c r="D31" s="10">
        <f ca="1"/>
        <v>45351</v>
      </c>
      <c r="E31" s="10">
        <f ca="1"/>
        <v>45352</v>
      </c>
      <c r="F31" s="10">
        <f ca="1"/>
        <v>45353</v>
      </c>
      <c r="G31" s="11">
        <f ca="1"/>
        <v>45354</v>
      </c>
    </row>
    <row r="32" spans="1:10" x14ac:dyDescent="0.3">
      <c r="A32" s="6"/>
      <c r="B32" s="6"/>
      <c r="C32" s="6"/>
      <c r="D32" s="6"/>
      <c r="E32" s="6"/>
      <c r="F32" s="6"/>
      <c r="G32" s="7"/>
    </row>
    <row r="33" spans="1:7" ht="21" x14ac:dyDescent="0.3">
      <c r="A33" s="10">
        <f t="array" aca="1" ref="A33:G33" ca="1">Días+8+DATE(Calendario3Año,Calendario3MesOpción,1)-WEEKDAY(DATE(Calendario3Año,Calendario3MesOpción,1),DíaDeLaSemanaOpción)</f>
        <v>45355</v>
      </c>
      <c r="B33" s="10">
        <f ca="1"/>
        <v>45356</v>
      </c>
      <c r="C33" s="10">
        <f ca="1"/>
        <v>45357</v>
      </c>
      <c r="D33" s="10">
        <f ca="1"/>
        <v>45358</v>
      </c>
      <c r="E33" s="10">
        <f ca="1"/>
        <v>45359</v>
      </c>
      <c r="F33" s="10">
        <f ca="1"/>
        <v>45360</v>
      </c>
      <c r="G33" s="11">
        <f ca="1"/>
        <v>45361</v>
      </c>
    </row>
    <row r="34" spans="1:7" x14ac:dyDescent="0.3">
      <c r="A34" s="6"/>
      <c r="B34" s="6"/>
      <c r="C34" s="6"/>
      <c r="D34" s="6"/>
      <c r="E34" s="6"/>
      <c r="F34" s="6"/>
      <c r="G34" s="7"/>
    </row>
    <row r="35" spans="1:7" ht="21" x14ac:dyDescent="0.3">
      <c r="A35" s="10">
        <f t="array" aca="1" ref="A35:G35" ca="1">Días+15+DATE(Calendario3Año,Calendario3MesOpción,1)-WEEKDAY(DATE(Calendario3Año,Calendario3MesOpción,1),DíaDeLaSemanaOpción)</f>
        <v>45362</v>
      </c>
      <c r="B35" s="10">
        <f ca="1"/>
        <v>45363</v>
      </c>
      <c r="C35" s="10">
        <f ca="1"/>
        <v>45364</v>
      </c>
      <c r="D35" s="10">
        <f ca="1"/>
        <v>45365</v>
      </c>
      <c r="E35" s="10">
        <f ca="1"/>
        <v>45366</v>
      </c>
      <c r="F35" s="10">
        <f ca="1"/>
        <v>45367</v>
      </c>
      <c r="G35" s="11">
        <f ca="1"/>
        <v>45368</v>
      </c>
    </row>
    <row r="36" spans="1:7" x14ac:dyDescent="0.3">
      <c r="A36" s="6"/>
      <c r="B36" s="6"/>
      <c r="C36" s="6"/>
      <c r="D36" s="6"/>
      <c r="E36" s="6"/>
      <c r="F36" s="6"/>
      <c r="G36" s="7"/>
    </row>
    <row r="37" spans="1:7" ht="21" x14ac:dyDescent="0.3">
      <c r="A37" s="10">
        <f t="array" aca="1" ref="A37:G37" ca="1">Días+22+DATE(Calendario3Año,Calendario3MesOpción,1)-WEEKDAY(DATE(Calendario3Año,Calendario3MesOpción,1),DíaDeLaSemanaOpción)</f>
        <v>45369</v>
      </c>
      <c r="B37" s="10">
        <f ca="1"/>
        <v>45370</v>
      </c>
      <c r="C37" s="10">
        <f ca="1"/>
        <v>45371</v>
      </c>
      <c r="D37" s="10">
        <f ca="1"/>
        <v>45372</v>
      </c>
      <c r="E37" s="10">
        <f ca="1"/>
        <v>45373</v>
      </c>
      <c r="F37" s="10">
        <f ca="1"/>
        <v>45374</v>
      </c>
      <c r="G37" s="11">
        <f ca="1"/>
        <v>45375</v>
      </c>
    </row>
    <row r="38" spans="1:7" x14ac:dyDescent="0.3">
      <c r="A38" s="6"/>
      <c r="B38" s="6"/>
      <c r="C38" s="6"/>
      <c r="D38" s="6"/>
      <c r="E38" s="6"/>
      <c r="F38" s="6"/>
      <c r="G38" s="7"/>
    </row>
    <row r="39" spans="1:7" ht="21" x14ac:dyDescent="0.3">
      <c r="A39" s="10">
        <f t="array" aca="1" ref="A39:G39" ca="1">Días+29+DATE(Calendario3Año,Calendario3MesOpción,1)-WEEKDAY(DATE(Calendario3Año,Calendario3MesOpción,1),DíaDeLaSemanaOpción)</f>
        <v>45376</v>
      </c>
      <c r="B39" s="10">
        <f ca="1"/>
        <v>45377</v>
      </c>
      <c r="C39" s="10">
        <f ca="1"/>
        <v>45378</v>
      </c>
      <c r="D39" s="10">
        <f ca="1"/>
        <v>45379</v>
      </c>
      <c r="E39" s="10">
        <f ca="1"/>
        <v>45380</v>
      </c>
      <c r="F39" s="10">
        <f ca="1"/>
        <v>45381</v>
      </c>
      <c r="G39" s="11">
        <f ca="1"/>
        <v>45382</v>
      </c>
    </row>
    <row r="40" spans="1:7" x14ac:dyDescent="0.3">
      <c r="A40" s="6"/>
      <c r="B40" s="6"/>
      <c r="C40" s="6"/>
      <c r="D40" s="6"/>
      <c r="E40" s="6"/>
      <c r="F40" s="6"/>
      <c r="G40" s="8"/>
    </row>
    <row r="41" spans="1:7" ht="21" x14ac:dyDescent="0.3">
      <c r="A41" s="10">
        <f t="array" aca="1" ref="A41:B41" ca="1">Días+36+DATE(Calendario3Año,Calendario3MesOpción,1)-WEEKDAY(DATE(Calendario3Año,Calendario3MesOpción,1),DíaDeLaSemanaOpción)</f>
        <v>45383</v>
      </c>
      <c r="B41" s="10">
        <f ca="1"/>
        <v>45384</v>
      </c>
      <c r="C41" s="62" t="s">
        <v>1</v>
      </c>
      <c r="D41" s="62"/>
      <c r="E41" s="62"/>
      <c r="F41" s="62"/>
      <c r="G41" s="62"/>
    </row>
    <row r="42" spans="1:7" x14ac:dyDescent="0.3">
      <c r="A42" s="6"/>
      <c r="B42" s="6"/>
      <c r="C42" s="63"/>
      <c r="D42" s="63"/>
      <c r="E42" s="63"/>
      <c r="F42" s="63"/>
      <c r="G42" s="63"/>
    </row>
    <row r="43" spans="1:7" ht="46.5" x14ac:dyDescent="0.7">
      <c r="A43" s="1">
        <f ca="1">YEAR(DATE(Calendario3Año,Calendario3MesOpción+1,1))</f>
        <v>2024</v>
      </c>
      <c r="B43" s="64" t="str">
        <f ca="1">TEXT(DATE(Calendario3Año,Calendario3MesOpción+1,1),"mmmm")</f>
        <v>abril</v>
      </c>
      <c r="C43" s="64"/>
      <c r="D43" s="64"/>
      <c r="E43" s="2"/>
      <c r="F43" s="2"/>
      <c r="G43" s="2"/>
    </row>
    <row r="44" spans="1:7" x14ac:dyDescent="0.3">
      <c r="A44" s="4" t="str">
        <f ca="1">UPPER(TEXT(A45,"dddd"))</f>
        <v>LUNES</v>
      </c>
      <c r="B44" s="5" t="str">
        <f t="shared" ref="B44:G44" ca="1" si="3">UPPER(TEXT(B45,"dddd"))</f>
        <v>MARTES</v>
      </c>
      <c r="C44" s="4" t="str">
        <f t="shared" ca="1" si="3"/>
        <v>MIÉRCOLES</v>
      </c>
      <c r="D44" s="5" t="str">
        <f t="shared" ca="1" si="3"/>
        <v>JUEVES</v>
      </c>
      <c r="E44" s="4" t="str">
        <f t="shared" ca="1" si="3"/>
        <v>VIERNES</v>
      </c>
      <c r="F44" s="5" t="str">
        <f t="shared" ca="1" si="3"/>
        <v>SÁBADO</v>
      </c>
      <c r="G44" s="4" t="str">
        <f t="shared" ca="1" si="3"/>
        <v>DOMINGO</v>
      </c>
    </row>
    <row r="45" spans="1:7" ht="21" x14ac:dyDescent="0.3">
      <c r="A45" s="10">
        <f t="array" aca="1" ref="A45:G45" ca="1">Días+1+DATE(Calendario4Año,Calendario4MesOpción,1)-WEEKDAY(DATE(Calendario4Año,Calendario4MesOpción,1),DíaDeLaSemanaOpción)</f>
        <v>45383</v>
      </c>
      <c r="B45" s="10">
        <f ca="1"/>
        <v>45384</v>
      </c>
      <c r="C45" s="10">
        <f ca="1"/>
        <v>45385</v>
      </c>
      <c r="D45" s="10">
        <f ca="1"/>
        <v>45386</v>
      </c>
      <c r="E45" s="10">
        <f ca="1"/>
        <v>45387</v>
      </c>
      <c r="F45" s="10">
        <f ca="1"/>
        <v>45388</v>
      </c>
      <c r="G45" s="11">
        <f ca="1"/>
        <v>45389</v>
      </c>
    </row>
    <row r="46" spans="1:7" x14ac:dyDescent="0.3">
      <c r="A46" s="6"/>
      <c r="B46" s="6"/>
      <c r="C46" s="6"/>
      <c r="D46" s="6"/>
      <c r="E46" s="6"/>
      <c r="F46" s="6"/>
      <c r="G46" s="7"/>
    </row>
    <row r="47" spans="1:7" ht="21" x14ac:dyDescent="0.3">
      <c r="A47" s="10">
        <f t="array" aca="1" ref="A47:G47" ca="1">Días+8+DATE(Calendario4Año,Calendario4MesOpción,1)-WEEKDAY(DATE(Calendario4Año,Calendario4MesOpción,1),DíaDeLaSemanaOpción)</f>
        <v>45390</v>
      </c>
      <c r="B47" s="10">
        <f ca="1"/>
        <v>45391</v>
      </c>
      <c r="C47" s="10">
        <f ca="1"/>
        <v>45392</v>
      </c>
      <c r="D47" s="10">
        <f ca="1"/>
        <v>45393</v>
      </c>
      <c r="E47" s="10">
        <f ca="1"/>
        <v>45394</v>
      </c>
      <c r="F47" s="10">
        <f ca="1"/>
        <v>45395</v>
      </c>
      <c r="G47" s="11">
        <f ca="1"/>
        <v>45396</v>
      </c>
    </row>
    <row r="48" spans="1:7" x14ac:dyDescent="0.3">
      <c r="A48" s="6"/>
      <c r="B48" s="6"/>
      <c r="C48" s="6"/>
      <c r="D48" s="6"/>
      <c r="E48" s="6"/>
      <c r="F48" s="6"/>
      <c r="G48" s="7"/>
    </row>
    <row r="49" spans="1:7" ht="21" x14ac:dyDescent="0.3">
      <c r="A49" s="10">
        <f t="array" aca="1" ref="A49:G49" ca="1">Días+15+DATE(Calendario4Año,Calendario4MesOpción,1)-WEEKDAY(DATE(Calendario4Año,Calendario4MesOpción,1),DíaDeLaSemanaOpción)</f>
        <v>45397</v>
      </c>
      <c r="B49" s="10">
        <f ca="1"/>
        <v>45398</v>
      </c>
      <c r="C49" s="10">
        <f ca="1"/>
        <v>45399</v>
      </c>
      <c r="D49" s="10">
        <f ca="1"/>
        <v>45400</v>
      </c>
      <c r="E49" s="10">
        <f ca="1"/>
        <v>45401</v>
      </c>
      <c r="F49" s="10">
        <f ca="1"/>
        <v>45402</v>
      </c>
      <c r="G49" s="11">
        <f ca="1"/>
        <v>45403</v>
      </c>
    </row>
    <row r="50" spans="1:7" x14ac:dyDescent="0.3">
      <c r="A50" s="6"/>
      <c r="B50" s="6"/>
      <c r="C50" s="6"/>
      <c r="D50" s="6"/>
      <c r="E50" s="6"/>
      <c r="F50" s="6"/>
      <c r="G50" s="7"/>
    </row>
    <row r="51" spans="1:7" ht="21" x14ac:dyDescent="0.3">
      <c r="A51" s="10">
        <f t="array" aca="1" ref="A51:G51" ca="1">Días+22+DATE(Calendario4Año,Calendario4MesOpción,1)-WEEKDAY(DATE(Calendario4Año,Calendario4MesOpción,1),DíaDeLaSemanaOpción)</f>
        <v>45404</v>
      </c>
      <c r="B51" s="10">
        <f ca="1"/>
        <v>45405</v>
      </c>
      <c r="C51" s="10">
        <f ca="1"/>
        <v>45406</v>
      </c>
      <c r="D51" s="10">
        <f ca="1"/>
        <v>45407</v>
      </c>
      <c r="E51" s="10">
        <f ca="1"/>
        <v>45408</v>
      </c>
      <c r="F51" s="10">
        <f ca="1"/>
        <v>45409</v>
      </c>
      <c r="G51" s="11">
        <f ca="1"/>
        <v>45410</v>
      </c>
    </row>
    <row r="52" spans="1:7" x14ac:dyDescent="0.3">
      <c r="A52" s="6"/>
      <c r="B52" s="6"/>
      <c r="C52" s="6"/>
      <c r="D52" s="6"/>
      <c r="E52" s="6"/>
      <c r="F52" s="6"/>
      <c r="G52" s="7"/>
    </row>
    <row r="53" spans="1:7" ht="21" x14ac:dyDescent="0.3">
      <c r="A53" s="10">
        <f t="array" aca="1" ref="A53:G53" ca="1">Días+29+DATE(Calendario4Año,Calendario4MesOpción,1)-WEEKDAY(DATE(Calendario4Año,Calendario4MesOpción,1),DíaDeLaSemanaOpción)</f>
        <v>45411</v>
      </c>
      <c r="B53" s="10">
        <f ca="1"/>
        <v>45412</v>
      </c>
      <c r="C53" s="10">
        <f ca="1"/>
        <v>45413</v>
      </c>
      <c r="D53" s="10">
        <f ca="1"/>
        <v>45414</v>
      </c>
      <c r="E53" s="10">
        <f ca="1"/>
        <v>45415</v>
      </c>
      <c r="F53" s="10">
        <f ca="1"/>
        <v>45416</v>
      </c>
      <c r="G53" s="11">
        <f ca="1"/>
        <v>45417</v>
      </c>
    </row>
    <row r="54" spans="1:7" x14ac:dyDescent="0.3">
      <c r="A54" s="6"/>
      <c r="B54" s="6"/>
      <c r="C54" s="6"/>
      <c r="D54" s="6"/>
      <c r="E54" s="6"/>
      <c r="F54" s="6"/>
      <c r="G54" s="8"/>
    </row>
    <row r="55" spans="1:7" ht="21" x14ac:dyDescent="0.3">
      <c r="A55" s="10">
        <f t="array" aca="1" ref="A55:B55" ca="1">Días+36+DATE(Calendario4Año,Calendario4MesOpción,1)-WEEKDAY(DATE(Calendario4Año,Calendario4MesOpción,1),DíaDeLaSemanaOpción)</f>
        <v>45418</v>
      </c>
      <c r="B55" s="10">
        <f ca="1"/>
        <v>45419</v>
      </c>
      <c r="C55" s="61" t="s">
        <v>1</v>
      </c>
      <c r="D55" s="62"/>
      <c r="E55" s="62"/>
      <c r="F55" s="62"/>
      <c r="G55" s="62"/>
    </row>
    <row r="56" spans="1:7" x14ac:dyDescent="0.3">
      <c r="A56" s="6"/>
      <c r="B56" s="6"/>
      <c r="C56" s="63"/>
      <c r="D56" s="63"/>
      <c r="E56" s="63"/>
      <c r="F56" s="63"/>
      <c r="G56" s="63"/>
    </row>
    <row r="57" spans="1:7" ht="46.5" x14ac:dyDescent="0.7">
      <c r="A57" s="1">
        <f ca="1">YEAR(DATE(Calendario4Año,Calendario4MesOpción+1,1))</f>
        <v>2024</v>
      </c>
      <c r="B57" s="64" t="str">
        <f ca="1">TEXT(DATE(Calendario4Año,Calendario4MesOpción+1,1),"mmmm")</f>
        <v>mayo</v>
      </c>
      <c r="C57" s="64"/>
      <c r="D57" s="64"/>
      <c r="E57" s="2"/>
      <c r="F57" s="2"/>
      <c r="G57" s="2"/>
    </row>
    <row r="58" spans="1:7" x14ac:dyDescent="0.3">
      <c r="A58" s="4" t="str">
        <f ca="1">UPPER(TEXT(A59,"dddd"))</f>
        <v>LUNES</v>
      </c>
      <c r="B58" s="5" t="str">
        <f t="shared" ref="B58:G58" ca="1" si="4">UPPER(TEXT(B59,"dddd"))</f>
        <v>MARTES</v>
      </c>
      <c r="C58" s="4" t="str">
        <f t="shared" ca="1" si="4"/>
        <v>MIÉRCOLES</v>
      </c>
      <c r="D58" s="5" t="str">
        <f t="shared" ca="1" si="4"/>
        <v>JUEVES</v>
      </c>
      <c r="E58" s="4" t="str">
        <f t="shared" ca="1" si="4"/>
        <v>VIERNES</v>
      </c>
      <c r="F58" s="5" t="str">
        <f t="shared" ca="1" si="4"/>
        <v>SÁBADO</v>
      </c>
      <c r="G58" s="4" t="str">
        <f t="shared" ca="1" si="4"/>
        <v>DOMINGO</v>
      </c>
    </row>
    <row r="59" spans="1:7" ht="21" x14ac:dyDescent="0.3">
      <c r="A59" s="10">
        <f t="array" aca="1" ref="A59:G59" ca="1">Días+1+DATE(Calendario5Año,Calendario5MesOpción,1)-WEEKDAY(DATE(Calendario5Año,Calendario5MesOpción,1),DíaDeLaSemanaOpción)</f>
        <v>45411</v>
      </c>
      <c r="B59" s="10">
        <f ca="1"/>
        <v>45412</v>
      </c>
      <c r="C59" s="10">
        <f ca="1"/>
        <v>45413</v>
      </c>
      <c r="D59" s="10">
        <f ca="1"/>
        <v>45414</v>
      </c>
      <c r="E59" s="10">
        <f ca="1"/>
        <v>45415</v>
      </c>
      <c r="F59" s="10">
        <f ca="1"/>
        <v>45416</v>
      </c>
      <c r="G59" s="11">
        <f ca="1"/>
        <v>45417</v>
      </c>
    </row>
    <row r="60" spans="1:7" x14ac:dyDescent="0.3">
      <c r="A60" s="6"/>
      <c r="B60" s="6"/>
      <c r="C60" s="6"/>
      <c r="D60" s="6"/>
      <c r="E60" s="6"/>
      <c r="F60" s="6"/>
      <c r="G60" s="7"/>
    </row>
    <row r="61" spans="1:7" ht="21" x14ac:dyDescent="0.3">
      <c r="A61" s="10">
        <f t="array" aca="1" ref="A61:G61" ca="1">Días+8+DATE(Calendario5Año,Calendario5MesOpción,1)-WEEKDAY(DATE(Calendario5Año,Calendario5MesOpción,1),DíaDeLaSemanaOpción)</f>
        <v>45418</v>
      </c>
      <c r="B61" s="10">
        <f ca="1"/>
        <v>45419</v>
      </c>
      <c r="C61" s="10">
        <f ca="1"/>
        <v>45420</v>
      </c>
      <c r="D61" s="10">
        <f ca="1"/>
        <v>45421</v>
      </c>
      <c r="E61" s="10">
        <f ca="1"/>
        <v>45422</v>
      </c>
      <c r="F61" s="10">
        <f ca="1"/>
        <v>45423</v>
      </c>
      <c r="G61" s="11">
        <f ca="1"/>
        <v>45424</v>
      </c>
    </row>
    <row r="62" spans="1:7" x14ac:dyDescent="0.3">
      <c r="A62" s="6"/>
      <c r="B62" s="6"/>
      <c r="C62" s="6"/>
      <c r="D62" s="6"/>
      <c r="E62" s="6"/>
      <c r="F62" s="6"/>
      <c r="G62" s="7"/>
    </row>
    <row r="63" spans="1:7" ht="21" x14ac:dyDescent="0.3">
      <c r="A63" s="10">
        <f t="array" aca="1" ref="A63:G63" ca="1">Días+15+DATE(Calendario5Año,Calendario5MesOpción,1)-WEEKDAY(DATE(Calendario5Año,Calendario5MesOpción,1),DíaDeLaSemanaOpción)</f>
        <v>45425</v>
      </c>
      <c r="B63" s="10">
        <f ca="1"/>
        <v>45426</v>
      </c>
      <c r="C63" s="10">
        <f ca="1"/>
        <v>45427</v>
      </c>
      <c r="D63" s="10">
        <f ca="1"/>
        <v>45428</v>
      </c>
      <c r="E63" s="10">
        <f ca="1"/>
        <v>45429</v>
      </c>
      <c r="F63" s="10">
        <f ca="1"/>
        <v>45430</v>
      </c>
      <c r="G63" s="11">
        <f ca="1"/>
        <v>45431</v>
      </c>
    </row>
    <row r="64" spans="1:7" x14ac:dyDescent="0.3">
      <c r="A64" s="6"/>
      <c r="B64" s="6"/>
      <c r="C64" s="6"/>
      <c r="D64" s="6"/>
      <c r="E64" s="6"/>
      <c r="F64" s="6"/>
      <c r="G64" s="7"/>
    </row>
    <row r="65" spans="1:7" ht="21" x14ac:dyDescent="0.3">
      <c r="A65" s="10">
        <f t="array" aca="1" ref="A65:G65" ca="1">Días+22+DATE(Calendario5Año,Calendario5MesOpción,1)-WEEKDAY(DATE(Calendario5Año,Calendario5MesOpción,1),DíaDeLaSemanaOpción)</f>
        <v>45432</v>
      </c>
      <c r="B65" s="10">
        <f ca="1"/>
        <v>45433</v>
      </c>
      <c r="C65" s="10">
        <f ca="1"/>
        <v>45434</v>
      </c>
      <c r="D65" s="10">
        <f ca="1"/>
        <v>45435</v>
      </c>
      <c r="E65" s="10">
        <f ca="1"/>
        <v>45436</v>
      </c>
      <c r="F65" s="10">
        <f ca="1"/>
        <v>45437</v>
      </c>
      <c r="G65" s="11">
        <f ca="1"/>
        <v>45438</v>
      </c>
    </row>
    <row r="66" spans="1:7" x14ac:dyDescent="0.3">
      <c r="A66" s="6"/>
      <c r="B66" s="6"/>
      <c r="C66" s="6"/>
      <c r="D66" s="6"/>
      <c r="E66" s="6"/>
      <c r="F66" s="6"/>
      <c r="G66" s="7"/>
    </row>
    <row r="67" spans="1:7" ht="21" x14ac:dyDescent="0.3">
      <c r="A67" s="10">
        <f t="array" aca="1" ref="A67:G67" ca="1">Días+29+DATE(Calendario5Año,Calendario5MesOpción,1)-WEEKDAY(DATE(Calendario5Año,Calendario5MesOpción,1),DíaDeLaSemanaOpción)</f>
        <v>45439</v>
      </c>
      <c r="B67" s="10">
        <f ca="1"/>
        <v>45440</v>
      </c>
      <c r="C67" s="10">
        <f ca="1"/>
        <v>45441</v>
      </c>
      <c r="D67" s="10">
        <f ca="1"/>
        <v>45442</v>
      </c>
      <c r="E67" s="10">
        <f ca="1"/>
        <v>45443</v>
      </c>
      <c r="F67" s="10">
        <f ca="1"/>
        <v>45444</v>
      </c>
      <c r="G67" s="11">
        <f ca="1"/>
        <v>45445</v>
      </c>
    </row>
    <row r="68" spans="1:7" x14ac:dyDescent="0.3">
      <c r="A68" s="6"/>
      <c r="B68" s="6"/>
      <c r="C68" s="6"/>
      <c r="D68" s="6"/>
      <c r="E68" s="6"/>
      <c r="F68" s="6"/>
      <c r="G68" s="8"/>
    </row>
    <row r="69" spans="1:7" ht="21" x14ac:dyDescent="0.3">
      <c r="A69" s="10">
        <f t="array" aca="1" ref="A69:B69" ca="1">Días+36+DATE(Calendario5Año,Calendario5MesOpción,1)-WEEKDAY(DATE(Calendario5Año,Calendario5MesOpción,1),DíaDeLaSemanaOpción)</f>
        <v>45446</v>
      </c>
      <c r="B69" s="10">
        <f ca="1"/>
        <v>45447</v>
      </c>
      <c r="C69" s="61" t="s">
        <v>1</v>
      </c>
      <c r="D69" s="62"/>
      <c r="E69" s="62"/>
      <c r="F69" s="62"/>
      <c r="G69" s="62"/>
    </row>
    <row r="70" spans="1:7" x14ac:dyDescent="0.3">
      <c r="A70" s="6"/>
      <c r="B70" s="6"/>
      <c r="C70" s="63"/>
      <c r="D70" s="63"/>
      <c r="E70" s="63"/>
      <c r="F70" s="63"/>
      <c r="G70" s="63"/>
    </row>
    <row r="71" spans="1:7" ht="46.5" x14ac:dyDescent="0.7">
      <c r="A71" s="1">
        <f ca="1">YEAR(DATE(Calendario5Año,Calendario5MesOpción+1,1))</f>
        <v>2024</v>
      </c>
      <c r="B71" s="64" t="str">
        <f ca="1">TEXT(DATE(Calendario5Año,Calendario5MesOpción+1,1),"mmmm")</f>
        <v>junio</v>
      </c>
      <c r="C71" s="64"/>
      <c r="D71" s="64"/>
      <c r="E71" s="2"/>
      <c r="F71" s="2"/>
      <c r="G71" s="2"/>
    </row>
    <row r="72" spans="1:7" x14ac:dyDescent="0.3">
      <c r="A72" s="4" t="str">
        <f ca="1">UPPER(TEXT(A73,"dddd"))</f>
        <v>LUNES</v>
      </c>
      <c r="B72" s="5" t="str">
        <f t="shared" ref="B72:G72" ca="1" si="5">UPPER(TEXT(B73,"dddd"))</f>
        <v>MARTES</v>
      </c>
      <c r="C72" s="4" t="str">
        <f t="shared" ca="1" si="5"/>
        <v>MIÉRCOLES</v>
      </c>
      <c r="D72" s="5" t="str">
        <f t="shared" ca="1" si="5"/>
        <v>JUEVES</v>
      </c>
      <c r="E72" s="4" t="str">
        <f t="shared" ca="1" si="5"/>
        <v>VIERNES</v>
      </c>
      <c r="F72" s="5" t="str">
        <f t="shared" ca="1" si="5"/>
        <v>SÁBADO</v>
      </c>
      <c r="G72" s="4" t="str">
        <f t="shared" ca="1" si="5"/>
        <v>DOMINGO</v>
      </c>
    </row>
    <row r="73" spans="1:7" ht="21" x14ac:dyDescent="0.3">
      <c r="A73" s="10">
        <f t="array" aca="1" ref="A73:G73" ca="1">Días+1+DATE(Calendario6Año,Calendario6MesOpción,1)-WEEKDAY(DATE(Calendario6Año,Calendario6MesOpción,1),DíaDeLaSemanaOpción)</f>
        <v>45439</v>
      </c>
      <c r="B73" s="10">
        <f ca="1"/>
        <v>45440</v>
      </c>
      <c r="C73" s="10">
        <f ca="1"/>
        <v>45441</v>
      </c>
      <c r="D73" s="10">
        <f ca="1"/>
        <v>45442</v>
      </c>
      <c r="E73" s="10">
        <f ca="1"/>
        <v>45443</v>
      </c>
      <c r="F73" s="10">
        <f ca="1"/>
        <v>45444</v>
      </c>
      <c r="G73" s="11">
        <f ca="1"/>
        <v>45445</v>
      </c>
    </row>
    <row r="74" spans="1:7" x14ac:dyDescent="0.3">
      <c r="A74" s="6"/>
      <c r="B74" s="6"/>
      <c r="C74" s="6"/>
      <c r="D74" s="6"/>
      <c r="E74" s="6"/>
      <c r="F74" s="6"/>
      <c r="G74" s="7"/>
    </row>
    <row r="75" spans="1:7" ht="21" x14ac:dyDescent="0.3">
      <c r="A75" s="10">
        <f t="array" aca="1" ref="A75:G75" ca="1">Días+8+DATE(Calendario6Año,Calendario6MesOpción,1)-WEEKDAY(DATE(Calendario6Año,Calendario6MesOpción,1),DíaDeLaSemanaOpción)</f>
        <v>45446</v>
      </c>
      <c r="B75" s="10">
        <f ca="1"/>
        <v>45447</v>
      </c>
      <c r="C75" s="10">
        <f ca="1"/>
        <v>45448</v>
      </c>
      <c r="D75" s="10">
        <f ca="1"/>
        <v>45449</v>
      </c>
      <c r="E75" s="10">
        <f ca="1"/>
        <v>45450</v>
      </c>
      <c r="F75" s="10">
        <f ca="1"/>
        <v>45451</v>
      </c>
      <c r="G75" s="11">
        <f ca="1"/>
        <v>45452</v>
      </c>
    </row>
    <row r="76" spans="1:7" x14ac:dyDescent="0.3">
      <c r="A76" s="6"/>
      <c r="B76" s="6"/>
      <c r="C76" s="6"/>
      <c r="D76" s="6"/>
      <c r="E76" s="6"/>
      <c r="F76" s="6"/>
      <c r="G76" s="7"/>
    </row>
    <row r="77" spans="1:7" ht="21" x14ac:dyDescent="0.3">
      <c r="A77" s="10">
        <f t="array" aca="1" ref="A77:G77" ca="1">Días+15+DATE(Calendario6Año,Calendario6MesOpción,1)-WEEKDAY(DATE(Calendario6Año,Calendario6MesOpción,1),DíaDeLaSemanaOpción)</f>
        <v>45453</v>
      </c>
      <c r="B77" s="10">
        <f ca="1"/>
        <v>45454</v>
      </c>
      <c r="C77" s="10">
        <f ca="1"/>
        <v>45455</v>
      </c>
      <c r="D77" s="10">
        <f ca="1"/>
        <v>45456</v>
      </c>
      <c r="E77" s="10">
        <f ca="1"/>
        <v>45457</v>
      </c>
      <c r="F77" s="10">
        <f ca="1"/>
        <v>45458</v>
      </c>
      <c r="G77" s="11">
        <f ca="1"/>
        <v>45459</v>
      </c>
    </row>
    <row r="78" spans="1:7" x14ac:dyDescent="0.3">
      <c r="A78" s="6"/>
      <c r="B78" s="6"/>
      <c r="C78" s="6"/>
      <c r="D78" s="6"/>
      <c r="E78" s="6"/>
      <c r="F78" s="6"/>
      <c r="G78" s="7"/>
    </row>
    <row r="79" spans="1:7" ht="21" x14ac:dyDescent="0.3">
      <c r="A79" s="10">
        <f t="array" aca="1" ref="A79:G79" ca="1">Días+22+DATE(Calendario6Año,Calendario6MesOpción,1)-WEEKDAY(DATE(Calendario6Año,Calendario6MesOpción,1),DíaDeLaSemanaOpción)</f>
        <v>45460</v>
      </c>
      <c r="B79" s="10">
        <f ca="1"/>
        <v>45461</v>
      </c>
      <c r="C79" s="10">
        <f ca="1"/>
        <v>45462</v>
      </c>
      <c r="D79" s="10">
        <f ca="1"/>
        <v>45463</v>
      </c>
      <c r="E79" s="10">
        <f ca="1"/>
        <v>45464</v>
      </c>
      <c r="F79" s="10">
        <f ca="1"/>
        <v>45465</v>
      </c>
      <c r="G79" s="11">
        <f ca="1"/>
        <v>45466</v>
      </c>
    </row>
    <row r="80" spans="1:7" x14ac:dyDescent="0.3">
      <c r="A80" s="6"/>
      <c r="B80" s="6"/>
      <c r="C80" s="6"/>
      <c r="D80" s="6"/>
      <c r="E80" s="6"/>
      <c r="F80" s="6"/>
      <c r="G80" s="7"/>
    </row>
    <row r="81" spans="1:7" ht="21" x14ac:dyDescent="0.3">
      <c r="A81" s="10">
        <f t="array" aca="1" ref="A81:G81" ca="1">Días+29+DATE(Calendario6Año,Calendario6MesOpción,1)-WEEKDAY(DATE(Calendario6Año,Calendario6MesOpción,1),DíaDeLaSemanaOpción)</f>
        <v>45467</v>
      </c>
      <c r="B81" s="10">
        <f ca="1"/>
        <v>45468</v>
      </c>
      <c r="C81" s="10">
        <f ca="1"/>
        <v>45469</v>
      </c>
      <c r="D81" s="10">
        <f ca="1"/>
        <v>45470</v>
      </c>
      <c r="E81" s="10">
        <f ca="1"/>
        <v>45471</v>
      </c>
      <c r="F81" s="10">
        <f ca="1"/>
        <v>45472</v>
      </c>
      <c r="G81" s="11">
        <f ca="1"/>
        <v>45473</v>
      </c>
    </row>
    <row r="82" spans="1:7" x14ac:dyDescent="0.3">
      <c r="A82" s="6"/>
      <c r="B82" s="6"/>
      <c r="C82" s="6"/>
      <c r="D82" s="6"/>
      <c r="E82" s="6"/>
      <c r="F82" s="6"/>
      <c r="G82" s="8"/>
    </row>
    <row r="83" spans="1:7" ht="21" x14ac:dyDescent="0.3">
      <c r="A83" s="10">
        <f t="array" aca="1" ref="A83:B83" ca="1">Días+36+DATE(Calendario6Año,Calendario6MesOpción,1)-WEEKDAY(DATE(Calendario6Año,Calendario6MesOpción,1),DíaDeLaSemanaOpción)</f>
        <v>45474</v>
      </c>
      <c r="B83" s="10">
        <f ca="1"/>
        <v>45475</v>
      </c>
      <c r="C83" s="61" t="s">
        <v>1</v>
      </c>
      <c r="D83" s="62"/>
      <c r="E83" s="62"/>
      <c r="F83" s="62"/>
      <c r="G83" s="62"/>
    </row>
    <row r="84" spans="1:7" x14ac:dyDescent="0.3">
      <c r="A84" s="6"/>
      <c r="B84" s="6"/>
      <c r="C84" s="63"/>
      <c r="D84" s="63"/>
      <c r="E84" s="63"/>
      <c r="F84" s="63"/>
      <c r="G84" s="63"/>
    </row>
    <row r="85" spans="1:7" ht="46.5" x14ac:dyDescent="0.7">
      <c r="A85" s="1">
        <f ca="1">YEAR(DATE(Calendario6Año,Calendario6MesOpción+1,1))</f>
        <v>2024</v>
      </c>
      <c r="B85" s="64" t="str">
        <f ca="1">TEXT(DATE(Calendario6Año,Calendario6MesOpción+1,1),"mmmm")</f>
        <v>julio</v>
      </c>
      <c r="C85" s="64"/>
      <c r="D85" s="64"/>
      <c r="E85" s="2"/>
      <c r="F85" s="2"/>
      <c r="G85" s="2"/>
    </row>
    <row r="86" spans="1:7" x14ac:dyDescent="0.3">
      <c r="A86" s="4" t="str">
        <f ca="1">UPPER(TEXT(A87,"dddd"))</f>
        <v>LUNES</v>
      </c>
      <c r="B86" s="5" t="str">
        <f t="shared" ref="B86:G86" ca="1" si="6">UPPER(TEXT(B87,"dddd"))</f>
        <v>MARTES</v>
      </c>
      <c r="C86" s="4" t="str">
        <f t="shared" ca="1" si="6"/>
        <v>MIÉRCOLES</v>
      </c>
      <c r="D86" s="5" t="str">
        <f t="shared" ca="1" si="6"/>
        <v>JUEVES</v>
      </c>
      <c r="E86" s="4" t="str">
        <f t="shared" ca="1" si="6"/>
        <v>VIERNES</v>
      </c>
      <c r="F86" s="5" t="str">
        <f t="shared" ca="1" si="6"/>
        <v>SÁBADO</v>
      </c>
      <c r="G86" s="4" t="str">
        <f t="shared" ca="1" si="6"/>
        <v>DOMINGO</v>
      </c>
    </row>
    <row r="87" spans="1:7" ht="21" x14ac:dyDescent="0.3">
      <c r="A87" s="10">
        <f t="array" aca="1" ref="A87:G87" ca="1">Días+1+DATE(Calendario7Año,Calendario7MesOpción,1)-WEEKDAY(DATE(Calendario7Año,Calendario7MesOpción,1),DíaDeLaSemanaOpción)</f>
        <v>45474</v>
      </c>
      <c r="B87" s="10">
        <f ca="1"/>
        <v>45475</v>
      </c>
      <c r="C87" s="10">
        <f ca="1"/>
        <v>45476</v>
      </c>
      <c r="D87" s="10">
        <f ca="1"/>
        <v>45477</v>
      </c>
      <c r="E87" s="10">
        <f ca="1"/>
        <v>45478</v>
      </c>
      <c r="F87" s="10">
        <f ca="1"/>
        <v>45479</v>
      </c>
      <c r="G87" s="11">
        <f ca="1"/>
        <v>45480</v>
      </c>
    </row>
    <row r="88" spans="1:7" x14ac:dyDescent="0.3">
      <c r="A88" s="6"/>
      <c r="B88" s="6"/>
      <c r="C88" s="6"/>
      <c r="D88" s="6"/>
      <c r="E88" s="6"/>
      <c r="F88" s="6"/>
      <c r="G88" s="7"/>
    </row>
    <row r="89" spans="1:7" ht="21" x14ac:dyDescent="0.3">
      <c r="A89" s="10">
        <f t="array" aca="1" ref="A89:G89" ca="1">Días+8+DATE(Calendario7Año,Calendario7MesOpción,1)-WEEKDAY(DATE(Calendario7Año,Calendario7MesOpción,1),DíaDeLaSemanaOpción)</f>
        <v>45481</v>
      </c>
      <c r="B89" s="10">
        <f ca="1"/>
        <v>45482</v>
      </c>
      <c r="C89" s="10">
        <f ca="1"/>
        <v>45483</v>
      </c>
      <c r="D89" s="10">
        <f ca="1"/>
        <v>45484</v>
      </c>
      <c r="E89" s="10">
        <f ca="1"/>
        <v>45485</v>
      </c>
      <c r="F89" s="10">
        <f ca="1"/>
        <v>45486</v>
      </c>
      <c r="G89" s="11">
        <f ca="1"/>
        <v>45487</v>
      </c>
    </row>
    <row r="90" spans="1:7" x14ac:dyDescent="0.3">
      <c r="A90" s="6"/>
      <c r="B90" s="6"/>
      <c r="C90" s="6"/>
      <c r="D90" s="6"/>
      <c r="E90" s="6"/>
      <c r="F90" s="6"/>
      <c r="G90" s="7"/>
    </row>
    <row r="91" spans="1:7" ht="21" x14ac:dyDescent="0.3">
      <c r="A91" s="10">
        <f t="array" aca="1" ref="A91:G91" ca="1">Días+15+DATE(Calendario7Año,Calendario7MesOpción,1)-WEEKDAY(DATE(Calendario7Año,Calendario7MesOpción,1),DíaDeLaSemanaOpción)</f>
        <v>45488</v>
      </c>
      <c r="B91" s="10">
        <f ca="1"/>
        <v>45489</v>
      </c>
      <c r="C91" s="10">
        <f ca="1"/>
        <v>45490</v>
      </c>
      <c r="D91" s="10">
        <f ca="1"/>
        <v>45491</v>
      </c>
      <c r="E91" s="10">
        <f ca="1"/>
        <v>45492</v>
      </c>
      <c r="F91" s="10">
        <f ca="1"/>
        <v>45493</v>
      </c>
      <c r="G91" s="11">
        <f ca="1"/>
        <v>45494</v>
      </c>
    </row>
    <row r="92" spans="1:7" x14ac:dyDescent="0.3">
      <c r="A92" s="6"/>
      <c r="B92" s="6"/>
      <c r="C92" s="6"/>
      <c r="D92" s="6"/>
      <c r="E92" s="6"/>
      <c r="F92" s="6"/>
      <c r="G92" s="7"/>
    </row>
    <row r="93" spans="1:7" ht="21" x14ac:dyDescent="0.3">
      <c r="A93" s="10">
        <f t="array" aca="1" ref="A93:G93" ca="1">Días+22+DATE(Calendario7Año,Calendario7MesOpción,1)-WEEKDAY(DATE(Calendario7Año,Calendario7MesOpción,1),DíaDeLaSemanaOpción)</f>
        <v>45495</v>
      </c>
      <c r="B93" s="10">
        <f ca="1"/>
        <v>45496</v>
      </c>
      <c r="C93" s="10">
        <f ca="1"/>
        <v>45497</v>
      </c>
      <c r="D93" s="10">
        <f ca="1"/>
        <v>45498</v>
      </c>
      <c r="E93" s="10">
        <f ca="1"/>
        <v>45499</v>
      </c>
      <c r="F93" s="10">
        <f ca="1"/>
        <v>45500</v>
      </c>
      <c r="G93" s="11">
        <f ca="1"/>
        <v>45501</v>
      </c>
    </row>
    <row r="94" spans="1:7" x14ac:dyDescent="0.3">
      <c r="A94" s="6"/>
      <c r="B94" s="6"/>
      <c r="C94" s="6"/>
      <c r="D94" s="6"/>
      <c r="E94" s="6"/>
      <c r="F94" s="6"/>
      <c r="G94" s="7"/>
    </row>
    <row r="95" spans="1:7" ht="21" x14ac:dyDescent="0.3">
      <c r="A95" s="10">
        <f t="array" aca="1" ref="A95:G95" ca="1">Días+29+DATE(Calendario7Año,Calendario7MesOpción,1)-WEEKDAY(DATE(Calendario7Año,Calendario7MesOpción,1),DíaDeLaSemanaOpción)</f>
        <v>45502</v>
      </c>
      <c r="B95" s="10">
        <f ca="1"/>
        <v>45503</v>
      </c>
      <c r="C95" s="10">
        <f ca="1"/>
        <v>45504</v>
      </c>
      <c r="D95" s="10">
        <f ca="1"/>
        <v>45505</v>
      </c>
      <c r="E95" s="10">
        <f ca="1"/>
        <v>45506</v>
      </c>
      <c r="F95" s="10">
        <f ca="1"/>
        <v>45507</v>
      </c>
      <c r="G95" s="11">
        <f ca="1"/>
        <v>45508</v>
      </c>
    </row>
    <row r="96" spans="1:7" x14ac:dyDescent="0.3">
      <c r="A96" s="6"/>
      <c r="B96" s="6"/>
      <c r="C96" s="6"/>
      <c r="D96" s="6"/>
      <c r="E96" s="6"/>
      <c r="F96" s="6"/>
      <c r="G96" s="8"/>
    </row>
    <row r="97" spans="1:7" ht="21" x14ac:dyDescent="0.3">
      <c r="A97" s="10">
        <f t="array" aca="1" ref="A97:B97" ca="1">Días+36+DATE(Calendario7Año,Calendario7MesOpción,1)-WEEKDAY(DATE(Calendario7Año,Calendario7MesOpción,1),DíaDeLaSemanaOpción)</f>
        <v>45509</v>
      </c>
      <c r="B97" s="10">
        <f ca="1"/>
        <v>45510</v>
      </c>
      <c r="C97" s="61" t="s">
        <v>1</v>
      </c>
      <c r="D97" s="62"/>
      <c r="E97" s="62"/>
      <c r="F97" s="62"/>
      <c r="G97" s="62"/>
    </row>
    <row r="98" spans="1:7" x14ac:dyDescent="0.3">
      <c r="A98" s="6"/>
      <c r="B98" s="6"/>
      <c r="C98" s="63"/>
      <c r="D98" s="63"/>
      <c r="E98" s="63"/>
      <c r="F98" s="63"/>
      <c r="G98" s="63"/>
    </row>
    <row r="99" spans="1:7" ht="46.5" x14ac:dyDescent="0.7">
      <c r="A99" s="1">
        <f ca="1">YEAR(DATE(Calendario7Año,Calendario7MesOpción+1,1))</f>
        <v>2024</v>
      </c>
      <c r="B99" s="64" t="str">
        <f ca="1">TEXT(DATE(Calendario7Año,Calendario7MesOpción+1,1),"mmmm")</f>
        <v>agosto</v>
      </c>
      <c r="C99" s="64"/>
      <c r="D99" s="64"/>
      <c r="E99" s="2"/>
      <c r="F99" s="2"/>
      <c r="G99" s="2"/>
    </row>
    <row r="100" spans="1:7" x14ac:dyDescent="0.3">
      <c r="A100" s="4" t="str">
        <f ca="1">UPPER(TEXT(A101,"dddd"))</f>
        <v>LUNES</v>
      </c>
      <c r="B100" s="5" t="str">
        <f t="shared" ref="B100:G100" ca="1" si="7">UPPER(TEXT(B101,"dddd"))</f>
        <v>MARTES</v>
      </c>
      <c r="C100" s="4" t="str">
        <f t="shared" ca="1" si="7"/>
        <v>MIÉRCOLES</v>
      </c>
      <c r="D100" s="5" t="str">
        <f t="shared" ca="1" si="7"/>
        <v>JUEVES</v>
      </c>
      <c r="E100" s="4" t="str">
        <f t="shared" ca="1" si="7"/>
        <v>VIERNES</v>
      </c>
      <c r="F100" s="5" t="str">
        <f t="shared" ca="1" si="7"/>
        <v>SÁBADO</v>
      </c>
      <c r="G100" s="4" t="str">
        <f t="shared" ca="1" si="7"/>
        <v>DOMINGO</v>
      </c>
    </row>
    <row r="101" spans="1:7" ht="21" x14ac:dyDescent="0.3">
      <c r="A101" s="10">
        <f t="array" aca="1" ref="A101:G101" ca="1">Días+1+DATE(Calendario8Año,Calendario8MesOpción,1)-WEEKDAY(DATE(Calendario8Año,Calendario8MesOpción,1),DíaDeLaSemanaOpción)</f>
        <v>45502</v>
      </c>
      <c r="B101" s="10">
        <f ca="1"/>
        <v>45503</v>
      </c>
      <c r="C101" s="10">
        <f ca="1"/>
        <v>45504</v>
      </c>
      <c r="D101" s="10">
        <f ca="1"/>
        <v>45505</v>
      </c>
      <c r="E101" s="10">
        <f ca="1"/>
        <v>45506</v>
      </c>
      <c r="F101" s="10">
        <f ca="1"/>
        <v>45507</v>
      </c>
      <c r="G101" s="11">
        <f ca="1"/>
        <v>45508</v>
      </c>
    </row>
    <row r="102" spans="1:7" x14ac:dyDescent="0.3">
      <c r="A102" s="6"/>
      <c r="B102" s="6"/>
      <c r="C102" s="6"/>
      <c r="D102" s="6"/>
      <c r="E102" s="6"/>
      <c r="F102" s="6"/>
      <c r="G102" s="7"/>
    </row>
    <row r="103" spans="1:7" ht="21" x14ac:dyDescent="0.3">
      <c r="A103" s="10">
        <f t="array" aca="1" ref="A103:G103" ca="1">Días+8+DATE(Calendario8Año,Calendario8MesOpción,1)-WEEKDAY(DATE(Calendario8Año,Calendario8MesOpción,1),DíaDeLaSemanaOpción)</f>
        <v>45509</v>
      </c>
      <c r="B103" s="10">
        <f ca="1"/>
        <v>45510</v>
      </c>
      <c r="C103" s="10">
        <f ca="1"/>
        <v>45511</v>
      </c>
      <c r="D103" s="10">
        <f ca="1"/>
        <v>45512</v>
      </c>
      <c r="E103" s="10">
        <f ca="1"/>
        <v>45513</v>
      </c>
      <c r="F103" s="10">
        <f ca="1"/>
        <v>45514</v>
      </c>
      <c r="G103" s="11">
        <f ca="1"/>
        <v>45515</v>
      </c>
    </row>
    <row r="104" spans="1:7" x14ac:dyDescent="0.3">
      <c r="A104" s="6"/>
      <c r="B104" s="6"/>
      <c r="C104" s="6"/>
      <c r="D104" s="6"/>
      <c r="E104" s="6"/>
      <c r="F104" s="6"/>
      <c r="G104" s="7"/>
    </row>
    <row r="105" spans="1:7" ht="21" x14ac:dyDescent="0.3">
      <c r="A105" s="10">
        <f t="array" aca="1" ref="A105:G105" ca="1">Días+15+DATE(Calendario8Año,Calendario8MesOpción,1)-WEEKDAY(DATE(Calendario8Año,Calendario8MesOpción,1),DíaDeLaSemanaOpción)</f>
        <v>45516</v>
      </c>
      <c r="B105" s="10">
        <f ca="1"/>
        <v>45517</v>
      </c>
      <c r="C105" s="10">
        <f ca="1"/>
        <v>45518</v>
      </c>
      <c r="D105" s="10">
        <f ca="1"/>
        <v>45519</v>
      </c>
      <c r="E105" s="10">
        <f ca="1"/>
        <v>45520</v>
      </c>
      <c r="F105" s="10">
        <f ca="1"/>
        <v>45521</v>
      </c>
      <c r="G105" s="11">
        <f ca="1"/>
        <v>45522</v>
      </c>
    </row>
    <row r="106" spans="1:7" x14ac:dyDescent="0.3">
      <c r="A106" s="6"/>
      <c r="B106" s="6"/>
      <c r="C106" s="6"/>
      <c r="D106" s="6"/>
      <c r="E106" s="6"/>
      <c r="F106" s="6"/>
      <c r="G106" s="7"/>
    </row>
    <row r="107" spans="1:7" ht="21" x14ac:dyDescent="0.3">
      <c r="A107" s="10">
        <f t="array" aca="1" ref="A107:G107" ca="1">Días+22+DATE(Calendario8Año,Calendario8MesOpción,1)-WEEKDAY(DATE(Calendario8Año,Calendario8MesOpción,1),DíaDeLaSemanaOpción)</f>
        <v>45523</v>
      </c>
      <c r="B107" s="10">
        <f ca="1"/>
        <v>45524</v>
      </c>
      <c r="C107" s="10">
        <f ca="1"/>
        <v>45525</v>
      </c>
      <c r="D107" s="10">
        <f ca="1"/>
        <v>45526</v>
      </c>
      <c r="E107" s="10">
        <f ca="1"/>
        <v>45527</v>
      </c>
      <c r="F107" s="10">
        <f ca="1"/>
        <v>45528</v>
      </c>
      <c r="G107" s="11">
        <f ca="1"/>
        <v>45529</v>
      </c>
    </row>
    <row r="108" spans="1:7" x14ac:dyDescent="0.3">
      <c r="A108" s="6"/>
      <c r="B108" s="6"/>
      <c r="C108" s="6"/>
      <c r="D108" s="6"/>
      <c r="E108" s="6"/>
      <c r="F108" s="6"/>
      <c r="G108" s="7"/>
    </row>
    <row r="109" spans="1:7" ht="21" x14ac:dyDescent="0.3">
      <c r="A109" s="10">
        <f t="array" aca="1" ref="A109:G109" ca="1">Días+29+DATE(Calendario8Año,Calendario8MesOpción,1)-WEEKDAY(DATE(Calendario8Año,Calendario8MesOpción,1),DíaDeLaSemanaOpción)</f>
        <v>45530</v>
      </c>
      <c r="B109" s="10">
        <f ca="1"/>
        <v>45531</v>
      </c>
      <c r="C109" s="10">
        <f ca="1"/>
        <v>45532</v>
      </c>
      <c r="D109" s="10">
        <f ca="1"/>
        <v>45533</v>
      </c>
      <c r="E109" s="10">
        <f ca="1"/>
        <v>45534</v>
      </c>
      <c r="F109" s="10">
        <f ca="1"/>
        <v>45535</v>
      </c>
      <c r="G109" s="11">
        <f ca="1"/>
        <v>45536</v>
      </c>
    </row>
    <row r="110" spans="1:7" x14ac:dyDescent="0.3">
      <c r="A110" s="6"/>
      <c r="B110" s="6"/>
      <c r="C110" s="6"/>
      <c r="D110" s="6"/>
      <c r="E110" s="6"/>
      <c r="F110" s="6"/>
      <c r="G110" s="8"/>
    </row>
    <row r="111" spans="1:7" ht="21" x14ac:dyDescent="0.3">
      <c r="A111" s="10">
        <f t="array" aca="1" ref="A111:B111" ca="1">Días+36+DATE(Calendario8Año,Calendario8MesOpción,1)-WEEKDAY(DATE(Calendario8Año,Calendario8MesOpción,1),DíaDeLaSemanaOpción)</f>
        <v>45537</v>
      </c>
      <c r="B111" s="10">
        <f ca="1"/>
        <v>45538</v>
      </c>
      <c r="C111" s="61" t="s">
        <v>1</v>
      </c>
      <c r="D111" s="62"/>
      <c r="E111" s="62"/>
      <c r="F111" s="62"/>
      <c r="G111" s="62"/>
    </row>
    <row r="112" spans="1:7" x14ac:dyDescent="0.3">
      <c r="A112" s="6"/>
      <c r="B112" s="6"/>
      <c r="C112" s="63"/>
      <c r="D112" s="63"/>
      <c r="E112" s="63"/>
      <c r="F112" s="63"/>
      <c r="G112" s="63"/>
    </row>
    <row r="113" spans="1:7" ht="46.5" x14ac:dyDescent="0.7">
      <c r="A113" s="1">
        <f ca="1">YEAR(DATE(Calendario8Año,Calendario8MesOpción+1,1))</f>
        <v>2024</v>
      </c>
      <c r="B113" s="64" t="str">
        <f ca="1">TEXT(DATE(Calendario8Año,Calendario8MesOpción+1,1),"mmmm")</f>
        <v>septiembre</v>
      </c>
      <c r="C113" s="64"/>
      <c r="D113" s="64"/>
      <c r="E113" s="2"/>
      <c r="F113" s="2"/>
      <c r="G113" s="2"/>
    </row>
    <row r="114" spans="1:7" x14ac:dyDescent="0.3">
      <c r="A114" s="4" t="str">
        <f ca="1">UPPER(TEXT(A115,"dddd"))</f>
        <v>LUNES</v>
      </c>
      <c r="B114" s="5" t="str">
        <f t="shared" ref="B114:G114" ca="1" si="8">UPPER(TEXT(B115,"dddd"))</f>
        <v>MARTES</v>
      </c>
      <c r="C114" s="4" t="str">
        <f t="shared" ca="1" si="8"/>
        <v>MIÉRCOLES</v>
      </c>
      <c r="D114" s="5" t="str">
        <f t="shared" ca="1" si="8"/>
        <v>JUEVES</v>
      </c>
      <c r="E114" s="4" t="str">
        <f t="shared" ca="1" si="8"/>
        <v>VIERNES</v>
      </c>
      <c r="F114" s="5" t="str">
        <f t="shared" ca="1" si="8"/>
        <v>SÁBADO</v>
      </c>
      <c r="G114" s="4" t="str">
        <f t="shared" ca="1" si="8"/>
        <v>DOMINGO</v>
      </c>
    </row>
    <row r="115" spans="1:7" ht="21" x14ac:dyDescent="0.3">
      <c r="A115" s="10">
        <f t="array" aca="1" ref="A115:G115" ca="1">Días+1+DATE(Calendario9Año,Calendario9MesOpción,1)-WEEKDAY(DATE(Calendario9Año,Calendario9MesOpción,1),DíaDeLaSemanaOpción)</f>
        <v>45530</v>
      </c>
      <c r="B115" s="10">
        <f ca="1"/>
        <v>45531</v>
      </c>
      <c r="C115" s="10">
        <f ca="1"/>
        <v>45532</v>
      </c>
      <c r="D115" s="10">
        <f ca="1"/>
        <v>45533</v>
      </c>
      <c r="E115" s="10">
        <f ca="1"/>
        <v>45534</v>
      </c>
      <c r="F115" s="10">
        <f ca="1"/>
        <v>45535</v>
      </c>
      <c r="G115" s="11">
        <f ca="1"/>
        <v>45536</v>
      </c>
    </row>
    <row r="116" spans="1:7" x14ac:dyDescent="0.3">
      <c r="A116" s="6"/>
      <c r="B116" s="6"/>
      <c r="C116" s="6"/>
      <c r="D116" s="6"/>
      <c r="E116" s="6"/>
      <c r="F116" s="6"/>
      <c r="G116" s="7"/>
    </row>
    <row r="117" spans="1:7" ht="21" x14ac:dyDescent="0.3">
      <c r="A117" s="10">
        <f t="array" aca="1" ref="A117:G117" ca="1">Días+8+DATE(Calendario9Año,Calendario9MesOpción,1)-WEEKDAY(DATE(Calendario9Año,Calendario9MesOpción,1),DíaDeLaSemanaOpción)</f>
        <v>45537</v>
      </c>
      <c r="B117" s="10">
        <f ca="1"/>
        <v>45538</v>
      </c>
      <c r="C117" s="10">
        <f ca="1"/>
        <v>45539</v>
      </c>
      <c r="D117" s="10">
        <f ca="1"/>
        <v>45540</v>
      </c>
      <c r="E117" s="10">
        <f ca="1"/>
        <v>45541</v>
      </c>
      <c r="F117" s="10">
        <f ca="1"/>
        <v>45542</v>
      </c>
      <c r="G117" s="11">
        <f ca="1"/>
        <v>45543</v>
      </c>
    </row>
    <row r="118" spans="1:7" x14ac:dyDescent="0.3">
      <c r="A118" s="6"/>
      <c r="B118" s="6"/>
      <c r="C118" s="6"/>
      <c r="D118" s="6"/>
      <c r="E118" s="6"/>
      <c r="F118" s="6"/>
      <c r="G118" s="7"/>
    </row>
    <row r="119" spans="1:7" ht="21" x14ac:dyDescent="0.3">
      <c r="A119" s="10">
        <f t="array" aca="1" ref="A119:G119" ca="1">Días+15+DATE(Calendario9Año,Calendario9MesOpción,1)-WEEKDAY(DATE(Calendario9Año,Calendario9MesOpción,1),DíaDeLaSemanaOpción)</f>
        <v>45544</v>
      </c>
      <c r="B119" s="10">
        <f ca="1"/>
        <v>45545</v>
      </c>
      <c r="C119" s="10">
        <f ca="1"/>
        <v>45546</v>
      </c>
      <c r="D119" s="10">
        <f ca="1"/>
        <v>45547</v>
      </c>
      <c r="E119" s="10">
        <f ca="1"/>
        <v>45548</v>
      </c>
      <c r="F119" s="10">
        <f ca="1"/>
        <v>45549</v>
      </c>
      <c r="G119" s="11">
        <f ca="1"/>
        <v>45550</v>
      </c>
    </row>
    <row r="120" spans="1:7" x14ac:dyDescent="0.3">
      <c r="A120" s="6"/>
      <c r="B120" s="6"/>
      <c r="C120" s="6"/>
      <c r="D120" s="6"/>
      <c r="E120" s="6"/>
      <c r="F120" s="6"/>
      <c r="G120" s="7"/>
    </row>
    <row r="121" spans="1:7" ht="21" x14ac:dyDescent="0.3">
      <c r="A121" s="10">
        <f t="array" aca="1" ref="A121:G121" ca="1">Días+22+DATE(Calendario9Año,Calendario9MesOpción,1)-WEEKDAY(DATE(Calendario9Año,Calendario9MesOpción,1),DíaDeLaSemanaOpción)</f>
        <v>45551</v>
      </c>
      <c r="B121" s="10">
        <f ca="1"/>
        <v>45552</v>
      </c>
      <c r="C121" s="10">
        <f ca="1"/>
        <v>45553</v>
      </c>
      <c r="D121" s="10">
        <f ca="1"/>
        <v>45554</v>
      </c>
      <c r="E121" s="10">
        <f ca="1"/>
        <v>45555</v>
      </c>
      <c r="F121" s="10">
        <f ca="1"/>
        <v>45556</v>
      </c>
      <c r="G121" s="11">
        <f ca="1"/>
        <v>45557</v>
      </c>
    </row>
    <row r="122" spans="1:7" x14ac:dyDescent="0.3">
      <c r="A122" s="6"/>
      <c r="B122" s="6"/>
      <c r="C122" s="6"/>
      <c r="D122" s="6"/>
      <c r="E122" s="6"/>
      <c r="F122" s="6"/>
      <c r="G122" s="7"/>
    </row>
    <row r="123" spans="1:7" ht="21" x14ac:dyDescent="0.3">
      <c r="A123" s="10">
        <f t="array" aca="1" ref="A123:G123" ca="1">Días+29+DATE(Calendario9Año,Calendario9MesOpción,1)-WEEKDAY(DATE(Calendario9Año,Calendario9MesOpción,1),DíaDeLaSemanaOpción)</f>
        <v>45558</v>
      </c>
      <c r="B123" s="10">
        <f ca="1"/>
        <v>45559</v>
      </c>
      <c r="C123" s="10">
        <f ca="1"/>
        <v>45560</v>
      </c>
      <c r="D123" s="10">
        <f ca="1"/>
        <v>45561</v>
      </c>
      <c r="E123" s="10">
        <f ca="1"/>
        <v>45562</v>
      </c>
      <c r="F123" s="10">
        <f ca="1"/>
        <v>45563</v>
      </c>
      <c r="G123" s="11">
        <f ca="1"/>
        <v>45564</v>
      </c>
    </row>
    <row r="124" spans="1:7" x14ac:dyDescent="0.3">
      <c r="A124" s="6"/>
      <c r="B124" s="6"/>
      <c r="C124" s="6"/>
      <c r="D124" s="6"/>
      <c r="E124" s="6"/>
      <c r="F124" s="6"/>
      <c r="G124" s="8"/>
    </row>
    <row r="125" spans="1:7" ht="21" x14ac:dyDescent="0.3">
      <c r="A125" s="10">
        <f t="array" aca="1" ref="A125:B125" ca="1">Días+36+DATE(Calendario9Año,Calendario9MesOpción,1)-WEEKDAY(DATE(Calendario9Año,Calendario9MesOpción,1),DíaDeLaSemanaOpción)</f>
        <v>45565</v>
      </c>
      <c r="B125" s="10">
        <f ca="1"/>
        <v>45566</v>
      </c>
      <c r="C125" s="61" t="s">
        <v>1</v>
      </c>
      <c r="D125" s="62"/>
      <c r="E125" s="62"/>
      <c r="F125" s="62"/>
      <c r="G125" s="62"/>
    </row>
    <row r="126" spans="1:7" x14ac:dyDescent="0.3">
      <c r="A126" s="6"/>
      <c r="B126" s="6"/>
      <c r="C126" s="63"/>
      <c r="D126" s="63"/>
      <c r="E126" s="63"/>
      <c r="F126" s="63"/>
      <c r="G126" s="63"/>
    </row>
    <row r="127" spans="1:7" ht="46.5" x14ac:dyDescent="0.7">
      <c r="A127" s="12">
        <f ca="1">YEAR(DATE(Calendario9Año,Calendario9MesOpción+1,1))</f>
        <v>2024</v>
      </c>
      <c r="B127" s="64" t="str">
        <f ca="1">TEXT(DATE(Calendario9Año,Calendario9MesOpción+1,1),"mmmm")</f>
        <v>octubre</v>
      </c>
      <c r="C127" s="64"/>
      <c r="D127" s="64"/>
      <c r="E127" s="2"/>
      <c r="F127" s="2"/>
      <c r="G127" s="2"/>
    </row>
    <row r="128" spans="1:7" x14ac:dyDescent="0.3">
      <c r="A128" s="4" t="str">
        <f ca="1">UPPER(TEXT(A129,"dddd"))</f>
        <v>LUNES</v>
      </c>
      <c r="B128" s="5" t="str">
        <f t="shared" ref="B128:G128" ca="1" si="9">UPPER(TEXT(B129,"dddd"))</f>
        <v>MARTES</v>
      </c>
      <c r="C128" s="4" t="str">
        <f t="shared" ca="1" si="9"/>
        <v>MIÉRCOLES</v>
      </c>
      <c r="D128" s="5" t="str">
        <f t="shared" ca="1" si="9"/>
        <v>JUEVES</v>
      </c>
      <c r="E128" s="4" t="str">
        <f t="shared" ca="1" si="9"/>
        <v>VIERNES</v>
      </c>
      <c r="F128" s="5" t="str">
        <f t="shared" ca="1" si="9"/>
        <v>SÁBADO</v>
      </c>
      <c r="G128" s="4" t="str">
        <f t="shared" ca="1" si="9"/>
        <v>DOMINGO</v>
      </c>
    </row>
    <row r="129" spans="1:7" ht="21" x14ac:dyDescent="0.3">
      <c r="A129" s="10">
        <f t="array" aca="1" ref="A129:G129" ca="1">Días+1+DATE(Calendario10Año,Calendario10MesOpción,1)-WEEKDAY(DATE(Calendario10Año,Calendario10MesOpción,1),DíaDeLaSemanaOpción)</f>
        <v>45565</v>
      </c>
      <c r="B129" s="10">
        <f ca="1"/>
        <v>45566</v>
      </c>
      <c r="C129" s="10">
        <f ca="1"/>
        <v>45567</v>
      </c>
      <c r="D129" s="10">
        <f ca="1"/>
        <v>45568</v>
      </c>
      <c r="E129" s="10">
        <f ca="1"/>
        <v>45569</v>
      </c>
      <c r="F129" s="10">
        <f ca="1"/>
        <v>45570</v>
      </c>
      <c r="G129" s="11">
        <f ca="1"/>
        <v>45571</v>
      </c>
    </row>
    <row r="130" spans="1:7" x14ac:dyDescent="0.3">
      <c r="A130" s="6"/>
      <c r="B130" s="6"/>
      <c r="C130" s="6"/>
      <c r="D130" s="6"/>
      <c r="E130" s="6"/>
      <c r="F130" s="6"/>
      <c r="G130" s="7"/>
    </row>
    <row r="131" spans="1:7" ht="21" x14ac:dyDescent="0.3">
      <c r="A131" s="10">
        <f t="array" aca="1" ref="A131:G131" ca="1">Días+8+DATE(Calendario10Año,Calendario10MesOpción,1)-WEEKDAY(DATE(Calendario10Año,Calendario10MesOpción,1),DíaDeLaSemanaOpción)</f>
        <v>45572</v>
      </c>
      <c r="B131" s="10">
        <f ca="1"/>
        <v>45573</v>
      </c>
      <c r="C131" s="10">
        <f ca="1"/>
        <v>45574</v>
      </c>
      <c r="D131" s="10">
        <f ca="1"/>
        <v>45575</v>
      </c>
      <c r="E131" s="10">
        <f ca="1"/>
        <v>45576</v>
      </c>
      <c r="F131" s="10">
        <f ca="1"/>
        <v>45577</v>
      </c>
      <c r="G131" s="11">
        <f ca="1"/>
        <v>45578</v>
      </c>
    </row>
    <row r="132" spans="1:7" x14ac:dyDescent="0.3">
      <c r="A132" s="6"/>
      <c r="B132" s="6"/>
      <c r="C132" s="6"/>
      <c r="D132" s="6"/>
      <c r="E132" s="6"/>
      <c r="F132" s="6"/>
      <c r="G132" s="7"/>
    </row>
    <row r="133" spans="1:7" ht="21" x14ac:dyDescent="0.3">
      <c r="A133" s="10">
        <f t="array" aca="1" ref="A133:G133" ca="1">Días+15+DATE(Calendario10Año,Calendario10MesOpción,1)-WEEKDAY(DATE(Calendario10Año,Calendario10MesOpción,1),DíaDeLaSemanaOpción)</f>
        <v>45579</v>
      </c>
      <c r="B133" s="10">
        <f ca="1"/>
        <v>45580</v>
      </c>
      <c r="C133" s="10">
        <f ca="1"/>
        <v>45581</v>
      </c>
      <c r="D133" s="10">
        <f ca="1"/>
        <v>45582</v>
      </c>
      <c r="E133" s="10">
        <f ca="1"/>
        <v>45583</v>
      </c>
      <c r="F133" s="10">
        <f ca="1"/>
        <v>45584</v>
      </c>
      <c r="G133" s="11">
        <f ca="1"/>
        <v>45585</v>
      </c>
    </row>
    <row r="134" spans="1:7" x14ac:dyDescent="0.3">
      <c r="A134" s="6"/>
      <c r="B134" s="6"/>
      <c r="C134" s="6"/>
      <c r="D134" s="6"/>
      <c r="E134" s="6"/>
      <c r="F134" s="6"/>
      <c r="G134" s="7"/>
    </row>
    <row r="135" spans="1:7" ht="21" x14ac:dyDescent="0.3">
      <c r="A135" s="10">
        <f t="array" aca="1" ref="A135:G135" ca="1">Días+22+DATE(Calendario10Año,Calendario10MesOpción,1)-WEEKDAY(DATE(Calendario10Año,Calendario10MesOpción,1),DíaDeLaSemanaOpción)</f>
        <v>45586</v>
      </c>
      <c r="B135" s="10">
        <f ca="1"/>
        <v>45587</v>
      </c>
      <c r="C135" s="10">
        <f ca="1"/>
        <v>45588</v>
      </c>
      <c r="D135" s="10">
        <f ca="1"/>
        <v>45589</v>
      </c>
      <c r="E135" s="10">
        <f ca="1"/>
        <v>45590</v>
      </c>
      <c r="F135" s="10">
        <f ca="1"/>
        <v>45591</v>
      </c>
      <c r="G135" s="11">
        <f ca="1"/>
        <v>45592</v>
      </c>
    </row>
    <row r="136" spans="1:7" x14ac:dyDescent="0.3">
      <c r="A136" s="6"/>
      <c r="B136" s="6"/>
      <c r="C136" s="6"/>
      <c r="D136" s="6"/>
      <c r="E136" s="6"/>
      <c r="F136" s="6"/>
      <c r="G136" s="7"/>
    </row>
    <row r="137" spans="1:7" ht="21" x14ac:dyDescent="0.3">
      <c r="A137" s="10">
        <f t="array" aca="1" ref="A137:G137" ca="1">Días+29+DATE(Calendario10Año,Calendario10MesOpción,1)-WEEKDAY(DATE(Calendario10Año,Calendario10MesOpción,1),DíaDeLaSemanaOpción)</f>
        <v>45593</v>
      </c>
      <c r="B137" s="10">
        <f ca="1"/>
        <v>45594</v>
      </c>
      <c r="C137" s="10">
        <f ca="1"/>
        <v>45595</v>
      </c>
      <c r="D137" s="10">
        <f ca="1"/>
        <v>45596</v>
      </c>
      <c r="E137" s="10">
        <f ca="1"/>
        <v>45597</v>
      </c>
      <c r="F137" s="10">
        <f ca="1"/>
        <v>45598</v>
      </c>
      <c r="G137" s="11">
        <f ca="1"/>
        <v>45599</v>
      </c>
    </row>
    <row r="138" spans="1:7" x14ac:dyDescent="0.3">
      <c r="A138" s="6"/>
      <c r="B138" s="6"/>
      <c r="C138" s="6"/>
      <c r="D138" s="6"/>
      <c r="E138" s="6"/>
      <c r="F138" s="6"/>
      <c r="G138" s="8"/>
    </row>
    <row r="139" spans="1:7" ht="21" x14ac:dyDescent="0.3">
      <c r="A139" s="10">
        <f t="array" aca="1" ref="A139:B139" ca="1">Días+36+DATE(Calendario10Año,Calendario10MesOpción,1)-WEEKDAY(DATE(Calendario10Año,Calendario10MesOpción,1),DíaDeLaSemanaOpción)</f>
        <v>45600</v>
      </c>
      <c r="B139" s="10">
        <f ca="1"/>
        <v>45601</v>
      </c>
      <c r="C139" s="61" t="s">
        <v>1</v>
      </c>
      <c r="D139" s="62"/>
      <c r="E139" s="62"/>
      <c r="F139" s="62"/>
      <c r="G139" s="62"/>
    </row>
    <row r="140" spans="1:7" x14ac:dyDescent="0.3">
      <c r="A140" s="6"/>
      <c r="B140" s="6"/>
      <c r="C140" s="63"/>
      <c r="D140" s="63"/>
      <c r="E140" s="63"/>
      <c r="F140" s="63"/>
      <c r="G140" s="63"/>
    </row>
    <row r="141" spans="1:7" ht="46.5" x14ac:dyDescent="0.7">
      <c r="A141" s="1">
        <f ca="1">YEAR(DATE(Calendario10Año,Calendario10MesOpción+1,1))</f>
        <v>2024</v>
      </c>
      <c r="B141" s="64" t="str">
        <f ca="1">TEXT(DATE(Calendario10Año,Calendario10MesOpción+1,1),"mmmm")</f>
        <v>noviembre</v>
      </c>
      <c r="C141" s="64"/>
      <c r="D141" s="64"/>
      <c r="E141" s="2"/>
      <c r="F141" s="2"/>
      <c r="G141" s="2"/>
    </row>
    <row r="142" spans="1:7" x14ac:dyDescent="0.3">
      <c r="A142" s="4" t="str">
        <f ca="1">UPPER(TEXT(A143,"dddd"))</f>
        <v>LUNES</v>
      </c>
      <c r="B142" s="5" t="str">
        <f t="shared" ref="B142:G142" ca="1" si="10">UPPER(TEXT(B143,"dddd"))</f>
        <v>MARTES</v>
      </c>
      <c r="C142" s="4" t="str">
        <f t="shared" ca="1" si="10"/>
        <v>MIÉRCOLES</v>
      </c>
      <c r="D142" s="5" t="str">
        <f t="shared" ca="1" si="10"/>
        <v>JUEVES</v>
      </c>
      <c r="E142" s="4" t="str">
        <f t="shared" ca="1" si="10"/>
        <v>VIERNES</v>
      </c>
      <c r="F142" s="5" t="str">
        <f t="shared" ca="1" si="10"/>
        <v>SÁBADO</v>
      </c>
      <c r="G142" s="4" t="str">
        <f t="shared" ca="1" si="10"/>
        <v>DOMINGO</v>
      </c>
    </row>
    <row r="143" spans="1:7" ht="21" x14ac:dyDescent="0.3">
      <c r="A143" s="10">
        <f t="array" aca="1" ref="A143:G143" ca="1">Días+1+DATE(Calendario11Año,Calendario11MesOpción,1)-WEEKDAY(DATE(Calendario11Año,Calendario11MesOpción,1),DíaDeLaSemanaOpción)</f>
        <v>45593</v>
      </c>
      <c r="B143" s="10">
        <f ca="1"/>
        <v>45594</v>
      </c>
      <c r="C143" s="10">
        <f ca="1"/>
        <v>45595</v>
      </c>
      <c r="D143" s="10">
        <f ca="1"/>
        <v>45596</v>
      </c>
      <c r="E143" s="10">
        <f ca="1"/>
        <v>45597</v>
      </c>
      <c r="F143" s="10">
        <f ca="1"/>
        <v>45598</v>
      </c>
      <c r="G143" s="11">
        <f ca="1"/>
        <v>45599</v>
      </c>
    </row>
    <row r="144" spans="1:7" x14ac:dyDescent="0.3">
      <c r="A144" s="6"/>
      <c r="B144" s="6"/>
      <c r="C144" s="6"/>
      <c r="D144" s="6"/>
      <c r="E144" s="6"/>
      <c r="F144" s="6"/>
      <c r="G144" s="7"/>
    </row>
    <row r="145" spans="1:7" ht="21" x14ac:dyDescent="0.3">
      <c r="A145" s="10">
        <f t="array" aca="1" ref="A145:G145" ca="1">Días+8+DATE(Calendario11Año,Calendario11MesOpción,1)-WEEKDAY(DATE(Calendario11Año,Calendario11MesOpción,1),DíaDeLaSemanaOpción)</f>
        <v>45600</v>
      </c>
      <c r="B145" s="10">
        <f ca="1"/>
        <v>45601</v>
      </c>
      <c r="C145" s="10">
        <f ca="1"/>
        <v>45602</v>
      </c>
      <c r="D145" s="10">
        <f ca="1"/>
        <v>45603</v>
      </c>
      <c r="E145" s="10">
        <f ca="1"/>
        <v>45604</v>
      </c>
      <c r="F145" s="10">
        <f ca="1"/>
        <v>45605</v>
      </c>
      <c r="G145" s="11">
        <f ca="1"/>
        <v>45606</v>
      </c>
    </row>
    <row r="146" spans="1:7" x14ac:dyDescent="0.3">
      <c r="A146" s="6"/>
      <c r="B146" s="6"/>
      <c r="C146" s="6"/>
      <c r="D146" s="6"/>
      <c r="E146" s="6"/>
      <c r="F146" s="6"/>
      <c r="G146" s="7"/>
    </row>
    <row r="147" spans="1:7" ht="21" x14ac:dyDescent="0.3">
      <c r="A147" s="10">
        <f t="array" aca="1" ref="A147:G147" ca="1">Días+15+DATE(Calendario11Año,Calendario11MesOpción,1)-WEEKDAY(DATE(Calendario11Año,Calendario11MesOpción,1),DíaDeLaSemanaOpción)</f>
        <v>45607</v>
      </c>
      <c r="B147" s="10">
        <f ca="1"/>
        <v>45608</v>
      </c>
      <c r="C147" s="10">
        <f ca="1"/>
        <v>45609</v>
      </c>
      <c r="D147" s="10">
        <f ca="1"/>
        <v>45610</v>
      </c>
      <c r="E147" s="10">
        <f ca="1"/>
        <v>45611</v>
      </c>
      <c r="F147" s="10">
        <f ca="1"/>
        <v>45612</v>
      </c>
      <c r="G147" s="11">
        <f ca="1"/>
        <v>45613</v>
      </c>
    </row>
    <row r="148" spans="1:7" x14ac:dyDescent="0.3">
      <c r="A148" s="6"/>
      <c r="B148" s="6"/>
      <c r="C148" s="6"/>
      <c r="D148" s="6"/>
      <c r="E148" s="6"/>
      <c r="F148" s="6"/>
      <c r="G148" s="7"/>
    </row>
    <row r="149" spans="1:7" ht="21" x14ac:dyDescent="0.3">
      <c r="A149" s="10">
        <f t="array" aca="1" ref="A149:G149" ca="1">Días+22+DATE(Calendario11Año,Calendario11MesOpción,1)-WEEKDAY(DATE(Calendario11Año,Calendario11MesOpción,1),DíaDeLaSemanaOpción)</f>
        <v>45614</v>
      </c>
      <c r="B149" s="10">
        <f ca="1"/>
        <v>45615</v>
      </c>
      <c r="C149" s="10">
        <f ca="1"/>
        <v>45616</v>
      </c>
      <c r="D149" s="10">
        <f ca="1"/>
        <v>45617</v>
      </c>
      <c r="E149" s="10">
        <f ca="1"/>
        <v>45618</v>
      </c>
      <c r="F149" s="10">
        <f ca="1"/>
        <v>45619</v>
      </c>
      <c r="G149" s="11">
        <f ca="1"/>
        <v>45620</v>
      </c>
    </row>
    <row r="150" spans="1:7" x14ac:dyDescent="0.3">
      <c r="A150" s="6"/>
      <c r="B150" s="6"/>
      <c r="C150" s="6"/>
      <c r="D150" s="6"/>
      <c r="E150" s="6"/>
      <c r="F150" s="6"/>
      <c r="G150" s="7"/>
    </row>
    <row r="151" spans="1:7" ht="21" x14ac:dyDescent="0.3">
      <c r="A151" s="10">
        <f t="array" aca="1" ref="A151:G151" ca="1">Días+29+DATE(Calendario11Año,Calendario11MesOpción,1)-WEEKDAY(DATE(Calendario11Año,Calendario11MesOpción,1),DíaDeLaSemanaOpción)</f>
        <v>45621</v>
      </c>
      <c r="B151" s="10">
        <f ca="1"/>
        <v>45622</v>
      </c>
      <c r="C151" s="10">
        <f ca="1"/>
        <v>45623</v>
      </c>
      <c r="D151" s="10">
        <f ca="1"/>
        <v>45624</v>
      </c>
      <c r="E151" s="10">
        <f ca="1"/>
        <v>45625</v>
      </c>
      <c r="F151" s="10">
        <f ca="1"/>
        <v>45626</v>
      </c>
      <c r="G151" s="11">
        <f ca="1"/>
        <v>45627</v>
      </c>
    </row>
    <row r="152" spans="1:7" x14ac:dyDescent="0.3">
      <c r="A152" s="6"/>
      <c r="B152" s="6"/>
      <c r="C152" s="6"/>
      <c r="D152" s="6"/>
      <c r="E152" s="6"/>
      <c r="F152" s="6"/>
      <c r="G152" s="8"/>
    </row>
    <row r="153" spans="1:7" ht="21" x14ac:dyDescent="0.3">
      <c r="A153" s="10">
        <f t="array" aca="1" ref="A153:B153" ca="1">Días+36+DATE(Calendario11Año,Calendario11MesOpción,1)-WEEKDAY(DATE(Calendario11Año,Calendario11MesOpción,1),DíaDeLaSemanaOpción)</f>
        <v>45628</v>
      </c>
      <c r="B153" s="10">
        <f ca="1"/>
        <v>45629</v>
      </c>
      <c r="C153" s="61" t="s">
        <v>1</v>
      </c>
      <c r="D153" s="62"/>
      <c r="E153" s="62"/>
      <c r="F153" s="62"/>
      <c r="G153" s="62"/>
    </row>
    <row r="154" spans="1:7" x14ac:dyDescent="0.3">
      <c r="A154" s="6"/>
      <c r="B154" s="6"/>
      <c r="C154" s="63"/>
      <c r="D154" s="63"/>
      <c r="E154" s="63"/>
      <c r="F154" s="63"/>
      <c r="G154" s="63"/>
    </row>
    <row r="155" spans="1:7" ht="46.5" x14ac:dyDescent="0.7">
      <c r="A155" s="1">
        <f ca="1">YEAR(DATE(Calendario11Año,Calendario11MesOpción+1,1))</f>
        <v>2024</v>
      </c>
      <c r="B155" s="64" t="str">
        <f ca="1">TEXT(DATE(Calendario11Año,Calendario11MesOpción+1,1),"mmmm")</f>
        <v>diciembre</v>
      </c>
      <c r="C155" s="64"/>
      <c r="D155" s="64"/>
      <c r="E155" s="2"/>
      <c r="F155" s="2"/>
      <c r="G155" s="2"/>
    </row>
    <row r="156" spans="1:7" x14ac:dyDescent="0.3">
      <c r="A156" s="4" t="str">
        <f ca="1">UPPER(TEXT(A157,"dddd"))</f>
        <v>LUNES</v>
      </c>
      <c r="B156" s="5" t="str">
        <f t="shared" ref="B156:G156" ca="1" si="11">UPPER(TEXT(B157,"dddd"))</f>
        <v>MARTES</v>
      </c>
      <c r="C156" s="4" t="str">
        <f t="shared" ca="1" si="11"/>
        <v>MIÉRCOLES</v>
      </c>
      <c r="D156" s="5" t="str">
        <f t="shared" ca="1" si="11"/>
        <v>JUEVES</v>
      </c>
      <c r="E156" s="4" t="str">
        <f t="shared" ca="1" si="11"/>
        <v>VIERNES</v>
      </c>
      <c r="F156" s="5" t="str">
        <f t="shared" ca="1" si="11"/>
        <v>SÁBADO</v>
      </c>
      <c r="G156" s="4" t="str">
        <f t="shared" ca="1" si="11"/>
        <v>DOMINGO</v>
      </c>
    </row>
    <row r="157" spans="1:7" ht="21" x14ac:dyDescent="0.3">
      <c r="A157" s="10">
        <f t="array" aca="1" ref="A157:G157" ca="1">Días+1+DATE(Calendario12Año,Calendario12MesOpción,1)-WEEKDAY(DATE(Calendario12Año,Calendario12MesOpción,1),DíaDeLaSemanaOpción)</f>
        <v>45621</v>
      </c>
      <c r="B157" s="10">
        <f ca="1"/>
        <v>45622</v>
      </c>
      <c r="C157" s="10">
        <f ca="1"/>
        <v>45623</v>
      </c>
      <c r="D157" s="10">
        <f ca="1"/>
        <v>45624</v>
      </c>
      <c r="E157" s="10">
        <f ca="1"/>
        <v>45625</v>
      </c>
      <c r="F157" s="10">
        <f ca="1"/>
        <v>45626</v>
      </c>
      <c r="G157" s="11">
        <f ca="1"/>
        <v>45627</v>
      </c>
    </row>
    <row r="158" spans="1:7" x14ac:dyDescent="0.3">
      <c r="A158" s="6"/>
      <c r="B158" s="6"/>
      <c r="C158" s="6"/>
      <c r="D158" s="6"/>
      <c r="E158" s="6"/>
      <c r="F158" s="6"/>
      <c r="G158" s="7"/>
    </row>
    <row r="159" spans="1:7" ht="21" x14ac:dyDescent="0.3">
      <c r="A159" s="10">
        <f t="array" aca="1" ref="A159:G159" ca="1">Días+8+DATE(Calendario12Año,Calendario12MesOpción,1)-WEEKDAY(DATE(Calendario12Año,Calendario12MesOpción,1),DíaDeLaSemanaOpción)</f>
        <v>45628</v>
      </c>
      <c r="B159" s="10">
        <f ca="1"/>
        <v>45629</v>
      </c>
      <c r="C159" s="10">
        <f ca="1"/>
        <v>45630</v>
      </c>
      <c r="D159" s="10">
        <f ca="1"/>
        <v>45631</v>
      </c>
      <c r="E159" s="10">
        <f ca="1"/>
        <v>45632</v>
      </c>
      <c r="F159" s="10">
        <f ca="1"/>
        <v>45633</v>
      </c>
      <c r="G159" s="11">
        <f ca="1"/>
        <v>45634</v>
      </c>
    </row>
    <row r="160" spans="1:7" x14ac:dyDescent="0.3">
      <c r="A160" s="6"/>
      <c r="B160" s="6"/>
      <c r="C160" s="6"/>
      <c r="D160" s="6"/>
      <c r="E160" s="6"/>
      <c r="F160" s="6"/>
      <c r="G160" s="7"/>
    </row>
    <row r="161" spans="1:7" ht="21" x14ac:dyDescent="0.3">
      <c r="A161" s="10">
        <f t="array" aca="1" ref="A161:G161" ca="1">Días+15+DATE(Calendario12Año,Calendario12MesOpción,1)-WEEKDAY(DATE(Calendario12Año,Calendario12MesOpción,1),DíaDeLaSemanaOpción)</f>
        <v>45635</v>
      </c>
      <c r="B161" s="10">
        <f ca="1"/>
        <v>45636</v>
      </c>
      <c r="C161" s="10">
        <f ca="1"/>
        <v>45637</v>
      </c>
      <c r="D161" s="10">
        <f ca="1"/>
        <v>45638</v>
      </c>
      <c r="E161" s="10">
        <f ca="1"/>
        <v>45639</v>
      </c>
      <c r="F161" s="10">
        <f ca="1"/>
        <v>45640</v>
      </c>
      <c r="G161" s="11">
        <f ca="1"/>
        <v>45641</v>
      </c>
    </row>
    <row r="162" spans="1:7" x14ac:dyDescent="0.3">
      <c r="A162" s="6"/>
      <c r="B162" s="6"/>
      <c r="C162" s="6"/>
      <c r="D162" s="6"/>
      <c r="E162" s="6"/>
      <c r="F162" s="6"/>
      <c r="G162" s="7"/>
    </row>
    <row r="163" spans="1:7" ht="21" x14ac:dyDescent="0.3">
      <c r="A163" s="10">
        <f t="array" aca="1" ref="A163:G163" ca="1">Días+22+DATE(Calendario12Año,Calendario12MesOpción,1)-WEEKDAY(DATE(Calendario12Año,Calendario12MesOpción,1),DíaDeLaSemanaOpción)</f>
        <v>45642</v>
      </c>
      <c r="B163" s="10">
        <f ca="1"/>
        <v>45643</v>
      </c>
      <c r="C163" s="10">
        <f ca="1"/>
        <v>45644</v>
      </c>
      <c r="D163" s="10">
        <f ca="1"/>
        <v>45645</v>
      </c>
      <c r="E163" s="10">
        <f ca="1"/>
        <v>45646</v>
      </c>
      <c r="F163" s="10">
        <f ca="1"/>
        <v>45647</v>
      </c>
      <c r="G163" s="11">
        <f ca="1"/>
        <v>45648</v>
      </c>
    </row>
    <row r="164" spans="1:7" x14ac:dyDescent="0.3">
      <c r="A164" s="6"/>
      <c r="B164" s="6"/>
      <c r="C164" s="6"/>
      <c r="D164" s="6"/>
      <c r="E164" s="6"/>
      <c r="F164" s="6"/>
      <c r="G164" s="7"/>
    </row>
    <row r="165" spans="1:7" ht="21" x14ac:dyDescent="0.3">
      <c r="A165" s="10">
        <f t="array" aca="1" ref="A165:G165" ca="1">Días+29+DATE(Calendario12Año,Calendario12MesOpción,1)-WEEKDAY(DATE(Calendario12Año,Calendario12MesOpción,1),DíaDeLaSemanaOpción)</f>
        <v>45649</v>
      </c>
      <c r="B165" s="10">
        <f ca="1"/>
        <v>45650</v>
      </c>
      <c r="C165" s="10">
        <f ca="1"/>
        <v>45651</v>
      </c>
      <c r="D165" s="10">
        <f ca="1"/>
        <v>45652</v>
      </c>
      <c r="E165" s="10">
        <f ca="1"/>
        <v>45653</v>
      </c>
      <c r="F165" s="10">
        <f ca="1"/>
        <v>45654</v>
      </c>
      <c r="G165" s="11">
        <f ca="1"/>
        <v>45655</v>
      </c>
    </row>
    <row r="166" spans="1:7" x14ac:dyDescent="0.3">
      <c r="A166" s="6"/>
      <c r="B166" s="6"/>
      <c r="C166" s="6"/>
      <c r="D166" s="6"/>
      <c r="E166" s="6"/>
      <c r="F166" s="6"/>
      <c r="G166" s="8"/>
    </row>
    <row r="167" spans="1:7" ht="21" x14ac:dyDescent="0.3">
      <c r="A167" s="10">
        <f t="array" aca="1" ref="A167:B167" ca="1">Días+36+DATE(Calendario12Año,Calendario12MesOpción,1)-WEEKDAY(DATE(Calendario12Año,Calendario12MesOpción,1),DíaDeLaSemanaOpción)</f>
        <v>45656</v>
      </c>
      <c r="B167" s="10">
        <f ca="1"/>
        <v>45657</v>
      </c>
      <c r="C167" s="61" t="s">
        <v>1</v>
      </c>
      <c r="D167" s="62"/>
      <c r="E167" s="62"/>
      <c r="F167" s="62"/>
      <c r="G167" s="62"/>
    </row>
    <row r="168" spans="1:7" x14ac:dyDescent="0.3">
      <c r="A168" s="6"/>
      <c r="B168" s="6"/>
      <c r="C168" s="63"/>
      <c r="D168" s="63"/>
      <c r="E168" s="63"/>
      <c r="F168" s="63"/>
      <c r="G168" s="63"/>
    </row>
  </sheetData>
  <mergeCells count="35">
    <mergeCell ref="C153:G153"/>
    <mergeCell ref="C154:G154"/>
    <mergeCell ref="B155:D155"/>
    <mergeCell ref="C167:G167"/>
    <mergeCell ref="C168:G168"/>
    <mergeCell ref="B141:D141"/>
    <mergeCell ref="C97:G97"/>
    <mergeCell ref="C98:G98"/>
    <mergeCell ref="B99:D99"/>
    <mergeCell ref="C111:G111"/>
    <mergeCell ref="C112:G112"/>
    <mergeCell ref="B113:D113"/>
    <mergeCell ref="C125:G125"/>
    <mergeCell ref="C126:G126"/>
    <mergeCell ref="B127:D127"/>
    <mergeCell ref="C139:G139"/>
    <mergeCell ref="C140:G140"/>
    <mergeCell ref="B85:D85"/>
    <mergeCell ref="C41:G41"/>
    <mergeCell ref="C42:G42"/>
    <mergeCell ref="B43:D43"/>
    <mergeCell ref="C55:G55"/>
    <mergeCell ref="C56:G56"/>
    <mergeCell ref="B57:D57"/>
    <mergeCell ref="C69:G69"/>
    <mergeCell ref="C70:G70"/>
    <mergeCell ref="B71:D71"/>
    <mergeCell ref="C83:G83"/>
    <mergeCell ref="C84:G84"/>
    <mergeCell ref="D1:F1"/>
    <mergeCell ref="C13:G13"/>
    <mergeCell ref="C14:G14"/>
    <mergeCell ref="C27:G27"/>
    <mergeCell ref="C28:G28"/>
    <mergeCell ref="D15:F15"/>
  </mergeCells>
  <dataValidations count="12">
    <dataValidation allowBlank="1" showInputMessage="1" prompt="Fecha" sqref="A3" xr:uid="{00000000-0002-0000-2900-000000000000}"/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A2" xr:uid="{00000000-0002-0000-2900-000001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B1:D1 D15" xr:uid="{00000000-0002-0000-2900-000002000000}">
      <formula1>"enero,febrero,marzo,abril,mayo,junio,julio,agosto,septiembre,octubre,noviembre,diciembre"</formula1>
    </dataValidation>
    <dataValidation allowBlank="1" showInputMessage="1" showErrorMessage="1" prompt="Escriba el año en esta celda" sqref="A1" xr:uid="{00000000-0002-0000-2900-000004000000}"/>
    <dataValidation allowBlank="1" showInputMessage="1" prompt="Día laborable determinado automáticamente. Para cambiar los días laborables, seleccione un nuevo día de inicio de semana en la celda B2." sqref="B2:G2 A16" xr:uid="{00000000-0002-0000-2900-000005000000}"/>
    <dataValidation allowBlank="1" showInputMessage="1" prompt="El año natural se actualiza automáticamente según el año seleccionado en la celda B1" sqref="A15" xr:uid="{00000000-0002-0000-2900-000007000000}"/>
    <dataValidation allowBlank="1" showInputMessage="1" prompt="El mes natural se actualiza automáticamente según el mes seleccionado en la celda C1" sqref="B15:C15" xr:uid="{00000000-0002-0000-2900-000008000000}"/>
    <dataValidation allowBlank="1" showInputMessage="1" prompt="Escriba las notas del mes en la siguiente celda" sqref="C13:G13" xr:uid="{00000000-0002-0000-2900-000009000000}"/>
    <dataValidation allowBlank="1" showInputMessage="1" prompt="Escriba las notas del mes en esta celda" sqref="C14:G14" xr:uid="{00000000-0002-0000-2900-00000A000000}"/>
    <dataValidation allowBlank="1" showInputMessage="1" showErrorMessage="1" prompt="El año natural se actualiza automáticamente según el año seleccionado en la celda B1" sqref="A29 A155 A141 A127 A113 A99 A85 A71 A57 A43" xr:uid="{00000000-0002-0000-2900-00000B000000}"/>
    <dataValidation allowBlank="1" showInputMessage="1" showErrorMessage="1" prompt="El mes natural se actualiza automáticamente según el mes seleccionado en la celda C1" sqref="B141:D141 B155:D155 B127:D127 B113:D113 B99:D99 B85:D85 B71:D71 B57:D57 B43:D43 B29:D29" xr:uid="{00000000-0002-0000-2900-000015000000}"/>
    <dataValidation allowBlank="1" showInputMessage="1" showErrorMessage="1" prompt="Día laborable determinado automáticamente. Para cambiar los días laborables, seleccione un nuevo día de inicio de semana en la celda B2." sqref="B16:G16 A156:G156 A142:G142 A128:G128 A114:G114 A100:G100 A86:G86 A72:G72 A58:G58 A44:G44 A30:G30" xr:uid="{00000000-0002-0000-2900-00001F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09EC5BD8-8407-4AD7-858B-5C04ADABD010}">
            <xm:f>MONTH(JoMa!A3)&lt;&gt;Calendario1MesOpción</xm:f>
            <x14:dxf>
              <font>
                <color rgb="FF747474"/>
              </font>
            </x14:dxf>
          </x14:cfRule>
          <xm:sqref>A3:G3 A5:G5 A7:G7 A9:G9 A11:G11 A13:B13</xm:sqref>
        </x14:conditionalFormatting>
        <x14:conditionalFormatting xmlns:xm="http://schemas.microsoft.com/office/excel/2006/main">
          <x14:cfRule type="expression" priority="11" id="{656B159F-02D8-430C-8885-C42E9AE64AE3}">
            <xm:f>MONTH(JoMa!A17)&lt;&gt;Calendario2MesOpción</xm:f>
            <x14:dxf>
              <font>
                <color rgb="FF747474"/>
              </font>
            </x14:dxf>
          </x14:cfRule>
          <xm:sqref>A17:G17 A19:G19 A21:G21 A23:G23 A25:G25 A27:B27</xm:sqref>
        </x14:conditionalFormatting>
        <x14:conditionalFormatting xmlns:xm="http://schemas.microsoft.com/office/excel/2006/main">
          <x14:cfRule type="expression" priority="10" id="{966FD9CA-FA3C-46F4-B13C-E6FE7F1A2BD3}">
            <xm:f>MONTH(JoMa!A31)&lt;&gt;Calendario3MesOpción</xm:f>
            <x14:dxf>
              <font>
                <color rgb="FF747474"/>
              </font>
            </x14:dxf>
          </x14:cfRule>
          <xm:sqref>A31:G31 A33:G33 A35:G35 A37:G37 A39:G39 A41:B41</xm:sqref>
        </x14:conditionalFormatting>
        <x14:conditionalFormatting xmlns:xm="http://schemas.microsoft.com/office/excel/2006/main">
          <x14:cfRule type="expression" priority="9" id="{5200AC20-3161-48ED-8273-12E3580C6ADB}">
            <xm:f>MONTH(JoMa!A45)&lt;&gt;Calendario4MesOpción</xm:f>
            <x14:dxf>
              <font>
                <color rgb="FF747474"/>
              </font>
            </x14:dxf>
          </x14:cfRule>
          <xm:sqref>A45:G45 A47:G47 A49:G49 A51:G51 A53:G53 A55:B55</xm:sqref>
        </x14:conditionalFormatting>
        <x14:conditionalFormatting xmlns:xm="http://schemas.microsoft.com/office/excel/2006/main">
          <x14:cfRule type="expression" priority="8" id="{11C8C2D5-E63A-4645-849C-0941CBB63EA1}">
            <xm:f>MONTH(JoMa!A59)&lt;&gt;Calendario5MesOpción</xm:f>
            <x14:dxf>
              <font>
                <color rgb="FF747474"/>
              </font>
            </x14:dxf>
          </x14:cfRule>
          <xm:sqref>A59:G59 A61:G61 A63:G63 A65:G65 A67:G67 A69:B69</xm:sqref>
        </x14:conditionalFormatting>
        <x14:conditionalFormatting xmlns:xm="http://schemas.microsoft.com/office/excel/2006/main">
          <x14:cfRule type="expression" priority="7" id="{120605FC-F50A-4C82-A5E6-923009B7580B}">
            <xm:f>MONTH(JoMa!A73)&lt;&gt;Calendario6MesOpción</xm:f>
            <x14:dxf>
              <font>
                <color rgb="FF747474"/>
              </font>
            </x14:dxf>
          </x14:cfRule>
          <xm:sqref>A73:G73 A75:G75 A77:G77 A79:G79 A81:G81 A83:B83</xm:sqref>
        </x14:conditionalFormatting>
        <x14:conditionalFormatting xmlns:xm="http://schemas.microsoft.com/office/excel/2006/main">
          <x14:cfRule type="expression" priority="6" id="{2541417D-37E2-45B7-9E72-AFDA2C5A307D}">
            <xm:f>MONTH(JoMa!A87)&lt;&gt;Calendario7MesOpción</xm:f>
            <x14:dxf>
              <font>
                <color rgb="FF747474"/>
              </font>
            </x14:dxf>
          </x14:cfRule>
          <xm:sqref>A87:G87 A89:G89 A91:G91 A93:G93 A95:G95 A97:B97</xm:sqref>
        </x14:conditionalFormatting>
        <x14:conditionalFormatting xmlns:xm="http://schemas.microsoft.com/office/excel/2006/main">
          <x14:cfRule type="expression" priority="5" id="{648B10AC-623F-4781-8C6A-90C45C383A70}">
            <xm:f>MONTH(JoMa!A101)&lt;&gt;Calendario8MesOpción</xm:f>
            <x14:dxf>
              <font>
                <color rgb="FF747474"/>
              </font>
            </x14:dxf>
          </x14:cfRule>
          <xm:sqref>A101:G101 A103:G103 A105:G105 A107:G107 A109:G109 A111:B111</xm:sqref>
        </x14:conditionalFormatting>
        <x14:conditionalFormatting xmlns:xm="http://schemas.microsoft.com/office/excel/2006/main">
          <x14:cfRule type="expression" priority="4" id="{AB3B359E-803B-4FD4-A38E-3BA22E09F46F}">
            <xm:f>MONTH(JoMa!A115)&lt;&gt;Calendario9MesOpción</xm:f>
            <x14:dxf>
              <font>
                <color rgb="FF747474"/>
              </font>
            </x14:dxf>
          </x14:cfRule>
          <xm:sqref>A115:G115 A117:G117 A119:G119 A121:G121 A123:G123 A125:B125</xm:sqref>
        </x14:conditionalFormatting>
        <x14:conditionalFormatting xmlns:xm="http://schemas.microsoft.com/office/excel/2006/main">
          <x14:cfRule type="expression" priority="3" id="{511FF5B2-D642-40B7-8669-CCAC11F11B65}">
            <xm:f>MONTH(JoMa!A129)&lt;&gt;Calendario10MesOpción</xm:f>
            <x14:dxf>
              <font>
                <color rgb="FF747474"/>
              </font>
            </x14:dxf>
          </x14:cfRule>
          <xm:sqref>A129:G129 A131:G131 A133:G133 A135:G135 A137:G137 A139:B139</xm:sqref>
        </x14:conditionalFormatting>
        <x14:conditionalFormatting xmlns:xm="http://schemas.microsoft.com/office/excel/2006/main">
          <x14:cfRule type="expression" priority="2" id="{940FCE53-F17D-4EF0-B822-928CF19AB875}">
            <xm:f>MONTH(JoMa!A143)&lt;&gt;Calendario11MesOpción</xm:f>
            <x14:dxf>
              <font>
                <color rgb="FF747474"/>
              </font>
            </x14:dxf>
          </x14:cfRule>
          <xm:sqref>A143:G143 A145:G145 A147:G147 A149:G149 A151:G151 A153:B153</xm:sqref>
        </x14:conditionalFormatting>
        <x14:conditionalFormatting xmlns:xm="http://schemas.microsoft.com/office/excel/2006/main">
          <x14:cfRule type="expression" priority="1" id="{FA21B1F4-0BF3-4B95-B12B-325AF7924F25}">
            <xm:f>MONTH(JoMa!A157)&lt;&gt;Calendario12MesOpción</xm:f>
            <x14:dxf>
              <font>
                <color rgb="FF747474"/>
              </font>
            </x14:dxf>
          </x14:cfRule>
          <xm:sqref>A157:G157 A159:G159 A161:G161 A163:G163 A165:G165 A167:B167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4" tint="-0.249977111117893"/>
  </sheetPr>
  <dimension ref="A1:I168"/>
  <sheetViews>
    <sheetView topLeftCell="A7" workbookViewId="0">
      <selection activeCell="I22" sqref="I22"/>
    </sheetView>
  </sheetViews>
  <sheetFormatPr baseColWidth="10" defaultRowHeight="16.5" x14ac:dyDescent="0.3"/>
  <cols>
    <col min="1" max="1" width="18.25" customWidth="1"/>
    <col min="2" max="7" width="17.625" customWidth="1"/>
    <col min="8" max="8" width="2.5" customWidth="1"/>
  </cols>
  <sheetData>
    <row r="1" spans="1:9" ht="46.5" x14ac:dyDescent="0.7">
      <c r="A1" s="1">
        <f ca="1">YEAR(TODAY())</f>
        <v>2024</v>
      </c>
      <c r="B1" s="18" t="s">
        <v>2</v>
      </c>
      <c r="C1" s="13"/>
      <c r="D1" s="65"/>
      <c r="E1" s="65"/>
      <c r="F1" s="65"/>
      <c r="G1" s="19"/>
      <c r="I1" s="20"/>
    </row>
    <row r="2" spans="1:9" x14ac:dyDescent="0.3">
      <c r="A2" s="4" t="s">
        <v>0</v>
      </c>
      <c r="B2" s="5" t="str">
        <f ca="1">UPPER(TEXT(B3,"dddd"))</f>
        <v>MARTES</v>
      </c>
      <c r="C2" s="4" t="str">
        <f t="shared" ref="C2:G2" ca="1" si="0">UPPER(TEXT(C3,"dddd"))</f>
        <v>MIÉRCOLES</v>
      </c>
      <c r="D2" s="5" t="str">
        <f t="shared" ca="1" si="0"/>
        <v>JUEVES</v>
      </c>
      <c r="E2" s="4" t="str">
        <f t="shared" ca="1" si="0"/>
        <v>VIERNES</v>
      </c>
      <c r="F2" s="5" t="str">
        <f t="shared" ca="1" si="0"/>
        <v>SÁBADO</v>
      </c>
      <c r="G2" s="4" t="str">
        <f t="shared" ca="1" si="0"/>
        <v>DOMINGO</v>
      </c>
    </row>
    <row r="3" spans="1:9" ht="21" x14ac:dyDescent="0.3">
      <c r="A3" s="10">
        <f t="array" aca="1" ref="A3:G3" ca="1">Días+1+DATE(Calendario1Año,Calendario1MesOpción,1)-WEEKDAY(DATE(Calendario1Año,Calendario1MesOpción,1),DíaDeLaSemanaOpción)</f>
        <v>45292</v>
      </c>
      <c r="B3" s="10">
        <f ca="1"/>
        <v>45293</v>
      </c>
      <c r="C3" s="10">
        <f ca="1"/>
        <v>45294</v>
      </c>
      <c r="D3" s="10">
        <f ca="1"/>
        <v>45295</v>
      </c>
      <c r="E3" s="10">
        <f ca="1"/>
        <v>45296</v>
      </c>
      <c r="F3" s="10">
        <f ca="1"/>
        <v>45297</v>
      </c>
      <c r="G3" s="11">
        <f ca="1"/>
        <v>45298</v>
      </c>
    </row>
    <row r="4" spans="1:9" x14ac:dyDescent="0.3">
      <c r="A4" s="6"/>
      <c r="B4" s="6"/>
      <c r="C4" s="6"/>
      <c r="D4" s="6"/>
      <c r="E4" s="7"/>
      <c r="F4" s="6"/>
      <c r="G4" s="7"/>
    </row>
    <row r="5" spans="1:9" ht="21" x14ac:dyDescent="0.3">
      <c r="A5" s="10">
        <f t="array" aca="1" ref="A5:G5" ca="1">Días+8+DATE(Calendario1Año,Calendario1MesOpción,1)-WEEKDAY(DATE(Calendario1Año,Calendario1MesOpción,1),DíaDeLaSemanaOpción)</f>
        <v>45299</v>
      </c>
      <c r="B5" s="10">
        <f ca="1"/>
        <v>45300</v>
      </c>
      <c r="C5" s="10">
        <f ca="1"/>
        <v>45301</v>
      </c>
      <c r="D5" s="10">
        <f ca="1"/>
        <v>45302</v>
      </c>
      <c r="E5" s="10">
        <f ca="1"/>
        <v>45303</v>
      </c>
      <c r="F5" s="10">
        <f ca="1"/>
        <v>45304</v>
      </c>
      <c r="G5" s="11">
        <f ca="1"/>
        <v>45305</v>
      </c>
    </row>
    <row r="6" spans="1:9" x14ac:dyDescent="0.3">
      <c r="A6" s="6"/>
      <c r="C6" s="6"/>
      <c r="D6" s="7"/>
      <c r="E6" s="6"/>
      <c r="F6" s="6"/>
      <c r="G6" s="7"/>
    </row>
    <row r="7" spans="1:9" ht="21" x14ac:dyDescent="0.3">
      <c r="A7" s="10">
        <f t="array" aca="1" ref="A7:G7" ca="1">Días+15+DATE(Calendario1Año,Calendario1MesOpción,1)-WEEKDAY(DATE(Calendario1Año,Calendario1MesOpción,1),DíaDeLaSemanaOpción)</f>
        <v>45306</v>
      </c>
      <c r="B7" s="10">
        <f ca="1"/>
        <v>45307</v>
      </c>
      <c r="C7" s="10">
        <f ca="1"/>
        <v>45308</v>
      </c>
      <c r="D7" s="10">
        <f ca="1"/>
        <v>45309</v>
      </c>
      <c r="E7" s="10">
        <f ca="1"/>
        <v>45310</v>
      </c>
      <c r="F7" s="10">
        <f ca="1"/>
        <v>45311</v>
      </c>
      <c r="G7" s="11">
        <f ca="1"/>
        <v>45312</v>
      </c>
    </row>
    <row r="8" spans="1:9" x14ac:dyDescent="0.3">
      <c r="A8" s="43"/>
      <c r="B8" s="6"/>
      <c r="C8" s="6"/>
      <c r="D8" s="6"/>
      <c r="E8" s="24"/>
      <c r="F8" s="24"/>
      <c r="G8" s="24"/>
    </row>
    <row r="9" spans="1:9" ht="21" x14ac:dyDescent="0.3">
      <c r="A9" s="10">
        <f t="array" aca="1" ref="A9:G9" ca="1">Días+22+DATE(Calendario1Año,Calendario1MesOpción,1)-WEEKDAY(DATE(Calendario1Año,Calendario1MesOpción,1),DíaDeLaSemanaOpción)</f>
        <v>45313</v>
      </c>
      <c r="B9" s="10">
        <f ca="1"/>
        <v>45314</v>
      </c>
      <c r="C9" s="10">
        <f ca="1"/>
        <v>45315</v>
      </c>
      <c r="D9" s="10">
        <f ca="1"/>
        <v>45316</v>
      </c>
      <c r="E9" s="10">
        <f ca="1"/>
        <v>45317</v>
      </c>
      <c r="F9" s="10">
        <f ca="1"/>
        <v>45318</v>
      </c>
      <c r="G9" s="11">
        <f ca="1"/>
        <v>45319</v>
      </c>
    </row>
    <row r="10" spans="1:9" x14ac:dyDescent="0.3">
      <c r="A10" s="6"/>
      <c r="B10" s="6"/>
      <c r="C10" s="6"/>
      <c r="D10" s="6"/>
      <c r="E10" s="24"/>
      <c r="F10" s="6"/>
      <c r="G10" s="7"/>
    </row>
    <row r="11" spans="1:9" ht="21" x14ac:dyDescent="0.3">
      <c r="A11" s="10">
        <f t="array" aca="1" ref="A11:G11" ca="1">Días+29+DATE(Calendario1Año,Calendario1MesOpción,1)-WEEKDAY(DATE(Calendario1Año,Calendario1MesOpción,1),DíaDeLaSemanaOpción)</f>
        <v>45320</v>
      </c>
      <c r="B11" s="10">
        <f ca="1"/>
        <v>45321</v>
      </c>
      <c r="C11" s="10">
        <f ca="1"/>
        <v>45322</v>
      </c>
      <c r="D11" s="10">
        <f ca="1"/>
        <v>45323</v>
      </c>
      <c r="E11" s="10">
        <f ca="1"/>
        <v>45324</v>
      </c>
      <c r="F11" s="10">
        <f ca="1"/>
        <v>45325</v>
      </c>
      <c r="G11" s="11">
        <f ca="1"/>
        <v>45326</v>
      </c>
    </row>
    <row r="12" spans="1:9" x14ac:dyDescent="0.3">
      <c r="A12" s="6"/>
      <c r="B12" s="6"/>
      <c r="C12" s="6"/>
      <c r="D12" s="51"/>
      <c r="E12" s="51"/>
      <c r="F12" s="51"/>
      <c r="G12" s="52"/>
    </row>
    <row r="13" spans="1:9" ht="21" x14ac:dyDescent="0.3">
      <c r="A13" s="10">
        <f t="array" aca="1" ref="A13:B13" ca="1">Días+36+DATE(Calendario1Año,Calendario1MesOpción,1)-WEEKDAY(DATE(Calendario1Año,Calendario1MesOpción,1),DíaDeLaSemanaOpción)</f>
        <v>45327</v>
      </c>
      <c r="B13" s="10">
        <f ca="1"/>
        <v>45328</v>
      </c>
      <c r="C13" s="62" t="s">
        <v>1</v>
      </c>
      <c r="D13" s="62"/>
      <c r="E13" s="62"/>
      <c r="F13" s="62"/>
      <c r="G13" s="62"/>
    </row>
    <row r="14" spans="1:9" x14ac:dyDescent="0.3">
      <c r="A14" s="51"/>
      <c r="B14" s="51"/>
      <c r="C14" s="68"/>
      <c r="D14" s="68"/>
      <c r="E14" s="68"/>
      <c r="F14" s="68"/>
      <c r="G14" s="68"/>
    </row>
    <row r="15" spans="1:9" ht="46.5" x14ac:dyDescent="0.7">
      <c r="A15" s="1">
        <f ca="1">YEAR(DATE(Calendario1Año,Calendario1MesOpción+1,1))</f>
        <v>2024</v>
      </c>
      <c r="B15" s="17" t="str">
        <f ca="1">TEXT(DATE(Calendario1Año,Calendario1MesOpción+1,1),"mmmm")</f>
        <v>febrero</v>
      </c>
      <c r="C15" s="13"/>
      <c r="D15" s="65" t="s">
        <v>194</v>
      </c>
      <c r="E15" s="65"/>
      <c r="F15" s="65"/>
      <c r="G15" s="19" t="s">
        <v>195</v>
      </c>
      <c r="I15" s="20"/>
    </row>
    <row r="16" spans="1:9" x14ac:dyDescent="0.3">
      <c r="A16" s="4" t="str">
        <f ca="1">UPPER(TEXT(A17,"dddd"))</f>
        <v>LUNES</v>
      </c>
      <c r="B16" s="5" t="str">
        <f t="shared" ref="B16:G16" ca="1" si="1">UPPER(TEXT(B17,"dddd"))</f>
        <v>MARTES</v>
      </c>
      <c r="C16" s="4" t="str">
        <f t="shared" ca="1" si="1"/>
        <v>MIÉRCOLES</v>
      </c>
      <c r="D16" s="5" t="str">
        <f t="shared" ca="1" si="1"/>
        <v>JUEVES</v>
      </c>
      <c r="E16" s="4" t="str">
        <f t="shared" ca="1" si="1"/>
        <v>VIERNES</v>
      </c>
      <c r="F16" s="5" t="str">
        <f t="shared" ca="1" si="1"/>
        <v>SÁBADO</v>
      </c>
      <c r="G16" s="4" t="str">
        <f t="shared" ca="1" si="1"/>
        <v>DOMINGO</v>
      </c>
    </row>
    <row r="17" spans="1:9" ht="21" x14ac:dyDescent="0.3">
      <c r="A17" s="10">
        <f t="array" aca="1" ref="A17:G17" ca="1">Días+1+DATE(Calendario2Año,Calendario2MesOpción,1)-WEEKDAY(DATE(Calendario2Año,Calendario2MesOpción,1),DíaDeLaSemanaOpción)</f>
        <v>45320</v>
      </c>
      <c r="B17" s="10">
        <f ca="1"/>
        <v>45321</v>
      </c>
      <c r="C17" s="10">
        <f ca="1"/>
        <v>45322</v>
      </c>
      <c r="D17" s="10">
        <f ca="1"/>
        <v>45323</v>
      </c>
      <c r="E17" s="10">
        <f ca="1"/>
        <v>45324</v>
      </c>
      <c r="F17" s="10">
        <f ca="1"/>
        <v>45325</v>
      </c>
      <c r="G17" s="11">
        <f ca="1"/>
        <v>45326</v>
      </c>
    </row>
    <row r="18" spans="1:9" x14ac:dyDescent="0.3">
      <c r="A18" s="51"/>
      <c r="B18" s="51"/>
      <c r="C18" s="51"/>
      <c r="D18" s="6"/>
      <c r="E18" s="6"/>
      <c r="F18" s="6"/>
      <c r="G18" s="7"/>
    </row>
    <row r="19" spans="1:9" ht="21" x14ac:dyDescent="0.3">
      <c r="A19" s="10">
        <f t="array" aca="1" ref="A19:G19" ca="1">Días+8+DATE(Calendario2Año,Calendario2MesOpción,1)-WEEKDAY(DATE(Calendario2Año,Calendario2MesOpción,1),DíaDeLaSemanaOpción)</f>
        <v>45327</v>
      </c>
      <c r="B19" s="10">
        <f ca="1"/>
        <v>45328</v>
      </c>
      <c r="C19" s="10">
        <f ca="1"/>
        <v>45329</v>
      </c>
      <c r="D19" s="10">
        <f ca="1"/>
        <v>45330</v>
      </c>
      <c r="E19" s="10">
        <f ca="1"/>
        <v>45331</v>
      </c>
      <c r="F19" s="10">
        <f ca="1"/>
        <v>45332</v>
      </c>
      <c r="G19" s="11">
        <f ca="1"/>
        <v>45333</v>
      </c>
    </row>
    <row r="20" spans="1:9" x14ac:dyDescent="0.3">
      <c r="A20" s="24"/>
      <c r="D20" s="6"/>
      <c r="E20" s="6"/>
      <c r="F20" s="25" t="s">
        <v>196</v>
      </c>
      <c r="G20" s="7"/>
      <c r="I20">
        <v>100</v>
      </c>
    </row>
    <row r="21" spans="1:9" ht="21" x14ac:dyDescent="0.3">
      <c r="A21" s="10">
        <f t="array" aca="1" ref="A21:G21" ca="1">Días+15+DATE(Calendario2Año,Calendario2MesOpción,1)-WEEKDAY(DATE(Calendario2Año,Calendario2MesOpción,1),DíaDeLaSemanaOpción)</f>
        <v>45334</v>
      </c>
      <c r="B21" s="10">
        <f ca="1"/>
        <v>45335</v>
      </c>
      <c r="C21" s="10">
        <f ca="1"/>
        <v>45336</v>
      </c>
      <c r="D21" s="10">
        <f ca="1"/>
        <v>45337</v>
      </c>
      <c r="E21" s="10">
        <f ca="1"/>
        <v>45338</v>
      </c>
      <c r="F21" s="10">
        <f ca="1"/>
        <v>45339</v>
      </c>
      <c r="G21" s="11">
        <f ca="1"/>
        <v>45340</v>
      </c>
    </row>
    <row r="22" spans="1:9" ht="28.5" x14ac:dyDescent="0.3">
      <c r="A22" s="25" t="s">
        <v>197</v>
      </c>
      <c r="B22" s="25" t="s">
        <v>197</v>
      </c>
      <c r="C22" s="25" t="s">
        <v>197</v>
      </c>
      <c r="D22" s="25" t="s">
        <v>197</v>
      </c>
      <c r="E22" s="25" t="s">
        <v>197</v>
      </c>
      <c r="F22" s="6"/>
      <c r="G22" s="7"/>
      <c r="I22">
        <f>725*5</f>
        <v>3625</v>
      </c>
    </row>
    <row r="23" spans="1:9" ht="21" x14ac:dyDescent="0.3">
      <c r="A23" s="10">
        <f t="array" aca="1" ref="A23:G23" ca="1">Días+22+DATE(Calendario2Año,Calendario2MesOpción,1)-WEEKDAY(DATE(Calendario2Año,Calendario2MesOpción,1),DíaDeLaSemanaOpción)</f>
        <v>45341</v>
      </c>
      <c r="B23" s="10">
        <f ca="1"/>
        <v>45342</v>
      </c>
      <c r="C23" s="10">
        <f ca="1"/>
        <v>45343</v>
      </c>
      <c r="D23" s="10">
        <f ca="1"/>
        <v>45344</v>
      </c>
      <c r="E23" s="10">
        <f ca="1"/>
        <v>45345</v>
      </c>
      <c r="F23" s="10">
        <f ca="1"/>
        <v>45346</v>
      </c>
      <c r="G23" s="11">
        <f ca="1"/>
        <v>45347</v>
      </c>
    </row>
    <row r="24" spans="1:9" x14ac:dyDescent="0.3">
      <c r="A24" s="6"/>
      <c r="B24" s="6"/>
      <c r="C24" s="6"/>
      <c r="D24" s="6"/>
      <c r="E24" s="6"/>
      <c r="F24" s="6"/>
      <c r="G24" s="7"/>
    </row>
    <row r="25" spans="1:9" ht="21" x14ac:dyDescent="0.3">
      <c r="A25" s="10">
        <f t="array" aca="1" ref="A25:G25" ca="1">Días+29+DATE(Calendario2Año,Calendario2MesOpción,1)-WEEKDAY(DATE(Calendario2Año,Calendario2MesOpción,1),DíaDeLaSemanaOpción)</f>
        <v>45348</v>
      </c>
      <c r="B25" s="10">
        <f ca="1"/>
        <v>45349</v>
      </c>
      <c r="C25" s="10">
        <f ca="1"/>
        <v>45350</v>
      </c>
      <c r="D25" s="10">
        <f ca="1"/>
        <v>45351</v>
      </c>
      <c r="E25" s="10">
        <f ca="1"/>
        <v>45352</v>
      </c>
      <c r="F25" s="10">
        <f ca="1"/>
        <v>45353</v>
      </c>
      <c r="G25" s="11">
        <f ca="1"/>
        <v>45354</v>
      </c>
    </row>
    <row r="26" spans="1:9" x14ac:dyDescent="0.3">
      <c r="A26" s="6"/>
      <c r="B26" s="6"/>
      <c r="C26" s="6"/>
      <c r="D26" s="6"/>
      <c r="E26" s="6"/>
      <c r="F26" s="6"/>
      <c r="G26" s="8"/>
    </row>
    <row r="27" spans="1:9" ht="21" x14ac:dyDescent="0.3">
      <c r="A27" s="10">
        <f t="array" aca="1" ref="A27:B27" ca="1">Días+36+DATE(Calendario2Año,Calendario2MesOpción,1)-WEEKDAY(DATE(Calendario2Año,Calendario2MesOpción,1),DíaDeLaSemanaOpción)</f>
        <v>45355</v>
      </c>
      <c r="B27" s="10">
        <f ca="1"/>
        <v>45356</v>
      </c>
      <c r="C27" s="62" t="s">
        <v>1</v>
      </c>
      <c r="D27" s="62"/>
      <c r="E27" s="62"/>
      <c r="F27" s="62"/>
      <c r="G27" s="62"/>
    </row>
    <row r="28" spans="1:9" x14ac:dyDescent="0.3">
      <c r="A28" s="6"/>
      <c r="B28" s="6"/>
      <c r="C28" s="63"/>
      <c r="D28" s="63"/>
      <c r="E28" s="63"/>
      <c r="F28" s="63"/>
      <c r="G28" s="63"/>
    </row>
    <row r="29" spans="1:9" ht="46.5" x14ac:dyDescent="0.7">
      <c r="A29" s="1">
        <f ca="1">YEAR(DATE(Calendario2Año,Calendario2MesOpción+1,1))</f>
        <v>2024</v>
      </c>
      <c r="B29" s="64" t="str">
        <f ca="1">TEXT(DATE(Calendario2Año,Calendario2MesOpción+1,1),"mmmm")</f>
        <v>marzo</v>
      </c>
      <c r="C29" s="64"/>
      <c r="D29" s="64"/>
      <c r="E29" s="2"/>
      <c r="F29" s="2"/>
      <c r="G29" s="2"/>
    </row>
    <row r="30" spans="1:9" x14ac:dyDescent="0.3">
      <c r="A30" s="4" t="str">
        <f ca="1">UPPER(TEXT(A31,"dddd"))</f>
        <v>LUNES</v>
      </c>
      <c r="B30" s="5" t="str">
        <f t="shared" ref="B30:G30" ca="1" si="2">UPPER(TEXT(B31,"dddd"))</f>
        <v>MARTES</v>
      </c>
      <c r="C30" s="4" t="str">
        <f t="shared" ca="1" si="2"/>
        <v>MIÉRCOLES</v>
      </c>
      <c r="D30" s="5" t="str">
        <f t="shared" ca="1" si="2"/>
        <v>JUEVES</v>
      </c>
      <c r="E30" s="4" t="str">
        <f t="shared" ca="1" si="2"/>
        <v>VIERNES</v>
      </c>
      <c r="F30" s="5" t="str">
        <f t="shared" ca="1" si="2"/>
        <v>SÁBADO</v>
      </c>
      <c r="G30" s="4" t="str">
        <f t="shared" ca="1" si="2"/>
        <v>DOMINGO</v>
      </c>
    </row>
    <row r="31" spans="1:9" ht="21" x14ac:dyDescent="0.3">
      <c r="A31" s="10">
        <f t="array" aca="1" ref="A31:G31" ca="1">Días+1+DATE(Calendario3Año,Calendario3MesOpción,1)-WEEKDAY(DATE(Calendario3Año,Calendario3MesOpción,1),DíaDeLaSemanaOpción)</f>
        <v>45348</v>
      </c>
      <c r="B31" s="10">
        <f ca="1"/>
        <v>45349</v>
      </c>
      <c r="C31" s="10">
        <f ca="1"/>
        <v>45350</v>
      </c>
      <c r="D31" s="10">
        <f ca="1"/>
        <v>45351</v>
      </c>
      <c r="E31" s="10">
        <f ca="1"/>
        <v>45352</v>
      </c>
      <c r="F31" s="10">
        <f ca="1"/>
        <v>45353</v>
      </c>
      <c r="G31" s="11">
        <f ca="1"/>
        <v>45354</v>
      </c>
    </row>
    <row r="32" spans="1:9" x14ac:dyDescent="0.3">
      <c r="A32" s="6"/>
      <c r="B32" s="6"/>
      <c r="C32" s="6"/>
      <c r="D32" s="6"/>
      <c r="E32" s="6"/>
      <c r="F32" s="6"/>
      <c r="G32" s="7"/>
    </row>
    <row r="33" spans="1:7" ht="21" x14ac:dyDescent="0.3">
      <c r="A33" s="10">
        <f t="array" aca="1" ref="A33:G33" ca="1">Días+8+DATE(Calendario3Año,Calendario3MesOpción,1)-WEEKDAY(DATE(Calendario3Año,Calendario3MesOpción,1),DíaDeLaSemanaOpción)</f>
        <v>45355</v>
      </c>
      <c r="B33" s="10">
        <f ca="1"/>
        <v>45356</v>
      </c>
      <c r="C33" s="10">
        <f ca="1"/>
        <v>45357</v>
      </c>
      <c r="D33" s="10">
        <f ca="1"/>
        <v>45358</v>
      </c>
      <c r="E33" s="10">
        <f ca="1"/>
        <v>45359</v>
      </c>
      <c r="F33" s="10">
        <f ca="1"/>
        <v>45360</v>
      </c>
      <c r="G33" s="11">
        <f ca="1"/>
        <v>45361</v>
      </c>
    </row>
    <row r="34" spans="1:7" x14ac:dyDescent="0.3">
      <c r="A34" s="6"/>
      <c r="B34" s="6"/>
      <c r="C34" s="6"/>
      <c r="D34" s="6"/>
      <c r="E34" s="6"/>
      <c r="F34" s="6"/>
      <c r="G34" s="7"/>
    </row>
    <row r="35" spans="1:7" ht="21" x14ac:dyDescent="0.3">
      <c r="A35" s="10">
        <f t="array" aca="1" ref="A35:G35" ca="1">Días+15+DATE(Calendario3Año,Calendario3MesOpción,1)-WEEKDAY(DATE(Calendario3Año,Calendario3MesOpción,1),DíaDeLaSemanaOpción)</f>
        <v>45362</v>
      </c>
      <c r="B35" s="10">
        <f ca="1"/>
        <v>45363</v>
      </c>
      <c r="C35" s="10">
        <f ca="1"/>
        <v>45364</v>
      </c>
      <c r="D35" s="10">
        <f ca="1"/>
        <v>45365</v>
      </c>
      <c r="E35" s="10">
        <f ca="1"/>
        <v>45366</v>
      </c>
      <c r="F35" s="10">
        <f ca="1"/>
        <v>45367</v>
      </c>
      <c r="G35" s="11">
        <f ca="1"/>
        <v>45368</v>
      </c>
    </row>
    <row r="36" spans="1:7" x14ac:dyDescent="0.3">
      <c r="A36" s="6"/>
      <c r="B36" s="6"/>
      <c r="C36" s="6"/>
      <c r="D36" s="6"/>
      <c r="E36" s="6"/>
      <c r="F36" s="6"/>
      <c r="G36" s="7"/>
    </row>
    <row r="37" spans="1:7" ht="21" x14ac:dyDescent="0.3">
      <c r="A37" s="10">
        <f t="array" aca="1" ref="A37:G37" ca="1">Días+22+DATE(Calendario3Año,Calendario3MesOpción,1)-WEEKDAY(DATE(Calendario3Año,Calendario3MesOpción,1),DíaDeLaSemanaOpción)</f>
        <v>45369</v>
      </c>
      <c r="B37" s="10">
        <f ca="1"/>
        <v>45370</v>
      </c>
      <c r="C37" s="10">
        <f ca="1"/>
        <v>45371</v>
      </c>
      <c r="D37" s="10">
        <f ca="1"/>
        <v>45372</v>
      </c>
      <c r="E37" s="10">
        <f ca="1"/>
        <v>45373</v>
      </c>
      <c r="F37" s="10">
        <f ca="1"/>
        <v>45374</v>
      </c>
      <c r="G37" s="11">
        <f ca="1"/>
        <v>45375</v>
      </c>
    </row>
    <row r="38" spans="1:7" x14ac:dyDescent="0.3">
      <c r="A38" s="6"/>
      <c r="B38" s="6"/>
      <c r="C38" s="6"/>
      <c r="D38" s="6"/>
      <c r="E38" s="6"/>
      <c r="F38" s="6"/>
      <c r="G38" s="7"/>
    </row>
    <row r="39" spans="1:7" ht="21" x14ac:dyDescent="0.3">
      <c r="A39" s="10">
        <f t="array" aca="1" ref="A39:G39" ca="1">Días+29+DATE(Calendario3Año,Calendario3MesOpción,1)-WEEKDAY(DATE(Calendario3Año,Calendario3MesOpción,1),DíaDeLaSemanaOpción)</f>
        <v>45376</v>
      </c>
      <c r="B39" s="10">
        <f ca="1"/>
        <v>45377</v>
      </c>
      <c r="C39" s="10">
        <f ca="1"/>
        <v>45378</v>
      </c>
      <c r="D39" s="10">
        <f ca="1"/>
        <v>45379</v>
      </c>
      <c r="E39" s="10">
        <f ca="1"/>
        <v>45380</v>
      </c>
      <c r="F39" s="10">
        <f ca="1"/>
        <v>45381</v>
      </c>
      <c r="G39" s="11">
        <f ca="1"/>
        <v>45382</v>
      </c>
    </row>
    <row r="40" spans="1:7" x14ac:dyDescent="0.3">
      <c r="A40" s="6"/>
      <c r="B40" s="6"/>
      <c r="C40" s="6"/>
      <c r="D40" s="6"/>
      <c r="E40" s="6"/>
      <c r="F40" s="6"/>
      <c r="G40" s="8"/>
    </row>
    <row r="41" spans="1:7" ht="21" x14ac:dyDescent="0.3">
      <c r="A41" s="10">
        <f t="array" aca="1" ref="A41:B41" ca="1">Días+36+DATE(Calendario3Año,Calendario3MesOpción,1)-WEEKDAY(DATE(Calendario3Año,Calendario3MesOpción,1),DíaDeLaSemanaOpción)</f>
        <v>45383</v>
      </c>
      <c r="B41" s="10">
        <f ca="1"/>
        <v>45384</v>
      </c>
      <c r="C41" s="62" t="s">
        <v>1</v>
      </c>
      <c r="D41" s="62"/>
      <c r="E41" s="62"/>
      <c r="F41" s="62"/>
      <c r="G41" s="62"/>
    </row>
    <row r="42" spans="1:7" x14ac:dyDescent="0.3">
      <c r="A42" s="6"/>
      <c r="B42" s="6"/>
      <c r="C42" s="63"/>
      <c r="D42" s="63"/>
      <c r="E42" s="63"/>
      <c r="F42" s="63"/>
      <c r="G42" s="63"/>
    </row>
    <row r="43" spans="1:7" ht="46.5" x14ac:dyDescent="0.7">
      <c r="A43" s="1">
        <f ca="1">YEAR(DATE(Calendario3Año,Calendario3MesOpción+1,1))</f>
        <v>2024</v>
      </c>
      <c r="B43" s="64" t="str">
        <f ca="1">TEXT(DATE(Calendario3Año,Calendario3MesOpción+1,1),"mmmm")</f>
        <v>abril</v>
      </c>
      <c r="C43" s="64"/>
      <c r="D43" s="64"/>
      <c r="E43" s="2"/>
      <c r="F43" s="2"/>
      <c r="G43" s="2"/>
    </row>
    <row r="44" spans="1:7" x14ac:dyDescent="0.3">
      <c r="A44" s="4" t="str">
        <f ca="1">UPPER(TEXT(A45,"dddd"))</f>
        <v>LUNES</v>
      </c>
      <c r="B44" s="5" t="str">
        <f t="shared" ref="B44:G44" ca="1" si="3">UPPER(TEXT(B45,"dddd"))</f>
        <v>MARTES</v>
      </c>
      <c r="C44" s="4" t="str">
        <f t="shared" ca="1" si="3"/>
        <v>MIÉRCOLES</v>
      </c>
      <c r="D44" s="5" t="str">
        <f t="shared" ca="1" si="3"/>
        <v>JUEVES</v>
      </c>
      <c r="E44" s="4" t="str">
        <f t="shared" ca="1" si="3"/>
        <v>VIERNES</v>
      </c>
      <c r="F44" s="5" t="str">
        <f t="shared" ca="1" si="3"/>
        <v>SÁBADO</v>
      </c>
      <c r="G44" s="4" t="str">
        <f t="shared" ca="1" si="3"/>
        <v>DOMINGO</v>
      </c>
    </row>
    <row r="45" spans="1:7" ht="21" x14ac:dyDescent="0.3">
      <c r="A45" s="10">
        <f t="array" aca="1" ref="A45:G45" ca="1">Días+1+DATE(Calendario4Año,Calendario4MesOpción,1)-WEEKDAY(DATE(Calendario4Año,Calendario4MesOpción,1),DíaDeLaSemanaOpción)</f>
        <v>45383</v>
      </c>
      <c r="B45" s="10">
        <f ca="1"/>
        <v>45384</v>
      </c>
      <c r="C45" s="10">
        <f ca="1"/>
        <v>45385</v>
      </c>
      <c r="D45" s="10">
        <f ca="1"/>
        <v>45386</v>
      </c>
      <c r="E45" s="10">
        <f ca="1"/>
        <v>45387</v>
      </c>
      <c r="F45" s="10">
        <f ca="1"/>
        <v>45388</v>
      </c>
      <c r="G45" s="11">
        <f ca="1"/>
        <v>45389</v>
      </c>
    </row>
    <row r="46" spans="1:7" x14ac:dyDescent="0.3">
      <c r="A46" s="6"/>
      <c r="B46" s="6"/>
      <c r="C46" s="6"/>
      <c r="D46" s="6"/>
      <c r="E46" s="6"/>
      <c r="F46" s="6"/>
      <c r="G46" s="7"/>
    </row>
    <row r="47" spans="1:7" ht="21" x14ac:dyDescent="0.3">
      <c r="A47" s="10">
        <f t="array" aca="1" ref="A47:G47" ca="1">Días+8+DATE(Calendario4Año,Calendario4MesOpción,1)-WEEKDAY(DATE(Calendario4Año,Calendario4MesOpción,1),DíaDeLaSemanaOpción)</f>
        <v>45390</v>
      </c>
      <c r="B47" s="10">
        <f ca="1"/>
        <v>45391</v>
      </c>
      <c r="C47" s="10">
        <f ca="1"/>
        <v>45392</v>
      </c>
      <c r="D47" s="10">
        <f ca="1"/>
        <v>45393</v>
      </c>
      <c r="E47" s="10">
        <f ca="1"/>
        <v>45394</v>
      </c>
      <c r="F47" s="10">
        <f ca="1"/>
        <v>45395</v>
      </c>
      <c r="G47" s="11">
        <f ca="1"/>
        <v>45396</v>
      </c>
    </row>
    <row r="48" spans="1:7" x14ac:dyDescent="0.3">
      <c r="A48" s="6"/>
      <c r="B48" s="6"/>
      <c r="C48" s="6"/>
      <c r="D48" s="6"/>
      <c r="E48" s="6"/>
      <c r="F48" s="6"/>
      <c r="G48" s="7"/>
    </row>
    <row r="49" spans="1:7" ht="21" x14ac:dyDescent="0.3">
      <c r="A49" s="10">
        <f t="array" aca="1" ref="A49:G49" ca="1">Días+15+DATE(Calendario4Año,Calendario4MesOpción,1)-WEEKDAY(DATE(Calendario4Año,Calendario4MesOpción,1),DíaDeLaSemanaOpción)</f>
        <v>45397</v>
      </c>
      <c r="B49" s="10">
        <f ca="1"/>
        <v>45398</v>
      </c>
      <c r="C49" s="10">
        <f ca="1"/>
        <v>45399</v>
      </c>
      <c r="D49" s="10">
        <f ca="1"/>
        <v>45400</v>
      </c>
      <c r="E49" s="10">
        <f ca="1"/>
        <v>45401</v>
      </c>
      <c r="F49" s="10">
        <f ca="1"/>
        <v>45402</v>
      </c>
      <c r="G49" s="11">
        <f ca="1"/>
        <v>45403</v>
      </c>
    </row>
    <row r="50" spans="1:7" x14ac:dyDescent="0.3">
      <c r="A50" s="6"/>
      <c r="B50" s="6"/>
      <c r="C50" s="6"/>
      <c r="D50" s="6"/>
      <c r="E50" s="6"/>
      <c r="F50" s="6"/>
      <c r="G50" s="7"/>
    </row>
    <row r="51" spans="1:7" ht="21" x14ac:dyDescent="0.3">
      <c r="A51" s="10">
        <f t="array" aca="1" ref="A51:G51" ca="1">Días+22+DATE(Calendario4Año,Calendario4MesOpción,1)-WEEKDAY(DATE(Calendario4Año,Calendario4MesOpción,1),DíaDeLaSemanaOpción)</f>
        <v>45404</v>
      </c>
      <c r="B51" s="10">
        <f ca="1"/>
        <v>45405</v>
      </c>
      <c r="C51" s="10">
        <f ca="1"/>
        <v>45406</v>
      </c>
      <c r="D51" s="10">
        <f ca="1"/>
        <v>45407</v>
      </c>
      <c r="E51" s="10">
        <f ca="1"/>
        <v>45408</v>
      </c>
      <c r="F51" s="10">
        <f ca="1"/>
        <v>45409</v>
      </c>
      <c r="G51" s="11">
        <f ca="1"/>
        <v>45410</v>
      </c>
    </row>
    <row r="52" spans="1:7" x14ac:dyDescent="0.3">
      <c r="A52" s="6"/>
      <c r="B52" s="6"/>
      <c r="C52" s="6"/>
      <c r="D52" s="6"/>
      <c r="E52" s="6"/>
      <c r="F52" s="6"/>
      <c r="G52" s="7"/>
    </row>
    <row r="53" spans="1:7" ht="21" x14ac:dyDescent="0.3">
      <c r="A53" s="10">
        <f t="array" aca="1" ref="A53:G53" ca="1">Días+29+DATE(Calendario4Año,Calendario4MesOpción,1)-WEEKDAY(DATE(Calendario4Año,Calendario4MesOpción,1),DíaDeLaSemanaOpción)</f>
        <v>45411</v>
      </c>
      <c r="B53" s="10">
        <f ca="1"/>
        <v>45412</v>
      </c>
      <c r="C53" s="10">
        <f ca="1"/>
        <v>45413</v>
      </c>
      <c r="D53" s="10">
        <f ca="1"/>
        <v>45414</v>
      </c>
      <c r="E53" s="10">
        <f ca="1"/>
        <v>45415</v>
      </c>
      <c r="F53" s="10">
        <f ca="1"/>
        <v>45416</v>
      </c>
      <c r="G53" s="11">
        <f ca="1"/>
        <v>45417</v>
      </c>
    </row>
    <row r="54" spans="1:7" x14ac:dyDescent="0.3">
      <c r="A54" s="6"/>
      <c r="B54" s="6"/>
      <c r="C54" s="6"/>
      <c r="D54" s="6"/>
      <c r="E54" s="6"/>
      <c r="F54" s="6"/>
      <c r="G54" s="8"/>
    </row>
    <row r="55" spans="1:7" ht="21" x14ac:dyDescent="0.3">
      <c r="A55" s="10">
        <f t="array" aca="1" ref="A55:B55" ca="1">Días+36+DATE(Calendario4Año,Calendario4MesOpción,1)-WEEKDAY(DATE(Calendario4Año,Calendario4MesOpción,1),DíaDeLaSemanaOpción)</f>
        <v>45418</v>
      </c>
      <c r="B55" s="10">
        <f ca="1"/>
        <v>45419</v>
      </c>
      <c r="C55" s="61" t="s">
        <v>1</v>
      </c>
      <c r="D55" s="62"/>
      <c r="E55" s="62"/>
      <c r="F55" s="62"/>
      <c r="G55" s="62"/>
    </row>
    <row r="56" spans="1:7" x14ac:dyDescent="0.3">
      <c r="A56" s="6"/>
      <c r="B56" s="6"/>
      <c r="C56" s="63"/>
      <c r="D56" s="63"/>
      <c r="E56" s="63"/>
      <c r="F56" s="63"/>
      <c r="G56" s="63"/>
    </row>
    <row r="57" spans="1:7" ht="46.5" x14ac:dyDescent="0.7">
      <c r="A57" s="1">
        <f ca="1">YEAR(DATE(Calendario4Año,Calendario4MesOpción+1,1))</f>
        <v>2024</v>
      </c>
      <c r="B57" s="64" t="str">
        <f ca="1">TEXT(DATE(Calendario4Año,Calendario4MesOpción+1,1),"mmmm")</f>
        <v>mayo</v>
      </c>
      <c r="C57" s="64"/>
      <c r="D57" s="64"/>
      <c r="E57" s="2"/>
      <c r="F57" s="2"/>
      <c r="G57" s="2"/>
    </row>
    <row r="58" spans="1:7" x14ac:dyDescent="0.3">
      <c r="A58" s="4" t="str">
        <f ca="1">UPPER(TEXT(A59,"dddd"))</f>
        <v>LUNES</v>
      </c>
      <c r="B58" s="5" t="str">
        <f t="shared" ref="B58:G58" ca="1" si="4">UPPER(TEXT(B59,"dddd"))</f>
        <v>MARTES</v>
      </c>
      <c r="C58" s="4" t="str">
        <f t="shared" ca="1" si="4"/>
        <v>MIÉRCOLES</v>
      </c>
      <c r="D58" s="5" t="str">
        <f t="shared" ca="1" si="4"/>
        <v>JUEVES</v>
      </c>
      <c r="E58" s="4" t="str">
        <f t="shared" ca="1" si="4"/>
        <v>VIERNES</v>
      </c>
      <c r="F58" s="5" t="str">
        <f t="shared" ca="1" si="4"/>
        <v>SÁBADO</v>
      </c>
      <c r="G58" s="4" t="str">
        <f t="shared" ca="1" si="4"/>
        <v>DOMINGO</v>
      </c>
    </row>
    <row r="59" spans="1:7" ht="21" x14ac:dyDescent="0.3">
      <c r="A59" s="10">
        <f t="array" aca="1" ref="A59:G59" ca="1">Días+1+DATE(Calendario5Año,Calendario5MesOpción,1)-WEEKDAY(DATE(Calendario5Año,Calendario5MesOpción,1),DíaDeLaSemanaOpción)</f>
        <v>45411</v>
      </c>
      <c r="B59" s="10">
        <f ca="1"/>
        <v>45412</v>
      </c>
      <c r="C59" s="10">
        <f ca="1"/>
        <v>45413</v>
      </c>
      <c r="D59" s="10">
        <f ca="1"/>
        <v>45414</v>
      </c>
      <c r="E59" s="10">
        <f ca="1"/>
        <v>45415</v>
      </c>
      <c r="F59" s="10">
        <f ca="1"/>
        <v>45416</v>
      </c>
      <c r="G59" s="11">
        <f ca="1"/>
        <v>45417</v>
      </c>
    </row>
    <row r="60" spans="1:7" x14ac:dyDescent="0.3">
      <c r="A60" s="6"/>
      <c r="B60" s="6"/>
      <c r="C60" s="6"/>
      <c r="D60" s="6"/>
      <c r="E60" s="6"/>
      <c r="F60" s="6"/>
      <c r="G60" s="7"/>
    </row>
    <row r="61" spans="1:7" ht="21" x14ac:dyDescent="0.3">
      <c r="A61" s="10">
        <f t="array" aca="1" ref="A61:G61" ca="1">Días+8+DATE(Calendario5Año,Calendario5MesOpción,1)-WEEKDAY(DATE(Calendario5Año,Calendario5MesOpción,1),DíaDeLaSemanaOpción)</f>
        <v>45418</v>
      </c>
      <c r="B61" s="10">
        <f ca="1"/>
        <v>45419</v>
      </c>
      <c r="C61" s="10">
        <f ca="1"/>
        <v>45420</v>
      </c>
      <c r="D61" s="10">
        <f ca="1"/>
        <v>45421</v>
      </c>
      <c r="E61" s="10">
        <f ca="1"/>
        <v>45422</v>
      </c>
      <c r="F61" s="10">
        <f ca="1"/>
        <v>45423</v>
      </c>
      <c r="G61" s="11">
        <f ca="1"/>
        <v>45424</v>
      </c>
    </row>
    <row r="62" spans="1:7" x14ac:dyDescent="0.3">
      <c r="A62" s="6"/>
      <c r="B62" s="6"/>
      <c r="C62" s="6"/>
      <c r="D62" s="6"/>
      <c r="E62" s="6"/>
      <c r="F62" s="6"/>
      <c r="G62" s="7"/>
    </row>
    <row r="63" spans="1:7" ht="21" x14ac:dyDescent="0.3">
      <c r="A63" s="10">
        <f t="array" aca="1" ref="A63:G63" ca="1">Días+15+DATE(Calendario5Año,Calendario5MesOpción,1)-WEEKDAY(DATE(Calendario5Año,Calendario5MesOpción,1),DíaDeLaSemanaOpción)</f>
        <v>45425</v>
      </c>
      <c r="B63" s="10">
        <f ca="1"/>
        <v>45426</v>
      </c>
      <c r="C63" s="10">
        <f ca="1"/>
        <v>45427</v>
      </c>
      <c r="D63" s="10">
        <f ca="1"/>
        <v>45428</v>
      </c>
      <c r="E63" s="10">
        <f ca="1"/>
        <v>45429</v>
      </c>
      <c r="F63" s="10">
        <f ca="1"/>
        <v>45430</v>
      </c>
      <c r="G63" s="11">
        <f ca="1"/>
        <v>45431</v>
      </c>
    </row>
    <row r="64" spans="1:7" x14ac:dyDescent="0.3">
      <c r="A64" s="6"/>
      <c r="B64" s="6"/>
      <c r="C64" s="6"/>
      <c r="D64" s="6"/>
      <c r="E64" s="6"/>
      <c r="F64" s="6"/>
      <c r="G64" s="7"/>
    </row>
    <row r="65" spans="1:7" ht="21" x14ac:dyDescent="0.3">
      <c r="A65" s="10">
        <f t="array" aca="1" ref="A65:G65" ca="1">Días+22+DATE(Calendario5Año,Calendario5MesOpción,1)-WEEKDAY(DATE(Calendario5Año,Calendario5MesOpción,1),DíaDeLaSemanaOpción)</f>
        <v>45432</v>
      </c>
      <c r="B65" s="10">
        <f ca="1"/>
        <v>45433</v>
      </c>
      <c r="C65" s="10">
        <f ca="1"/>
        <v>45434</v>
      </c>
      <c r="D65" s="10">
        <f ca="1"/>
        <v>45435</v>
      </c>
      <c r="E65" s="10">
        <f ca="1"/>
        <v>45436</v>
      </c>
      <c r="F65" s="10">
        <f ca="1"/>
        <v>45437</v>
      </c>
      <c r="G65" s="11">
        <f ca="1"/>
        <v>45438</v>
      </c>
    </row>
    <row r="66" spans="1:7" x14ac:dyDescent="0.3">
      <c r="A66" s="6"/>
      <c r="B66" s="6"/>
      <c r="C66" s="6"/>
      <c r="D66" s="6"/>
      <c r="E66" s="6"/>
      <c r="F66" s="6"/>
      <c r="G66" s="7"/>
    </row>
    <row r="67" spans="1:7" ht="21" x14ac:dyDescent="0.3">
      <c r="A67" s="10">
        <f t="array" aca="1" ref="A67:G67" ca="1">Días+29+DATE(Calendario5Año,Calendario5MesOpción,1)-WEEKDAY(DATE(Calendario5Año,Calendario5MesOpción,1),DíaDeLaSemanaOpción)</f>
        <v>45439</v>
      </c>
      <c r="B67" s="10">
        <f ca="1"/>
        <v>45440</v>
      </c>
      <c r="C67" s="10">
        <f ca="1"/>
        <v>45441</v>
      </c>
      <c r="D67" s="10">
        <f ca="1"/>
        <v>45442</v>
      </c>
      <c r="E67" s="10">
        <f ca="1"/>
        <v>45443</v>
      </c>
      <c r="F67" s="10">
        <f ca="1"/>
        <v>45444</v>
      </c>
      <c r="G67" s="11">
        <f ca="1"/>
        <v>45445</v>
      </c>
    </row>
    <row r="68" spans="1:7" x14ac:dyDescent="0.3">
      <c r="A68" s="6"/>
      <c r="B68" s="6"/>
      <c r="C68" s="6"/>
      <c r="D68" s="6"/>
      <c r="E68" s="6"/>
      <c r="F68" s="6"/>
      <c r="G68" s="8"/>
    </row>
    <row r="69" spans="1:7" ht="21" x14ac:dyDescent="0.3">
      <c r="A69" s="10">
        <f t="array" aca="1" ref="A69:B69" ca="1">Días+36+DATE(Calendario5Año,Calendario5MesOpción,1)-WEEKDAY(DATE(Calendario5Año,Calendario5MesOpción,1),DíaDeLaSemanaOpción)</f>
        <v>45446</v>
      </c>
      <c r="B69" s="10">
        <f ca="1"/>
        <v>45447</v>
      </c>
      <c r="C69" s="61" t="s">
        <v>1</v>
      </c>
      <c r="D69" s="62"/>
      <c r="E69" s="62"/>
      <c r="F69" s="62"/>
      <c r="G69" s="62"/>
    </row>
    <row r="70" spans="1:7" x14ac:dyDescent="0.3">
      <c r="A70" s="6"/>
      <c r="B70" s="6"/>
      <c r="C70" s="63"/>
      <c r="D70" s="63"/>
      <c r="E70" s="63"/>
      <c r="F70" s="63"/>
      <c r="G70" s="63"/>
    </row>
    <row r="71" spans="1:7" ht="46.5" x14ac:dyDescent="0.7">
      <c r="A71" s="1">
        <f ca="1">YEAR(DATE(Calendario5Año,Calendario5MesOpción+1,1))</f>
        <v>2024</v>
      </c>
      <c r="B71" s="64" t="str">
        <f ca="1">TEXT(DATE(Calendario5Año,Calendario5MesOpción+1,1),"mmmm")</f>
        <v>junio</v>
      </c>
      <c r="C71" s="64"/>
      <c r="D71" s="64"/>
      <c r="E71" s="2"/>
      <c r="F71" s="2"/>
      <c r="G71" s="2"/>
    </row>
    <row r="72" spans="1:7" x14ac:dyDescent="0.3">
      <c r="A72" s="4" t="str">
        <f ca="1">UPPER(TEXT(A73,"dddd"))</f>
        <v>LUNES</v>
      </c>
      <c r="B72" s="5" t="str">
        <f t="shared" ref="B72:G72" ca="1" si="5">UPPER(TEXT(B73,"dddd"))</f>
        <v>MARTES</v>
      </c>
      <c r="C72" s="4" t="str">
        <f t="shared" ca="1" si="5"/>
        <v>MIÉRCOLES</v>
      </c>
      <c r="D72" s="5" t="str">
        <f t="shared" ca="1" si="5"/>
        <v>JUEVES</v>
      </c>
      <c r="E72" s="4" t="str">
        <f t="shared" ca="1" si="5"/>
        <v>VIERNES</v>
      </c>
      <c r="F72" s="5" t="str">
        <f t="shared" ca="1" si="5"/>
        <v>SÁBADO</v>
      </c>
      <c r="G72" s="4" t="str">
        <f t="shared" ca="1" si="5"/>
        <v>DOMINGO</v>
      </c>
    </row>
    <row r="73" spans="1:7" ht="21" x14ac:dyDescent="0.3">
      <c r="A73" s="10">
        <f t="array" aca="1" ref="A73:G73" ca="1">Días+1+DATE(Calendario6Año,Calendario6MesOpción,1)-WEEKDAY(DATE(Calendario6Año,Calendario6MesOpción,1),DíaDeLaSemanaOpción)</f>
        <v>45439</v>
      </c>
      <c r="B73" s="10">
        <f ca="1"/>
        <v>45440</v>
      </c>
      <c r="C73" s="10">
        <f ca="1"/>
        <v>45441</v>
      </c>
      <c r="D73" s="10">
        <f ca="1"/>
        <v>45442</v>
      </c>
      <c r="E73" s="10">
        <f ca="1"/>
        <v>45443</v>
      </c>
      <c r="F73" s="10">
        <f ca="1"/>
        <v>45444</v>
      </c>
      <c r="G73" s="11">
        <f ca="1"/>
        <v>45445</v>
      </c>
    </row>
    <row r="74" spans="1:7" x14ac:dyDescent="0.3">
      <c r="A74" s="6"/>
      <c r="B74" s="6"/>
      <c r="C74" s="6"/>
      <c r="D74" s="6"/>
      <c r="E74" s="6"/>
      <c r="F74" s="6"/>
      <c r="G74" s="7"/>
    </row>
    <row r="75" spans="1:7" ht="21" x14ac:dyDescent="0.3">
      <c r="A75" s="10">
        <f t="array" aca="1" ref="A75:G75" ca="1">Días+8+DATE(Calendario6Año,Calendario6MesOpción,1)-WEEKDAY(DATE(Calendario6Año,Calendario6MesOpción,1),DíaDeLaSemanaOpción)</f>
        <v>45446</v>
      </c>
      <c r="B75" s="10">
        <f ca="1"/>
        <v>45447</v>
      </c>
      <c r="C75" s="10">
        <f ca="1"/>
        <v>45448</v>
      </c>
      <c r="D75" s="10">
        <f ca="1"/>
        <v>45449</v>
      </c>
      <c r="E75" s="10">
        <f ca="1"/>
        <v>45450</v>
      </c>
      <c r="F75" s="10">
        <f ca="1"/>
        <v>45451</v>
      </c>
      <c r="G75" s="11">
        <f ca="1"/>
        <v>45452</v>
      </c>
    </row>
    <row r="76" spans="1:7" x14ac:dyDescent="0.3">
      <c r="A76" s="6"/>
      <c r="B76" s="6"/>
      <c r="C76" s="6"/>
      <c r="D76" s="6"/>
      <c r="E76" s="6"/>
      <c r="F76" s="6"/>
      <c r="G76" s="7"/>
    </row>
    <row r="77" spans="1:7" ht="21" x14ac:dyDescent="0.3">
      <c r="A77" s="10">
        <f t="array" aca="1" ref="A77:G77" ca="1">Días+15+DATE(Calendario6Año,Calendario6MesOpción,1)-WEEKDAY(DATE(Calendario6Año,Calendario6MesOpción,1),DíaDeLaSemanaOpción)</f>
        <v>45453</v>
      </c>
      <c r="B77" s="10">
        <f ca="1"/>
        <v>45454</v>
      </c>
      <c r="C77" s="10">
        <f ca="1"/>
        <v>45455</v>
      </c>
      <c r="D77" s="10">
        <f ca="1"/>
        <v>45456</v>
      </c>
      <c r="E77" s="10">
        <f ca="1"/>
        <v>45457</v>
      </c>
      <c r="F77" s="10">
        <f ca="1"/>
        <v>45458</v>
      </c>
      <c r="G77" s="11">
        <f ca="1"/>
        <v>45459</v>
      </c>
    </row>
    <row r="78" spans="1:7" x14ac:dyDescent="0.3">
      <c r="A78" s="6"/>
      <c r="B78" s="6"/>
      <c r="C78" s="6"/>
      <c r="D78" s="6"/>
      <c r="E78" s="6"/>
      <c r="F78" s="6"/>
      <c r="G78" s="7"/>
    </row>
    <row r="79" spans="1:7" ht="21" x14ac:dyDescent="0.3">
      <c r="A79" s="10">
        <f t="array" aca="1" ref="A79:G79" ca="1">Días+22+DATE(Calendario6Año,Calendario6MesOpción,1)-WEEKDAY(DATE(Calendario6Año,Calendario6MesOpción,1),DíaDeLaSemanaOpción)</f>
        <v>45460</v>
      </c>
      <c r="B79" s="10">
        <f ca="1"/>
        <v>45461</v>
      </c>
      <c r="C79" s="10">
        <f ca="1"/>
        <v>45462</v>
      </c>
      <c r="D79" s="10">
        <f ca="1"/>
        <v>45463</v>
      </c>
      <c r="E79" s="10">
        <f ca="1"/>
        <v>45464</v>
      </c>
      <c r="F79" s="10">
        <f ca="1"/>
        <v>45465</v>
      </c>
      <c r="G79" s="11">
        <f ca="1"/>
        <v>45466</v>
      </c>
    </row>
    <row r="80" spans="1:7" x14ac:dyDescent="0.3">
      <c r="A80" s="6"/>
      <c r="B80" s="6"/>
      <c r="C80" s="6"/>
      <c r="D80" s="6"/>
      <c r="E80" s="6"/>
      <c r="F80" s="6"/>
      <c r="G80" s="7"/>
    </row>
    <row r="81" spans="1:7" ht="21" x14ac:dyDescent="0.3">
      <c r="A81" s="10">
        <f t="array" aca="1" ref="A81:G81" ca="1">Días+29+DATE(Calendario6Año,Calendario6MesOpción,1)-WEEKDAY(DATE(Calendario6Año,Calendario6MesOpción,1),DíaDeLaSemanaOpción)</f>
        <v>45467</v>
      </c>
      <c r="B81" s="10">
        <f ca="1"/>
        <v>45468</v>
      </c>
      <c r="C81" s="10">
        <f ca="1"/>
        <v>45469</v>
      </c>
      <c r="D81" s="10">
        <f ca="1"/>
        <v>45470</v>
      </c>
      <c r="E81" s="10">
        <f ca="1"/>
        <v>45471</v>
      </c>
      <c r="F81" s="10">
        <f ca="1"/>
        <v>45472</v>
      </c>
      <c r="G81" s="11">
        <f ca="1"/>
        <v>45473</v>
      </c>
    </row>
    <row r="82" spans="1:7" x14ac:dyDescent="0.3">
      <c r="A82" s="6"/>
      <c r="B82" s="6"/>
      <c r="C82" s="6"/>
      <c r="D82" s="6"/>
      <c r="E82" s="6"/>
      <c r="F82" s="6"/>
      <c r="G82" s="8"/>
    </row>
    <row r="83" spans="1:7" ht="21" x14ac:dyDescent="0.3">
      <c r="A83" s="10">
        <f t="array" aca="1" ref="A83:B83" ca="1">Días+36+DATE(Calendario6Año,Calendario6MesOpción,1)-WEEKDAY(DATE(Calendario6Año,Calendario6MesOpción,1),DíaDeLaSemanaOpción)</f>
        <v>45474</v>
      </c>
      <c r="B83" s="10">
        <f ca="1"/>
        <v>45475</v>
      </c>
      <c r="C83" s="61" t="s">
        <v>1</v>
      </c>
      <c r="D83" s="62"/>
      <c r="E83" s="62"/>
      <c r="F83" s="62"/>
      <c r="G83" s="62"/>
    </row>
    <row r="84" spans="1:7" x14ac:dyDescent="0.3">
      <c r="A84" s="6"/>
      <c r="B84" s="6"/>
      <c r="C84" s="63"/>
      <c r="D84" s="63"/>
      <c r="E84" s="63"/>
      <c r="F84" s="63"/>
      <c r="G84" s="63"/>
    </row>
    <row r="85" spans="1:7" ht="46.5" x14ac:dyDescent="0.7">
      <c r="A85" s="1">
        <f ca="1">YEAR(DATE(Calendario6Año,Calendario6MesOpción+1,1))</f>
        <v>2024</v>
      </c>
      <c r="B85" s="64" t="str">
        <f ca="1">TEXT(DATE(Calendario6Año,Calendario6MesOpción+1,1),"mmmm")</f>
        <v>julio</v>
      </c>
      <c r="C85" s="64"/>
      <c r="D85" s="64"/>
      <c r="E85" s="2"/>
      <c r="F85" s="2"/>
      <c r="G85" s="2"/>
    </row>
    <row r="86" spans="1:7" x14ac:dyDescent="0.3">
      <c r="A86" s="4" t="str">
        <f ca="1">UPPER(TEXT(A87,"dddd"))</f>
        <v>LUNES</v>
      </c>
      <c r="B86" s="5" t="str">
        <f t="shared" ref="B86:G86" ca="1" si="6">UPPER(TEXT(B87,"dddd"))</f>
        <v>MARTES</v>
      </c>
      <c r="C86" s="4" t="str">
        <f t="shared" ca="1" si="6"/>
        <v>MIÉRCOLES</v>
      </c>
      <c r="D86" s="5" t="str">
        <f t="shared" ca="1" si="6"/>
        <v>JUEVES</v>
      </c>
      <c r="E86" s="4" t="str">
        <f t="shared" ca="1" si="6"/>
        <v>VIERNES</v>
      </c>
      <c r="F86" s="5" t="str">
        <f t="shared" ca="1" si="6"/>
        <v>SÁBADO</v>
      </c>
      <c r="G86" s="4" t="str">
        <f t="shared" ca="1" si="6"/>
        <v>DOMINGO</v>
      </c>
    </row>
    <row r="87" spans="1:7" ht="21" x14ac:dyDescent="0.3">
      <c r="A87" s="10">
        <f t="array" aca="1" ref="A87:G87" ca="1">Días+1+DATE(Calendario7Año,Calendario7MesOpción,1)-WEEKDAY(DATE(Calendario7Año,Calendario7MesOpción,1),DíaDeLaSemanaOpción)</f>
        <v>45474</v>
      </c>
      <c r="B87" s="10">
        <f ca="1"/>
        <v>45475</v>
      </c>
      <c r="C87" s="10">
        <f ca="1"/>
        <v>45476</v>
      </c>
      <c r="D87" s="10">
        <f ca="1"/>
        <v>45477</v>
      </c>
      <c r="E87" s="10">
        <f ca="1"/>
        <v>45478</v>
      </c>
      <c r="F87" s="10">
        <f ca="1"/>
        <v>45479</v>
      </c>
      <c r="G87" s="11">
        <f ca="1"/>
        <v>45480</v>
      </c>
    </row>
    <row r="88" spans="1:7" x14ac:dyDescent="0.3">
      <c r="A88" s="6"/>
      <c r="B88" s="6"/>
      <c r="C88" s="6"/>
      <c r="D88" s="6"/>
      <c r="E88" s="6"/>
      <c r="F88" s="6"/>
      <c r="G88" s="7"/>
    </row>
    <row r="89" spans="1:7" ht="21" x14ac:dyDescent="0.3">
      <c r="A89" s="10">
        <f t="array" aca="1" ref="A89:G89" ca="1">Días+8+DATE(Calendario7Año,Calendario7MesOpción,1)-WEEKDAY(DATE(Calendario7Año,Calendario7MesOpción,1),DíaDeLaSemanaOpción)</f>
        <v>45481</v>
      </c>
      <c r="B89" s="10">
        <f ca="1"/>
        <v>45482</v>
      </c>
      <c r="C89" s="10">
        <f ca="1"/>
        <v>45483</v>
      </c>
      <c r="D89" s="10">
        <f ca="1"/>
        <v>45484</v>
      </c>
      <c r="E89" s="10">
        <f ca="1"/>
        <v>45485</v>
      </c>
      <c r="F89" s="10">
        <f ca="1"/>
        <v>45486</v>
      </c>
      <c r="G89" s="11">
        <f ca="1"/>
        <v>45487</v>
      </c>
    </row>
    <row r="90" spans="1:7" x14ac:dyDescent="0.3">
      <c r="A90" s="6"/>
      <c r="B90" s="6"/>
      <c r="C90" s="6"/>
      <c r="D90" s="6"/>
      <c r="E90" s="6"/>
      <c r="F90" s="6"/>
      <c r="G90" s="7"/>
    </row>
    <row r="91" spans="1:7" ht="21" x14ac:dyDescent="0.3">
      <c r="A91" s="10">
        <f t="array" aca="1" ref="A91:G91" ca="1">Días+15+DATE(Calendario7Año,Calendario7MesOpción,1)-WEEKDAY(DATE(Calendario7Año,Calendario7MesOpción,1),DíaDeLaSemanaOpción)</f>
        <v>45488</v>
      </c>
      <c r="B91" s="10">
        <f ca="1"/>
        <v>45489</v>
      </c>
      <c r="C91" s="10">
        <f ca="1"/>
        <v>45490</v>
      </c>
      <c r="D91" s="10">
        <f ca="1"/>
        <v>45491</v>
      </c>
      <c r="E91" s="10">
        <f ca="1"/>
        <v>45492</v>
      </c>
      <c r="F91" s="10">
        <f ca="1"/>
        <v>45493</v>
      </c>
      <c r="G91" s="11">
        <f ca="1"/>
        <v>45494</v>
      </c>
    </row>
    <row r="92" spans="1:7" x14ac:dyDescent="0.3">
      <c r="A92" s="6"/>
      <c r="B92" s="6"/>
      <c r="C92" s="6"/>
      <c r="D92" s="6"/>
      <c r="E92" s="6"/>
      <c r="F92" s="6"/>
      <c r="G92" s="7"/>
    </row>
    <row r="93" spans="1:7" ht="21" x14ac:dyDescent="0.3">
      <c r="A93" s="10">
        <f t="array" aca="1" ref="A93:G93" ca="1">Días+22+DATE(Calendario7Año,Calendario7MesOpción,1)-WEEKDAY(DATE(Calendario7Año,Calendario7MesOpción,1),DíaDeLaSemanaOpción)</f>
        <v>45495</v>
      </c>
      <c r="B93" s="10">
        <f ca="1"/>
        <v>45496</v>
      </c>
      <c r="C93" s="10">
        <f ca="1"/>
        <v>45497</v>
      </c>
      <c r="D93" s="10">
        <f ca="1"/>
        <v>45498</v>
      </c>
      <c r="E93" s="10">
        <f ca="1"/>
        <v>45499</v>
      </c>
      <c r="F93" s="10">
        <f ca="1"/>
        <v>45500</v>
      </c>
      <c r="G93" s="11">
        <f ca="1"/>
        <v>45501</v>
      </c>
    </row>
    <row r="94" spans="1:7" x14ac:dyDescent="0.3">
      <c r="A94" s="6"/>
      <c r="B94" s="6"/>
      <c r="C94" s="6"/>
      <c r="D94" s="6"/>
      <c r="E94" s="6"/>
      <c r="F94" s="6"/>
      <c r="G94" s="7"/>
    </row>
    <row r="95" spans="1:7" ht="21" x14ac:dyDescent="0.3">
      <c r="A95" s="10">
        <f t="array" aca="1" ref="A95:G95" ca="1">Días+29+DATE(Calendario7Año,Calendario7MesOpción,1)-WEEKDAY(DATE(Calendario7Año,Calendario7MesOpción,1),DíaDeLaSemanaOpción)</f>
        <v>45502</v>
      </c>
      <c r="B95" s="10">
        <f ca="1"/>
        <v>45503</v>
      </c>
      <c r="C95" s="10">
        <f ca="1"/>
        <v>45504</v>
      </c>
      <c r="D95" s="10">
        <f ca="1"/>
        <v>45505</v>
      </c>
      <c r="E95" s="10">
        <f ca="1"/>
        <v>45506</v>
      </c>
      <c r="F95" s="10">
        <f ca="1"/>
        <v>45507</v>
      </c>
      <c r="G95" s="11">
        <f ca="1"/>
        <v>45508</v>
      </c>
    </row>
    <row r="96" spans="1:7" x14ac:dyDescent="0.3">
      <c r="A96" s="6"/>
      <c r="B96" s="6"/>
      <c r="C96" s="6"/>
      <c r="D96" s="6"/>
      <c r="E96" s="6"/>
      <c r="F96" s="6"/>
      <c r="G96" s="8"/>
    </row>
    <row r="97" spans="1:7" ht="21" x14ac:dyDescent="0.3">
      <c r="A97" s="10">
        <f t="array" aca="1" ref="A97:B97" ca="1">Días+36+DATE(Calendario7Año,Calendario7MesOpción,1)-WEEKDAY(DATE(Calendario7Año,Calendario7MesOpción,1),DíaDeLaSemanaOpción)</f>
        <v>45509</v>
      </c>
      <c r="B97" s="10">
        <f ca="1"/>
        <v>45510</v>
      </c>
      <c r="C97" s="61" t="s">
        <v>1</v>
      </c>
      <c r="D97" s="62"/>
      <c r="E97" s="62"/>
      <c r="F97" s="62"/>
      <c r="G97" s="62"/>
    </row>
    <row r="98" spans="1:7" x14ac:dyDescent="0.3">
      <c r="A98" s="6"/>
      <c r="B98" s="6"/>
      <c r="C98" s="63"/>
      <c r="D98" s="63"/>
      <c r="E98" s="63"/>
      <c r="F98" s="63"/>
      <c r="G98" s="63"/>
    </row>
    <row r="99" spans="1:7" ht="46.5" x14ac:dyDescent="0.7">
      <c r="A99" s="1">
        <f ca="1">YEAR(DATE(Calendario7Año,Calendario7MesOpción+1,1))</f>
        <v>2024</v>
      </c>
      <c r="B99" s="64" t="str">
        <f ca="1">TEXT(DATE(Calendario7Año,Calendario7MesOpción+1,1),"mmmm")</f>
        <v>agosto</v>
      </c>
      <c r="C99" s="64"/>
      <c r="D99" s="64"/>
      <c r="E99" s="2"/>
      <c r="F99" s="2"/>
      <c r="G99" s="2"/>
    </row>
    <row r="100" spans="1:7" x14ac:dyDescent="0.3">
      <c r="A100" s="4" t="str">
        <f ca="1">UPPER(TEXT(A101,"dddd"))</f>
        <v>LUNES</v>
      </c>
      <c r="B100" s="5" t="str">
        <f t="shared" ref="B100:G100" ca="1" si="7">UPPER(TEXT(B101,"dddd"))</f>
        <v>MARTES</v>
      </c>
      <c r="C100" s="4" t="str">
        <f t="shared" ca="1" si="7"/>
        <v>MIÉRCOLES</v>
      </c>
      <c r="D100" s="5" t="str">
        <f t="shared" ca="1" si="7"/>
        <v>JUEVES</v>
      </c>
      <c r="E100" s="4" t="str">
        <f t="shared" ca="1" si="7"/>
        <v>VIERNES</v>
      </c>
      <c r="F100" s="5" t="str">
        <f t="shared" ca="1" si="7"/>
        <v>SÁBADO</v>
      </c>
      <c r="G100" s="4" t="str">
        <f t="shared" ca="1" si="7"/>
        <v>DOMINGO</v>
      </c>
    </row>
    <row r="101" spans="1:7" ht="21" x14ac:dyDescent="0.3">
      <c r="A101" s="10">
        <f t="array" aca="1" ref="A101:G101" ca="1">Días+1+DATE(Calendario8Año,Calendario8MesOpción,1)-WEEKDAY(DATE(Calendario8Año,Calendario8MesOpción,1),DíaDeLaSemanaOpción)</f>
        <v>45502</v>
      </c>
      <c r="B101" s="10">
        <f ca="1"/>
        <v>45503</v>
      </c>
      <c r="C101" s="10">
        <f ca="1"/>
        <v>45504</v>
      </c>
      <c r="D101" s="10">
        <f ca="1"/>
        <v>45505</v>
      </c>
      <c r="E101" s="10">
        <f ca="1"/>
        <v>45506</v>
      </c>
      <c r="F101" s="10">
        <f ca="1"/>
        <v>45507</v>
      </c>
      <c r="G101" s="11">
        <f ca="1"/>
        <v>45508</v>
      </c>
    </row>
    <row r="102" spans="1:7" x14ac:dyDescent="0.3">
      <c r="A102" s="6"/>
      <c r="B102" s="6"/>
      <c r="C102" s="6"/>
      <c r="D102" s="6"/>
      <c r="E102" s="6"/>
      <c r="F102" s="6"/>
      <c r="G102" s="7"/>
    </row>
    <row r="103" spans="1:7" ht="21" x14ac:dyDescent="0.3">
      <c r="A103" s="10">
        <f t="array" aca="1" ref="A103:G103" ca="1">Días+8+DATE(Calendario8Año,Calendario8MesOpción,1)-WEEKDAY(DATE(Calendario8Año,Calendario8MesOpción,1),DíaDeLaSemanaOpción)</f>
        <v>45509</v>
      </c>
      <c r="B103" s="10">
        <f ca="1"/>
        <v>45510</v>
      </c>
      <c r="C103" s="10">
        <f ca="1"/>
        <v>45511</v>
      </c>
      <c r="D103" s="10">
        <f ca="1"/>
        <v>45512</v>
      </c>
      <c r="E103" s="10">
        <f ca="1"/>
        <v>45513</v>
      </c>
      <c r="F103" s="10">
        <f ca="1"/>
        <v>45514</v>
      </c>
      <c r="G103" s="11">
        <f ca="1"/>
        <v>45515</v>
      </c>
    </row>
    <row r="104" spans="1:7" x14ac:dyDescent="0.3">
      <c r="A104" s="6"/>
      <c r="B104" s="6"/>
      <c r="C104" s="6"/>
      <c r="D104" s="6"/>
      <c r="E104" s="6"/>
      <c r="F104" s="6"/>
      <c r="G104" s="7"/>
    </row>
    <row r="105" spans="1:7" ht="21" x14ac:dyDescent="0.3">
      <c r="A105" s="10">
        <f t="array" aca="1" ref="A105:G105" ca="1">Días+15+DATE(Calendario8Año,Calendario8MesOpción,1)-WEEKDAY(DATE(Calendario8Año,Calendario8MesOpción,1),DíaDeLaSemanaOpción)</f>
        <v>45516</v>
      </c>
      <c r="B105" s="10">
        <f ca="1"/>
        <v>45517</v>
      </c>
      <c r="C105" s="10">
        <f ca="1"/>
        <v>45518</v>
      </c>
      <c r="D105" s="10">
        <f ca="1"/>
        <v>45519</v>
      </c>
      <c r="E105" s="10">
        <f ca="1"/>
        <v>45520</v>
      </c>
      <c r="F105" s="10">
        <f ca="1"/>
        <v>45521</v>
      </c>
      <c r="G105" s="11">
        <f ca="1"/>
        <v>45522</v>
      </c>
    </row>
    <row r="106" spans="1:7" x14ac:dyDescent="0.3">
      <c r="A106" s="6"/>
      <c r="B106" s="6"/>
      <c r="C106" s="6"/>
      <c r="D106" s="6"/>
      <c r="E106" s="6"/>
      <c r="F106" s="6"/>
      <c r="G106" s="7"/>
    </row>
    <row r="107" spans="1:7" ht="21" x14ac:dyDescent="0.3">
      <c r="A107" s="10">
        <f t="array" aca="1" ref="A107:G107" ca="1">Días+22+DATE(Calendario8Año,Calendario8MesOpción,1)-WEEKDAY(DATE(Calendario8Año,Calendario8MesOpción,1),DíaDeLaSemanaOpción)</f>
        <v>45523</v>
      </c>
      <c r="B107" s="10">
        <f ca="1"/>
        <v>45524</v>
      </c>
      <c r="C107" s="10">
        <f ca="1"/>
        <v>45525</v>
      </c>
      <c r="D107" s="10">
        <f ca="1"/>
        <v>45526</v>
      </c>
      <c r="E107" s="10">
        <f ca="1"/>
        <v>45527</v>
      </c>
      <c r="F107" s="10">
        <f ca="1"/>
        <v>45528</v>
      </c>
      <c r="G107" s="11">
        <f ca="1"/>
        <v>45529</v>
      </c>
    </row>
    <row r="108" spans="1:7" x14ac:dyDescent="0.3">
      <c r="A108" s="6"/>
      <c r="B108" s="6"/>
      <c r="C108" s="6"/>
      <c r="D108" s="6"/>
      <c r="E108" s="6"/>
      <c r="F108" s="6"/>
      <c r="G108" s="7"/>
    </row>
    <row r="109" spans="1:7" ht="21" x14ac:dyDescent="0.3">
      <c r="A109" s="10">
        <f t="array" aca="1" ref="A109:G109" ca="1">Días+29+DATE(Calendario8Año,Calendario8MesOpción,1)-WEEKDAY(DATE(Calendario8Año,Calendario8MesOpción,1),DíaDeLaSemanaOpción)</f>
        <v>45530</v>
      </c>
      <c r="B109" s="10">
        <f ca="1"/>
        <v>45531</v>
      </c>
      <c r="C109" s="10">
        <f ca="1"/>
        <v>45532</v>
      </c>
      <c r="D109" s="10">
        <f ca="1"/>
        <v>45533</v>
      </c>
      <c r="E109" s="10">
        <f ca="1"/>
        <v>45534</v>
      </c>
      <c r="F109" s="10">
        <f ca="1"/>
        <v>45535</v>
      </c>
      <c r="G109" s="11">
        <f ca="1"/>
        <v>45536</v>
      </c>
    </row>
    <row r="110" spans="1:7" x14ac:dyDescent="0.3">
      <c r="A110" s="6"/>
      <c r="B110" s="6"/>
      <c r="C110" s="6"/>
      <c r="D110" s="6"/>
      <c r="E110" s="6"/>
      <c r="F110" s="6"/>
      <c r="G110" s="8"/>
    </row>
    <row r="111" spans="1:7" ht="21" x14ac:dyDescent="0.3">
      <c r="A111" s="10">
        <f t="array" aca="1" ref="A111:B111" ca="1">Días+36+DATE(Calendario8Año,Calendario8MesOpción,1)-WEEKDAY(DATE(Calendario8Año,Calendario8MesOpción,1),DíaDeLaSemanaOpción)</f>
        <v>45537</v>
      </c>
      <c r="B111" s="10">
        <f ca="1"/>
        <v>45538</v>
      </c>
      <c r="C111" s="61" t="s">
        <v>1</v>
      </c>
      <c r="D111" s="62"/>
      <c r="E111" s="62"/>
      <c r="F111" s="62"/>
      <c r="G111" s="62"/>
    </row>
    <row r="112" spans="1:7" x14ac:dyDescent="0.3">
      <c r="A112" s="6"/>
      <c r="B112" s="6"/>
      <c r="C112" s="63"/>
      <c r="D112" s="63"/>
      <c r="E112" s="63"/>
      <c r="F112" s="63"/>
      <c r="G112" s="63"/>
    </row>
    <row r="113" spans="1:7" ht="46.5" x14ac:dyDescent="0.7">
      <c r="A113" s="1">
        <f ca="1">YEAR(DATE(Calendario8Año,Calendario8MesOpción+1,1))</f>
        <v>2024</v>
      </c>
      <c r="B113" s="64" t="str">
        <f ca="1">TEXT(DATE(Calendario8Año,Calendario8MesOpción+1,1),"mmmm")</f>
        <v>septiembre</v>
      </c>
      <c r="C113" s="64"/>
      <c r="D113" s="64"/>
      <c r="E113" s="2"/>
      <c r="F113" s="2"/>
      <c r="G113" s="2"/>
    </row>
    <row r="114" spans="1:7" x14ac:dyDescent="0.3">
      <c r="A114" s="4" t="str">
        <f ca="1">UPPER(TEXT(A115,"dddd"))</f>
        <v>LUNES</v>
      </c>
      <c r="B114" s="5" t="str">
        <f t="shared" ref="B114:G114" ca="1" si="8">UPPER(TEXT(B115,"dddd"))</f>
        <v>MARTES</v>
      </c>
      <c r="C114" s="4" t="str">
        <f t="shared" ca="1" si="8"/>
        <v>MIÉRCOLES</v>
      </c>
      <c r="D114" s="5" t="str">
        <f t="shared" ca="1" si="8"/>
        <v>JUEVES</v>
      </c>
      <c r="E114" s="4" t="str">
        <f t="shared" ca="1" si="8"/>
        <v>VIERNES</v>
      </c>
      <c r="F114" s="5" t="str">
        <f t="shared" ca="1" si="8"/>
        <v>SÁBADO</v>
      </c>
      <c r="G114" s="4" t="str">
        <f t="shared" ca="1" si="8"/>
        <v>DOMINGO</v>
      </c>
    </row>
    <row r="115" spans="1:7" ht="21" x14ac:dyDescent="0.3">
      <c r="A115" s="10">
        <f t="array" aca="1" ref="A115:G115" ca="1">Días+1+DATE(Calendario9Año,Calendario9MesOpción,1)-WEEKDAY(DATE(Calendario9Año,Calendario9MesOpción,1),DíaDeLaSemanaOpción)</f>
        <v>45530</v>
      </c>
      <c r="B115" s="10">
        <f ca="1"/>
        <v>45531</v>
      </c>
      <c r="C115" s="10">
        <f ca="1"/>
        <v>45532</v>
      </c>
      <c r="D115" s="10">
        <f ca="1"/>
        <v>45533</v>
      </c>
      <c r="E115" s="10">
        <f ca="1"/>
        <v>45534</v>
      </c>
      <c r="F115" s="10">
        <f ca="1"/>
        <v>45535</v>
      </c>
      <c r="G115" s="11">
        <f ca="1"/>
        <v>45536</v>
      </c>
    </row>
    <row r="116" spans="1:7" x14ac:dyDescent="0.3">
      <c r="A116" s="6"/>
      <c r="B116" s="6"/>
      <c r="C116" s="6"/>
      <c r="D116" s="6"/>
      <c r="E116" s="6"/>
      <c r="F116" s="6"/>
      <c r="G116" s="7"/>
    </row>
    <row r="117" spans="1:7" ht="21" x14ac:dyDescent="0.3">
      <c r="A117" s="10">
        <f t="array" aca="1" ref="A117:G117" ca="1">Días+8+DATE(Calendario9Año,Calendario9MesOpción,1)-WEEKDAY(DATE(Calendario9Año,Calendario9MesOpción,1),DíaDeLaSemanaOpción)</f>
        <v>45537</v>
      </c>
      <c r="B117" s="10">
        <f ca="1"/>
        <v>45538</v>
      </c>
      <c r="C117" s="10">
        <f ca="1"/>
        <v>45539</v>
      </c>
      <c r="D117" s="10">
        <f ca="1"/>
        <v>45540</v>
      </c>
      <c r="E117" s="10">
        <f ca="1"/>
        <v>45541</v>
      </c>
      <c r="F117" s="10">
        <f ca="1"/>
        <v>45542</v>
      </c>
      <c r="G117" s="11">
        <f ca="1"/>
        <v>45543</v>
      </c>
    </row>
    <row r="118" spans="1:7" x14ac:dyDescent="0.3">
      <c r="A118" s="6"/>
      <c r="B118" s="6"/>
      <c r="C118" s="6"/>
      <c r="D118" s="6"/>
      <c r="E118" s="6"/>
      <c r="F118" s="6"/>
      <c r="G118" s="7"/>
    </row>
    <row r="119" spans="1:7" ht="21" x14ac:dyDescent="0.3">
      <c r="A119" s="10">
        <f t="array" aca="1" ref="A119:G119" ca="1">Días+15+DATE(Calendario9Año,Calendario9MesOpción,1)-WEEKDAY(DATE(Calendario9Año,Calendario9MesOpción,1),DíaDeLaSemanaOpción)</f>
        <v>45544</v>
      </c>
      <c r="B119" s="10">
        <f ca="1"/>
        <v>45545</v>
      </c>
      <c r="C119" s="10">
        <f ca="1"/>
        <v>45546</v>
      </c>
      <c r="D119" s="10">
        <f ca="1"/>
        <v>45547</v>
      </c>
      <c r="E119" s="10">
        <f ca="1"/>
        <v>45548</v>
      </c>
      <c r="F119" s="10">
        <f ca="1"/>
        <v>45549</v>
      </c>
      <c r="G119" s="11">
        <f ca="1"/>
        <v>45550</v>
      </c>
    </row>
    <row r="120" spans="1:7" x14ac:dyDescent="0.3">
      <c r="A120" s="6"/>
      <c r="B120" s="6"/>
      <c r="C120" s="6"/>
      <c r="D120" s="6"/>
      <c r="E120" s="6"/>
      <c r="F120" s="6"/>
      <c r="G120" s="7"/>
    </row>
    <row r="121" spans="1:7" ht="21" x14ac:dyDescent="0.3">
      <c r="A121" s="10">
        <f t="array" aca="1" ref="A121:G121" ca="1">Días+22+DATE(Calendario9Año,Calendario9MesOpción,1)-WEEKDAY(DATE(Calendario9Año,Calendario9MesOpción,1),DíaDeLaSemanaOpción)</f>
        <v>45551</v>
      </c>
      <c r="B121" s="10">
        <f ca="1"/>
        <v>45552</v>
      </c>
      <c r="C121" s="10">
        <f ca="1"/>
        <v>45553</v>
      </c>
      <c r="D121" s="10">
        <f ca="1"/>
        <v>45554</v>
      </c>
      <c r="E121" s="10">
        <f ca="1"/>
        <v>45555</v>
      </c>
      <c r="F121" s="10">
        <f ca="1"/>
        <v>45556</v>
      </c>
      <c r="G121" s="11">
        <f ca="1"/>
        <v>45557</v>
      </c>
    </row>
    <row r="122" spans="1:7" x14ac:dyDescent="0.3">
      <c r="A122" s="6"/>
      <c r="B122" s="6"/>
      <c r="C122" s="6"/>
      <c r="D122" s="6"/>
      <c r="E122" s="6"/>
      <c r="F122" s="6"/>
      <c r="G122" s="7"/>
    </row>
    <row r="123" spans="1:7" ht="21" x14ac:dyDescent="0.3">
      <c r="A123" s="10">
        <f t="array" aca="1" ref="A123:G123" ca="1">Días+29+DATE(Calendario9Año,Calendario9MesOpción,1)-WEEKDAY(DATE(Calendario9Año,Calendario9MesOpción,1),DíaDeLaSemanaOpción)</f>
        <v>45558</v>
      </c>
      <c r="B123" s="10">
        <f ca="1"/>
        <v>45559</v>
      </c>
      <c r="C123" s="10">
        <f ca="1"/>
        <v>45560</v>
      </c>
      <c r="D123" s="10">
        <f ca="1"/>
        <v>45561</v>
      </c>
      <c r="E123" s="10">
        <f ca="1"/>
        <v>45562</v>
      </c>
      <c r="F123" s="10">
        <f ca="1"/>
        <v>45563</v>
      </c>
      <c r="G123" s="11">
        <f ca="1"/>
        <v>45564</v>
      </c>
    </row>
    <row r="124" spans="1:7" x14ac:dyDescent="0.3">
      <c r="A124" s="6"/>
      <c r="B124" s="6"/>
      <c r="C124" s="6"/>
      <c r="D124" s="6"/>
      <c r="E124" s="6"/>
      <c r="F124" s="6"/>
      <c r="G124" s="8"/>
    </row>
    <row r="125" spans="1:7" ht="21" x14ac:dyDescent="0.3">
      <c r="A125" s="10">
        <f t="array" aca="1" ref="A125:B125" ca="1">Días+36+DATE(Calendario9Año,Calendario9MesOpción,1)-WEEKDAY(DATE(Calendario9Año,Calendario9MesOpción,1),DíaDeLaSemanaOpción)</f>
        <v>45565</v>
      </c>
      <c r="B125" s="10">
        <f ca="1"/>
        <v>45566</v>
      </c>
      <c r="C125" s="61" t="s">
        <v>1</v>
      </c>
      <c r="D125" s="62"/>
      <c r="E125" s="62"/>
      <c r="F125" s="62"/>
      <c r="G125" s="62"/>
    </row>
    <row r="126" spans="1:7" x14ac:dyDescent="0.3">
      <c r="A126" s="6"/>
      <c r="B126" s="6"/>
      <c r="C126" s="63"/>
      <c r="D126" s="63"/>
      <c r="E126" s="63"/>
      <c r="F126" s="63"/>
      <c r="G126" s="63"/>
    </row>
    <row r="127" spans="1:7" ht="46.5" x14ac:dyDescent="0.7">
      <c r="A127" s="12">
        <f ca="1">YEAR(DATE(Calendario9Año,Calendario9MesOpción+1,1))</f>
        <v>2024</v>
      </c>
      <c r="B127" s="64" t="str">
        <f ca="1">TEXT(DATE(Calendario9Año,Calendario9MesOpción+1,1),"mmmm")</f>
        <v>octubre</v>
      </c>
      <c r="C127" s="64"/>
      <c r="D127" s="64"/>
      <c r="E127" s="2"/>
      <c r="F127" s="2"/>
      <c r="G127" s="2"/>
    </row>
    <row r="128" spans="1:7" x14ac:dyDescent="0.3">
      <c r="A128" s="4" t="str">
        <f ca="1">UPPER(TEXT(A129,"dddd"))</f>
        <v>LUNES</v>
      </c>
      <c r="B128" s="5" t="str">
        <f t="shared" ref="B128:G128" ca="1" si="9">UPPER(TEXT(B129,"dddd"))</f>
        <v>MARTES</v>
      </c>
      <c r="C128" s="4" t="str">
        <f t="shared" ca="1" si="9"/>
        <v>MIÉRCOLES</v>
      </c>
      <c r="D128" s="5" t="str">
        <f t="shared" ca="1" si="9"/>
        <v>JUEVES</v>
      </c>
      <c r="E128" s="4" t="str">
        <f t="shared" ca="1" si="9"/>
        <v>VIERNES</v>
      </c>
      <c r="F128" s="5" t="str">
        <f t="shared" ca="1" si="9"/>
        <v>SÁBADO</v>
      </c>
      <c r="G128" s="4" t="str">
        <f t="shared" ca="1" si="9"/>
        <v>DOMINGO</v>
      </c>
    </row>
    <row r="129" spans="1:7" ht="21" x14ac:dyDescent="0.3">
      <c r="A129" s="10">
        <f t="array" aca="1" ref="A129:G129" ca="1">Días+1+DATE(Calendario10Año,Calendario10MesOpción,1)-WEEKDAY(DATE(Calendario10Año,Calendario10MesOpción,1),DíaDeLaSemanaOpción)</f>
        <v>45565</v>
      </c>
      <c r="B129" s="10">
        <f ca="1"/>
        <v>45566</v>
      </c>
      <c r="C129" s="10">
        <f ca="1"/>
        <v>45567</v>
      </c>
      <c r="D129" s="10">
        <f ca="1"/>
        <v>45568</v>
      </c>
      <c r="E129" s="10">
        <f ca="1"/>
        <v>45569</v>
      </c>
      <c r="F129" s="10">
        <f ca="1"/>
        <v>45570</v>
      </c>
      <c r="G129" s="11">
        <f ca="1"/>
        <v>45571</v>
      </c>
    </row>
    <row r="130" spans="1:7" x14ac:dyDescent="0.3">
      <c r="A130" s="6"/>
      <c r="B130" s="6"/>
      <c r="C130" s="6"/>
      <c r="D130" s="6"/>
      <c r="E130" s="6"/>
      <c r="F130" s="6"/>
      <c r="G130" s="7"/>
    </row>
    <row r="131" spans="1:7" ht="21" x14ac:dyDescent="0.3">
      <c r="A131" s="10">
        <f t="array" aca="1" ref="A131:G131" ca="1">Días+8+DATE(Calendario10Año,Calendario10MesOpción,1)-WEEKDAY(DATE(Calendario10Año,Calendario10MesOpción,1),DíaDeLaSemanaOpción)</f>
        <v>45572</v>
      </c>
      <c r="B131" s="10">
        <f ca="1"/>
        <v>45573</v>
      </c>
      <c r="C131" s="10">
        <f ca="1"/>
        <v>45574</v>
      </c>
      <c r="D131" s="10">
        <f ca="1"/>
        <v>45575</v>
      </c>
      <c r="E131" s="10">
        <f ca="1"/>
        <v>45576</v>
      </c>
      <c r="F131" s="10">
        <f ca="1"/>
        <v>45577</v>
      </c>
      <c r="G131" s="11">
        <f ca="1"/>
        <v>45578</v>
      </c>
    </row>
    <row r="132" spans="1:7" x14ac:dyDescent="0.3">
      <c r="A132" s="6"/>
      <c r="B132" s="6"/>
      <c r="C132" s="6"/>
      <c r="D132" s="6"/>
      <c r="E132" s="6"/>
      <c r="F132" s="6"/>
      <c r="G132" s="7"/>
    </row>
    <row r="133" spans="1:7" ht="21" x14ac:dyDescent="0.3">
      <c r="A133" s="10">
        <f t="array" aca="1" ref="A133:G133" ca="1">Días+15+DATE(Calendario10Año,Calendario10MesOpción,1)-WEEKDAY(DATE(Calendario10Año,Calendario10MesOpción,1),DíaDeLaSemanaOpción)</f>
        <v>45579</v>
      </c>
      <c r="B133" s="10">
        <f ca="1"/>
        <v>45580</v>
      </c>
      <c r="C133" s="10">
        <f ca="1"/>
        <v>45581</v>
      </c>
      <c r="D133" s="10">
        <f ca="1"/>
        <v>45582</v>
      </c>
      <c r="E133" s="10">
        <f ca="1"/>
        <v>45583</v>
      </c>
      <c r="F133" s="10">
        <f ca="1"/>
        <v>45584</v>
      </c>
      <c r="G133" s="11">
        <f ca="1"/>
        <v>45585</v>
      </c>
    </row>
    <row r="134" spans="1:7" x14ac:dyDescent="0.3">
      <c r="A134" s="6"/>
      <c r="B134" s="6"/>
      <c r="C134" s="6"/>
      <c r="D134" s="6"/>
      <c r="E134" s="6"/>
      <c r="F134" s="6"/>
      <c r="G134" s="7"/>
    </row>
    <row r="135" spans="1:7" ht="21" x14ac:dyDescent="0.3">
      <c r="A135" s="10">
        <f t="array" aca="1" ref="A135:G135" ca="1">Días+22+DATE(Calendario10Año,Calendario10MesOpción,1)-WEEKDAY(DATE(Calendario10Año,Calendario10MesOpción,1),DíaDeLaSemanaOpción)</f>
        <v>45586</v>
      </c>
      <c r="B135" s="10">
        <f ca="1"/>
        <v>45587</v>
      </c>
      <c r="C135" s="10">
        <f ca="1"/>
        <v>45588</v>
      </c>
      <c r="D135" s="10">
        <f ca="1"/>
        <v>45589</v>
      </c>
      <c r="E135" s="10">
        <f ca="1"/>
        <v>45590</v>
      </c>
      <c r="F135" s="10">
        <f ca="1"/>
        <v>45591</v>
      </c>
      <c r="G135" s="11">
        <f ca="1"/>
        <v>45592</v>
      </c>
    </row>
    <row r="136" spans="1:7" x14ac:dyDescent="0.3">
      <c r="A136" s="6"/>
      <c r="B136" s="6"/>
      <c r="C136" s="6"/>
      <c r="D136" s="6"/>
      <c r="E136" s="6"/>
      <c r="F136" s="6"/>
      <c r="G136" s="7"/>
    </row>
    <row r="137" spans="1:7" ht="21" x14ac:dyDescent="0.3">
      <c r="A137" s="10">
        <f t="array" aca="1" ref="A137:G137" ca="1">Días+29+DATE(Calendario10Año,Calendario10MesOpción,1)-WEEKDAY(DATE(Calendario10Año,Calendario10MesOpción,1),DíaDeLaSemanaOpción)</f>
        <v>45593</v>
      </c>
      <c r="B137" s="10">
        <f ca="1"/>
        <v>45594</v>
      </c>
      <c r="C137" s="10">
        <f ca="1"/>
        <v>45595</v>
      </c>
      <c r="D137" s="10">
        <f ca="1"/>
        <v>45596</v>
      </c>
      <c r="E137" s="10">
        <f ca="1"/>
        <v>45597</v>
      </c>
      <c r="F137" s="10">
        <f ca="1"/>
        <v>45598</v>
      </c>
      <c r="G137" s="11">
        <f ca="1"/>
        <v>45599</v>
      </c>
    </row>
    <row r="138" spans="1:7" x14ac:dyDescent="0.3">
      <c r="A138" s="6"/>
      <c r="B138" s="6"/>
      <c r="C138" s="6"/>
      <c r="D138" s="6"/>
      <c r="E138" s="6"/>
      <c r="F138" s="6"/>
      <c r="G138" s="8"/>
    </row>
    <row r="139" spans="1:7" ht="21" x14ac:dyDescent="0.3">
      <c r="A139" s="10">
        <f t="array" aca="1" ref="A139:B139" ca="1">Días+36+DATE(Calendario10Año,Calendario10MesOpción,1)-WEEKDAY(DATE(Calendario10Año,Calendario10MesOpción,1),DíaDeLaSemanaOpción)</f>
        <v>45600</v>
      </c>
      <c r="B139" s="10">
        <f ca="1"/>
        <v>45601</v>
      </c>
      <c r="C139" s="61" t="s">
        <v>1</v>
      </c>
      <c r="D139" s="62"/>
      <c r="E139" s="62"/>
      <c r="F139" s="62"/>
      <c r="G139" s="62"/>
    </row>
    <row r="140" spans="1:7" x14ac:dyDescent="0.3">
      <c r="A140" s="6"/>
      <c r="B140" s="6"/>
      <c r="C140" s="63"/>
      <c r="D140" s="63"/>
      <c r="E140" s="63"/>
      <c r="F140" s="63"/>
      <c r="G140" s="63"/>
    </row>
    <row r="141" spans="1:7" ht="46.5" x14ac:dyDescent="0.7">
      <c r="A141" s="1">
        <f ca="1">YEAR(DATE(Calendario10Año,Calendario10MesOpción+1,1))</f>
        <v>2024</v>
      </c>
      <c r="B141" s="64" t="str">
        <f ca="1">TEXT(DATE(Calendario10Año,Calendario10MesOpción+1,1),"mmmm")</f>
        <v>noviembre</v>
      </c>
      <c r="C141" s="64"/>
      <c r="D141" s="64"/>
      <c r="E141" s="2"/>
      <c r="F141" s="2"/>
      <c r="G141" s="2"/>
    </row>
    <row r="142" spans="1:7" x14ac:dyDescent="0.3">
      <c r="A142" s="4" t="str">
        <f ca="1">UPPER(TEXT(A143,"dddd"))</f>
        <v>LUNES</v>
      </c>
      <c r="B142" s="5" t="str">
        <f t="shared" ref="B142:G142" ca="1" si="10">UPPER(TEXT(B143,"dddd"))</f>
        <v>MARTES</v>
      </c>
      <c r="C142" s="4" t="str">
        <f t="shared" ca="1" si="10"/>
        <v>MIÉRCOLES</v>
      </c>
      <c r="D142" s="5" t="str">
        <f t="shared" ca="1" si="10"/>
        <v>JUEVES</v>
      </c>
      <c r="E142" s="4" t="str">
        <f t="shared" ca="1" si="10"/>
        <v>VIERNES</v>
      </c>
      <c r="F142" s="5" t="str">
        <f t="shared" ca="1" si="10"/>
        <v>SÁBADO</v>
      </c>
      <c r="G142" s="4" t="str">
        <f t="shared" ca="1" si="10"/>
        <v>DOMINGO</v>
      </c>
    </row>
    <row r="143" spans="1:7" ht="21" x14ac:dyDescent="0.3">
      <c r="A143" s="10">
        <f t="array" aca="1" ref="A143:G143" ca="1">Días+1+DATE(Calendario11Año,Calendario11MesOpción,1)-WEEKDAY(DATE(Calendario11Año,Calendario11MesOpción,1),DíaDeLaSemanaOpción)</f>
        <v>45593</v>
      </c>
      <c r="B143" s="10">
        <f ca="1"/>
        <v>45594</v>
      </c>
      <c r="C143" s="10">
        <f ca="1"/>
        <v>45595</v>
      </c>
      <c r="D143" s="10">
        <f ca="1"/>
        <v>45596</v>
      </c>
      <c r="E143" s="10">
        <f ca="1"/>
        <v>45597</v>
      </c>
      <c r="F143" s="10">
        <f ca="1"/>
        <v>45598</v>
      </c>
      <c r="G143" s="11">
        <f ca="1"/>
        <v>45599</v>
      </c>
    </row>
    <row r="144" spans="1:7" x14ac:dyDescent="0.3">
      <c r="A144" s="6"/>
      <c r="B144" s="6"/>
      <c r="C144" s="6"/>
      <c r="D144" s="6"/>
      <c r="E144" s="6"/>
      <c r="F144" s="6"/>
      <c r="G144" s="7"/>
    </row>
    <row r="145" spans="1:7" ht="21" x14ac:dyDescent="0.3">
      <c r="A145" s="10">
        <f t="array" aca="1" ref="A145:G145" ca="1">Días+8+DATE(Calendario11Año,Calendario11MesOpción,1)-WEEKDAY(DATE(Calendario11Año,Calendario11MesOpción,1),DíaDeLaSemanaOpción)</f>
        <v>45600</v>
      </c>
      <c r="B145" s="10">
        <f ca="1"/>
        <v>45601</v>
      </c>
      <c r="C145" s="10">
        <f ca="1"/>
        <v>45602</v>
      </c>
      <c r="D145" s="10">
        <f ca="1"/>
        <v>45603</v>
      </c>
      <c r="E145" s="10">
        <f ca="1"/>
        <v>45604</v>
      </c>
      <c r="F145" s="10">
        <f ca="1"/>
        <v>45605</v>
      </c>
      <c r="G145" s="11">
        <f ca="1"/>
        <v>45606</v>
      </c>
    </row>
    <row r="146" spans="1:7" x14ac:dyDescent="0.3">
      <c r="A146" s="6"/>
      <c r="B146" s="6"/>
      <c r="C146" s="6"/>
      <c r="D146" s="6"/>
      <c r="E146" s="6"/>
      <c r="F146" s="6"/>
      <c r="G146" s="7"/>
    </row>
    <row r="147" spans="1:7" ht="21" x14ac:dyDescent="0.3">
      <c r="A147" s="10">
        <f t="array" aca="1" ref="A147:G147" ca="1">Días+15+DATE(Calendario11Año,Calendario11MesOpción,1)-WEEKDAY(DATE(Calendario11Año,Calendario11MesOpción,1),DíaDeLaSemanaOpción)</f>
        <v>45607</v>
      </c>
      <c r="B147" s="10">
        <f ca="1"/>
        <v>45608</v>
      </c>
      <c r="C147" s="10">
        <f ca="1"/>
        <v>45609</v>
      </c>
      <c r="D147" s="10">
        <f ca="1"/>
        <v>45610</v>
      </c>
      <c r="E147" s="10">
        <f ca="1"/>
        <v>45611</v>
      </c>
      <c r="F147" s="10">
        <f ca="1"/>
        <v>45612</v>
      </c>
      <c r="G147" s="11">
        <f ca="1"/>
        <v>45613</v>
      </c>
    </row>
    <row r="148" spans="1:7" x14ac:dyDescent="0.3">
      <c r="A148" s="6"/>
      <c r="B148" s="6"/>
      <c r="C148" s="6"/>
      <c r="D148" s="6"/>
      <c r="E148" s="6"/>
      <c r="F148" s="6"/>
      <c r="G148" s="7"/>
    </row>
    <row r="149" spans="1:7" ht="21" x14ac:dyDescent="0.3">
      <c r="A149" s="10">
        <f t="array" aca="1" ref="A149:G149" ca="1">Días+22+DATE(Calendario11Año,Calendario11MesOpción,1)-WEEKDAY(DATE(Calendario11Año,Calendario11MesOpción,1),DíaDeLaSemanaOpción)</f>
        <v>45614</v>
      </c>
      <c r="B149" s="10">
        <f ca="1"/>
        <v>45615</v>
      </c>
      <c r="C149" s="10">
        <f ca="1"/>
        <v>45616</v>
      </c>
      <c r="D149" s="10">
        <f ca="1"/>
        <v>45617</v>
      </c>
      <c r="E149" s="10">
        <f ca="1"/>
        <v>45618</v>
      </c>
      <c r="F149" s="10">
        <f ca="1"/>
        <v>45619</v>
      </c>
      <c r="G149" s="11">
        <f ca="1"/>
        <v>45620</v>
      </c>
    </row>
    <row r="150" spans="1:7" x14ac:dyDescent="0.3">
      <c r="A150" s="6"/>
      <c r="B150" s="6"/>
      <c r="C150" s="6"/>
      <c r="D150" s="6"/>
      <c r="E150" s="6"/>
      <c r="F150" s="6"/>
      <c r="G150" s="7"/>
    </row>
    <row r="151" spans="1:7" ht="21" x14ac:dyDescent="0.3">
      <c r="A151" s="10">
        <f t="array" aca="1" ref="A151:G151" ca="1">Días+29+DATE(Calendario11Año,Calendario11MesOpción,1)-WEEKDAY(DATE(Calendario11Año,Calendario11MesOpción,1),DíaDeLaSemanaOpción)</f>
        <v>45621</v>
      </c>
      <c r="B151" s="10">
        <f ca="1"/>
        <v>45622</v>
      </c>
      <c r="C151" s="10">
        <f ca="1"/>
        <v>45623</v>
      </c>
      <c r="D151" s="10">
        <f ca="1"/>
        <v>45624</v>
      </c>
      <c r="E151" s="10">
        <f ca="1"/>
        <v>45625</v>
      </c>
      <c r="F151" s="10">
        <f ca="1"/>
        <v>45626</v>
      </c>
      <c r="G151" s="11">
        <f ca="1"/>
        <v>45627</v>
      </c>
    </row>
    <row r="152" spans="1:7" x14ac:dyDescent="0.3">
      <c r="A152" s="6"/>
      <c r="B152" s="6"/>
      <c r="C152" s="6"/>
      <c r="D152" s="6"/>
      <c r="E152" s="6"/>
      <c r="F152" s="6"/>
      <c r="G152" s="8"/>
    </row>
    <row r="153" spans="1:7" ht="21" x14ac:dyDescent="0.3">
      <c r="A153" s="10">
        <f t="array" aca="1" ref="A153:B153" ca="1">Días+36+DATE(Calendario11Año,Calendario11MesOpción,1)-WEEKDAY(DATE(Calendario11Año,Calendario11MesOpción,1),DíaDeLaSemanaOpción)</f>
        <v>45628</v>
      </c>
      <c r="B153" s="10">
        <f ca="1"/>
        <v>45629</v>
      </c>
      <c r="C153" s="61" t="s">
        <v>1</v>
      </c>
      <c r="D153" s="62"/>
      <c r="E153" s="62"/>
      <c r="F153" s="62"/>
      <c r="G153" s="62"/>
    </row>
    <row r="154" spans="1:7" x14ac:dyDescent="0.3">
      <c r="A154" s="6"/>
      <c r="B154" s="6"/>
      <c r="C154" s="63"/>
      <c r="D154" s="63"/>
      <c r="E154" s="63"/>
      <c r="F154" s="63"/>
      <c r="G154" s="63"/>
    </row>
    <row r="155" spans="1:7" ht="46.5" x14ac:dyDescent="0.7">
      <c r="A155" s="1">
        <f ca="1">YEAR(DATE(Calendario11Año,Calendario11MesOpción+1,1))</f>
        <v>2024</v>
      </c>
      <c r="B155" s="64" t="str">
        <f ca="1">TEXT(DATE(Calendario11Año,Calendario11MesOpción+1,1),"mmmm")</f>
        <v>diciembre</v>
      </c>
      <c r="C155" s="64"/>
      <c r="D155" s="64"/>
      <c r="E155" s="2"/>
      <c r="F155" s="2"/>
      <c r="G155" s="2"/>
    </row>
    <row r="156" spans="1:7" x14ac:dyDescent="0.3">
      <c r="A156" s="4" t="str">
        <f ca="1">UPPER(TEXT(A157,"dddd"))</f>
        <v>LUNES</v>
      </c>
      <c r="B156" s="5" t="str">
        <f t="shared" ref="B156:G156" ca="1" si="11">UPPER(TEXT(B157,"dddd"))</f>
        <v>MARTES</v>
      </c>
      <c r="C156" s="4" t="str">
        <f t="shared" ca="1" si="11"/>
        <v>MIÉRCOLES</v>
      </c>
      <c r="D156" s="5" t="str">
        <f t="shared" ca="1" si="11"/>
        <v>JUEVES</v>
      </c>
      <c r="E156" s="4" t="str">
        <f t="shared" ca="1" si="11"/>
        <v>VIERNES</v>
      </c>
      <c r="F156" s="5" t="str">
        <f t="shared" ca="1" si="11"/>
        <v>SÁBADO</v>
      </c>
      <c r="G156" s="4" t="str">
        <f t="shared" ca="1" si="11"/>
        <v>DOMINGO</v>
      </c>
    </row>
    <row r="157" spans="1:7" ht="21" x14ac:dyDescent="0.3">
      <c r="A157" s="10">
        <f t="array" aca="1" ref="A157:G157" ca="1">Días+1+DATE(Calendario12Año,Calendario12MesOpción,1)-WEEKDAY(DATE(Calendario12Año,Calendario12MesOpción,1),DíaDeLaSemanaOpción)</f>
        <v>45621</v>
      </c>
      <c r="B157" s="10">
        <f ca="1"/>
        <v>45622</v>
      </c>
      <c r="C157" s="10">
        <f ca="1"/>
        <v>45623</v>
      </c>
      <c r="D157" s="10">
        <f ca="1"/>
        <v>45624</v>
      </c>
      <c r="E157" s="10">
        <f ca="1"/>
        <v>45625</v>
      </c>
      <c r="F157" s="10">
        <f ca="1"/>
        <v>45626</v>
      </c>
      <c r="G157" s="11">
        <f ca="1"/>
        <v>45627</v>
      </c>
    </row>
    <row r="158" spans="1:7" x14ac:dyDescent="0.3">
      <c r="A158" s="6"/>
      <c r="B158" s="6"/>
      <c r="C158" s="6"/>
      <c r="D158" s="6"/>
      <c r="E158" s="6"/>
      <c r="F158" s="6"/>
      <c r="G158" s="7"/>
    </row>
    <row r="159" spans="1:7" ht="21" x14ac:dyDescent="0.3">
      <c r="A159" s="10">
        <f t="array" aca="1" ref="A159:G159" ca="1">Días+8+DATE(Calendario12Año,Calendario12MesOpción,1)-WEEKDAY(DATE(Calendario12Año,Calendario12MesOpción,1),DíaDeLaSemanaOpción)</f>
        <v>45628</v>
      </c>
      <c r="B159" s="10">
        <f ca="1"/>
        <v>45629</v>
      </c>
      <c r="C159" s="10">
        <f ca="1"/>
        <v>45630</v>
      </c>
      <c r="D159" s="10">
        <f ca="1"/>
        <v>45631</v>
      </c>
      <c r="E159" s="10">
        <f ca="1"/>
        <v>45632</v>
      </c>
      <c r="F159" s="10">
        <f ca="1"/>
        <v>45633</v>
      </c>
      <c r="G159" s="11">
        <f ca="1"/>
        <v>45634</v>
      </c>
    </row>
    <row r="160" spans="1:7" x14ac:dyDescent="0.3">
      <c r="A160" s="6"/>
      <c r="B160" s="6"/>
      <c r="C160" s="6"/>
      <c r="D160" s="6"/>
      <c r="E160" s="6"/>
      <c r="F160" s="6"/>
      <c r="G160" s="7"/>
    </row>
    <row r="161" spans="1:7" ht="21" x14ac:dyDescent="0.3">
      <c r="A161" s="10">
        <f t="array" aca="1" ref="A161:G161" ca="1">Días+15+DATE(Calendario12Año,Calendario12MesOpción,1)-WEEKDAY(DATE(Calendario12Año,Calendario12MesOpción,1),DíaDeLaSemanaOpción)</f>
        <v>45635</v>
      </c>
      <c r="B161" s="10">
        <f ca="1"/>
        <v>45636</v>
      </c>
      <c r="C161" s="10">
        <f ca="1"/>
        <v>45637</v>
      </c>
      <c r="D161" s="10">
        <f ca="1"/>
        <v>45638</v>
      </c>
      <c r="E161" s="10">
        <f ca="1"/>
        <v>45639</v>
      </c>
      <c r="F161" s="10">
        <f ca="1"/>
        <v>45640</v>
      </c>
      <c r="G161" s="11">
        <f ca="1"/>
        <v>45641</v>
      </c>
    </row>
    <row r="162" spans="1:7" x14ac:dyDescent="0.3">
      <c r="A162" s="6"/>
      <c r="B162" s="6"/>
      <c r="C162" s="6"/>
      <c r="D162" s="6"/>
      <c r="E162" s="6"/>
      <c r="F162" s="6"/>
      <c r="G162" s="7"/>
    </row>
    <row r="163" spans="1:7" ht="21" x14ac:dyDescent="0.3">
      <c r="A163" s="10">
        <f t="array" aca="1" ref="A163:G163" ca="1">Días+22+DATE(Calendario12Año,Calendario12MesOpción,1)-WEEKDAY(DATE(Calendario12Año,Calendario12MesOpción,1),DíaDeLaSemanaOpción)</f>
        <v>45642</v>
      </c>
      <c r="B163" s="10">
        <f ca="1"/>
        <v>45643</v>
      </c>
      <c r="C163" s="10">
        <f ca="1"/>
        <v>45644</v>
      </c>
      <c r="D163" s="10">
        <f ca="1"/>
        <v>45645</v>
      </c>
      <c r="E163" s="10">
        <f ca="1"/>
        <v>45646</v>
      </c>
      <c r="F163" s="10">
        <f ca="1"/>
        <v>45647</v>
      </c>
      <c r="G163" s="11">
        <f ca="1"/>
        <v>45648</v>
      </c>
    </row>
    <row r="164" spans="1:7" x14ac:dyDescent="0.3">
      <c r="A164" s="6"/>
      <c r="B164" s="6"/>
      <c r="C164" s="6"/>
      <c r="D164" s="6"/>
      <c r="E164" s="6"/>
      <c r="F164" s="6"/>
      <c r="G164" s="7"/>
    </row>
    <row r="165" spans="1:7" ht="21" x14ac:dyDescent="0.3">
      <c r="A165" s="10">
        <f t="array" aca="1" ref="A165:G165" ca="1">Días+29+DATE(Calendario12Año,Calendario12MesOpción,1)-WEEKDAY(DATE(Calendario12Año,Calendario12MesOpción,1),DíaDeLaSemanaOpción)</f>
        <v>45649</v>
      </c>
      <c r="B165" s="10">
        <f ca="1"/>
        <v>45650</v>
      </c>
      <c r="C165" s="10">
        <f ca="1"/>
        <v>45651</v>
      </c>
      <c r="D165" s="10">
        <f ca="1"/>
        <v>45652</v>
      </c>
      <c r="E165" s="10">
        <f ca="1"/>
        <v>45653</v>
      </c>
      <c r="F165" s="10">
        <f ca="1"/>
        <v>45654</v>
      </c>
      <c r="G165" s="11">
        <f ca="1"/>
        <v>45655</v>
      </c>
    </row>
    <row r="166" spans="1:7" x14ac:dyDescent="0.3">
      <c r="A166" s="6"/>
      <c r="B166" s="6"/>
      <c r="C166" s="6"/>
      <c r="D166" s="6"/>
      <c r="E166" s="6"/>
      <c r="F166" s="6"/>
      <c r="G166" s="8"/>
    </row>
    <row r="167" spans="1:7" ht="21" x14ac:dyDescent="0.3">
      <c r="A167" s="10">
        <f t="array" aca="1" ref="A167:B167" ca="1">Días+36+DATE(Calendario12Año,Calendario12MesOpción,1)-WEEKDAY(DATE(Calendario12Año,Calendario12MesOpción,1),DíaDeLaSemanaOpción)</f>
        <v>45656</v>
      </c>
      <c r="B167" s="10">
        <f ca="1"/>
        <v>45657</v>
      </c>
      <c r="C167" s="61" t="s">
        <v>1</v>
      </c>
      <c r="D167" s="62"/>
      <c r="E167" s="62"/>
      <c r="F167" s="62"/>
      <c r="G167" s="62"/>
    </row>
    <row r="168" spans="1:7" x14ac:dyDescent="0.3">
      <c r="A168" s="6"/>
      <c r="B168" s="6"/>
      <c r="C168" s="63"/>
      <c r="D168" s="63"/>
      <c r="E168" s="63"/>
      <c r="F168" s="63"/>
      <c r="G168" s="63"/>
    </row>
  </sheetData>
  <mergeCells count="36">
    <mergeCell ref="C168:G168"/>
    <mergeCell ref="B113:D113"/>
    <mergeCell ref="C125:G125"/>
    <mergeCell ref="C126:G126"/>
    <mergeCell ref="B127:D127"/>
    <mergeCell ref="C139:G139"/>
    <mergeCell ref="C140:G140"/>
    <mergeCell ref="B141:D141"/>
    <mergeCell ref="C153:G153"/>
    <mergeCell ref="C154:G154"/>
    <mergeCell ref="B155:D155"/>
    <mergeCell ref="C167:G167"/>
    <mergeCell ref="C112:G112"/>
    <mergeCell ref="B57:D57"/>
    <mergeCell ref="C69:G69"/>
    <mergeCell ref="C70:G70"/>
    <mergeCell ref="B71:D71"/>
    <mergeCell ref="C83:G83"/>
    <mergeCell ref="C84:G84"/>
    <mergeCell ref="B85:D85"/>
    <mergeCell ref="C97:G97"/>
    <mergeCell ref="C98:G98"/>
    <mergeCell ref="B99:D99"/>
    <mergeCell ref="C111:G111"/>
    <mergeCell ref="C56:G56"/>
    <mergeCell ref="D1:F1"/>
    <mergeCell ref="C13:G13"/>
    <mergeCell ref="C14:G14"/>
    <mergeCell ref="D15:F15"/>
    <mergeCell ref="C27:G27"/>
    <mergeCell ref="C28:G28"/>
    <mergeCell ref="B29:D29"/>
    <mergeCell ref="C41:G41"/>
    <mergeCell ref="C42:G42"/>
    <mergeCell ref="B43:D43"/>
    <mergeCell ref="C55:G55"/>
  </mergeCells>
  <dataValidations count="12">
    <dataValidation allowBlank="1" showInputMessage="1" prompt="Fecha" sqref="A3" xr:uid="{00000000-0002-0000-2A00-000000000000}"/>
    <dataValidation allowBlank="1" showInputMessage="1" showErrorMessage="1" prompt="Día laborable determinado automáticamente. Para cambiar los días laborables, seleccione un nuevo día de inicio de semana en la celda B2." sqref="A156:G156 A142:G142 A128:G128 A114:G114 A100:G100 A86:G86 A72:G72 A58:G58 A44:G44 A30:G30 B16:G16" xr:uid="{00000000-0002-0000-2A00-000001000000}"/>
    <dataValidation allowBlank="1" showInputMessage="1" showErrorMessage="1" prompt="El mes natural se actualiza automáticamente según el mes seleccionado en la celda C1" sqref="B155:D155 B127:D127 B113:D113 B99:D99 B85:D85 B71:D71 B57:D57 B43:D43 B29:D29 B141:D141" xr:uid="{00000000-0002-0000-2A00-000002000000}"/>
    <dataValidation allowBlank="1" showInputMessage="1" showErrorMessage="1" prompt="El año natural se actualiza automáticamente según el año seleccionado en la celda B1" sqref="A155 A141 A127 A113 A99 A85 A71 A57 A43 A29" xr:uid="{00000000-0002-0000-2A00-000003000000}"/>
    <dataValidation allowBlank="1" showInputMessage="1" prompt="Escriba las notas del mes en esta celda" sqref="C14:G14" xr:uid="{00000000-0002-0000-2A00-000004000000}"/>
    <dataValidation allowBlank="1" showInputMessage="1" prompt="Escriba las notas del mes en la siguiente celda" sqref="C13:G13" xr:uid="{00000000-0002-0000-2A00-000005000000}"/>
    <dataValidation allowBlank="1" showInputMessage="1" prompt="El mes natural se actualiza automáticamente según el mes seleccionado en la celda C1" sqref="B15:C15" xr:uid="{00000000-0002-0000-2A00-000006000000}"/>
    <dataValidation allowBlank="1" showInputMessage="1" prompt="El año natural se actualiza automáticamente según el año seleccionado en la celda B1" sqref="A15" xr:uid="{00000000-0002-0000-2A00-000007000000}"/>
    <dataValidation allowBlank="1" showInputMessage="1" prompt="Día laborable determinado automáticamente. Para cambiar los días laborables, seleccione un nuevo día de inicio de semana en la celda B2." sqref="A16 B2:G2" xr:uid="{00000000-0002-0000-2A00-000008000000}"/>
    <dataValidation allowBlank="1" showInputMessage="1" showErrorMessage="1" prompt="Escriba el año en esta celda" sqref="A1" xr:uid="{00000000-0002-0000-2A00-000009000000}"/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D15 B1:D1" xr:uid="{00000000-0002-0000-2A00-00000A000000}">
      <formula1>"enero,febrero,marzo,abril,mayo,junio,julio,agosto,septiembre,octubre,noviembre,diciembre"</formula1>
    </dataValidation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A2" xr:uid="{00000000-0002-0000-2A00-00000B000000}">
      <formula1>"DOMINGO,LUNES,MARTES,MIÉRCOLES,JUEVES,VIERNES,SÁBADO"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FE0531B7-8701-4779-AAE2-A1FF7398ECF6}">
            <xm:f>MONTH(JoMa!A3)&lt;&gt;Calendario1MesOpción</xm:f>
            <x14:dxf>
              <font>
                <color rgb="FF747474"/>
              </font>
            </x14:dxf>
          </x14:cfRule>
          <xm:sqref>A3:G3 A5:G5 A7:G7 A9:G9 A11:G11 A13:B13</xm:sqref>
        </x14:conditionalFormatting>
        <x14:conditionalFormatting xmlns:xm="http://schemas.microsoft.com/office/excel/2006/main">
          <x14:cfRule type="expression" priority="11" id="{09DA727D-51E6-4063-AA52-095C2844085E}">
            <xm:f>MONTH(JoMa!A17)&lt;&gt;Calendario2MesOpción</xm:f>
            <x14:dxf>
              <font>
                <color rgb="FF747474"/>
              </font>
            </x14:dxf>
          </x14:cfRule>
          <xm:sqref>A17:G17 A19:G19 A21:G21 A23:G23 A25:G25 A27:B27</xm:sqref>
        </x14:conditionalFormatting>
        <x14:conditionalFormatting xmlns:xm="http://schemas.microsoft.com/office/excel/2006/main">
          <x14:cfRule type="expression" priority="10" id="{38FE4452-252D-42D8-B12A-51946DF006B1}">
            <xm:f>MONTH(JoMa!A31)&lt;&gt;Calendario3MesOpción</xm:f>
            <x14:dxf>
              <font>
                <color rgb="FF747474"/>
              </font>
            </x14:dxf>
          </x14:cfRule>
          <xm:sqref>A31:G31 A33:G33 A35:G35 A37:G37 A39:G39 A41:B41</xm:sqref>
        </x14:conditionalFormatting>
        <x14:conditionalFormatting xmlns:xm="http://schemas.microsoft.com/office/excel/2006/main">
          <x14:cfRule type="expression" priority="9" id="{3B8683B6-79E2-4DED-9D71-8A4FF01A0779}">
            <xm:f>MONTH(JoMa!A45)&lt;&gt;Calendario4MesOpción</xm:f>
            <x14:dxf>
              <font>
                <color rgb="FF747474"/>
              </font>
            </x14:dxf>
          </x14:cfRule>
          <xm:sqref>A45:G45 A47:G47 A49:G49 A51:G51 A53:G53 A55:B55</xm:sqref>
        </x14:conditionalFormatting>
        <x14:conditionalFormatting xmlns:xm="http://schemas.microsoft.com/office/excel/2006/main">
          <x14:cfRule type="expression" priority="8" id="{7032FAC3-B17F-48FB-B0EF-6B67DEC34421}">
            <xm:f>MONTH(JoMa!A59)&lt;&gt;Calendario5MesOpción</xm:f>
            <x14:dxf>
              <font>
                <color rgb="FF747474"/>
              </font>
            </x14:dxf>
          </x14:cfRule>
          <xm:sqref>A59:G59 A61:G61 A63:G63 A65:G65 A67:G67 A69:B69</xm:sqref>
        </x14:conditionalFormatting>
        <x14:conditionalFormatting xmlns:xm="http://schemas.microsoft.com/office/excel/2006/main">
          <x14:cfRule type="expression" priority="7" id="{9EB2A5F4-5D66-4389-B434-37C68FF017BB}">
            <xm:f>MONTH(JoMa!A73)&lt;&gt;Calendario6MesOpción</xm:f>
            <x14:dxf>
              <font>
                <color rgb="FF747474"/>
              </font>
            </x14:dxf>
          </x14:cfRule>
          <xm:sqref>A73:G73 A75:G75 A77:G77 A79:G79 A81:G81 A83:B83</xm:sqref>
        </x14:conditionalFormatting>
        <x14:conditionalFormatting xmlns:xm="http://schemas.microsoft.com/office/excel/2006/main">
          <x14:cfRule type="expression" priority="6" id="{55A509BA-E741-4D5B-930C-1436D973C5CC}">
            <xm:f>MONTH(JoMa!A87)&lt;&gt;Calendario7MesOpción</xm:f>
            <x14:dxf>
              <font>
                <color rgb="FF747474"/>
              </font>
            </x14:dxf>
          </x14:cfRule>
          <xm:sqref>A87:G87 A89:G89 A91:G91 A93:G93 A95:G95 A97:B97</xm:sqref>
        </x14:conditionalFormatting>
        <x14:conditionalFormatting xmlns:xm="http://schemas.microsoft.com/office/excel/2006/main">
          <x14:cfRule type="expression" priority="5" id="{992B023B-C974-4F0E-9839-479AB974CB0A}">
            <xm:f>MONTH(JoMa!A101)&lt;&gt;Calendario8MesOpción</xm:f>
            <x14:dxf>
              <font>
                <color rgb="FF747474"/>
              </font>
            </x14:dxf>
          </x14:cfRule>
          <xm:sqref>A101:G101 A103:G103 A105:G105 A107:G107 A109:G109 A111:B111</xm:sqref>
        </x14:conditionalFormatting>
        <x14:conditionalFormatting xmlns:xm="http://schemas.microsoft.com/office/excel/2006/main">
          <x14:cfRule type="expression" priority="4" id="{0478D81A-9BFC-4F64-A0E7-7A13D9FC1D98}">
            <xm:f>MONTH(JoMa!A115)&lt;&gt;Calendario9MesOpción</xm:f>
            <x14:dxf>
              <font>
                <color rgb="FF747474"/>
              </font>
            </x14:dxf>
          </x14:cfRule>
          <xm:sqref>A115:G115 A117:G117 A119:G119 A121:G121 A123:G123 A125:B125</xm:sqref>
        </x14:conditionalFormatting>
        <x14:conditionalFormatting xmlns:xm="http://schemas.microsoft.com/office/excel/2006/main">
          <x14:cfRule type="expression" priority="3" id="{41975596-75A9-4F1E-8BD7-BF9AC2B443CD}">
            <xm:f>MONTH(JoMa!A129)&lt;&gt;Calendario10MesOpción</xm:f>
            <x14:dxf>
              <font>
                <color rgb="FF747474"/>
              </font>
            </x14:dxf>
          </x14:cfRule>
          <xm:sqref>A129:G129 A131:G131 A133:G133 A135:G135 A137:G137 A139:B139</xm:sqref>
        </x14:conditionalFormatting>
        <x14:conditionalFormatting xmlns:xm="http://schemas.microsoft.com/office/excel/2006/main">
          <x14:cfRule type="expression" priority="2" id="{9A191AE1-4630-430F-8EFA-4A456B54D686}">
            <xm:f>MONTH(JoMa!A143)&lt;&gt;Calendario11MesOpción</xm:f>
            <x14:dxf>
              <font>
                <color rgb="FF747474"/>
              </font>
            </x14:dxf>
          </x14:cfRule>
          <xm:sqref>A143:G143 A145:G145 A147:G147 A149:G149 A151:G151 A153:B153</xm:sqref>
        </x14:conditionalFormatting>
        <x14:conditionalFormatting xmlns:xm="http://schemas.microsoft.com/office/excel/2006/main">
          <x14:cfRule type="expression" priority="1" id="{24EB0462-76B1-4C7E-8B81-B946A4147C55}">
            <xm:f>MONTH(JoMa!A157)&lt;&gt;Calendario12MesOpción</xm:f>
            <x14:dxf>
              <font>
                <color rgb="FF747474"/>
              </font>
            </x14:dxf>
          </x14:cfRule>
          <xm:sqref>A157:G157 A159:G159 A161:G161 A163:G163 A165:G165 A167:B167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4" tint="-0.249977111117893"/>
  </sheetPr>
  <dimension ref="A1:I168"/>
  <sheetViews>
    <sheetView topLeftCell="A13" workbookViewId="0">
      <selection activeCell="B22" sqref="B22"/>
    </sheetView>
  </sheetViews>
  <sheetFormatPr baseColWidth="10" defaultRowHeight="16.5" x14ac:dyDescent="0.3"/>
  <cols>
    <col min="1" max="1" width="18.25" customWidth="1"/>
    <col min="2" max="7" width="17.625" customWidth="1"/>
    <col min="8" max="8" width="2.5" customWidth="1"/>
  </cols>
  <sheetData>
    <row r="1" spans="1:9" ht="46.5" x14ac:dyDescent="0.7">
      <c r="A1" s="1">
        <f ca="1">YEAR(TODAY())</f>
        <v>2024</v>
      </c>
      <c r="B1" s="18" t="s">
        <v>2</v>
      </c>
      <c r="C1" s="13"/>
      <c r="D1" s="65"/>
      <c r="E1" s="65"/>
      <c r="F1" s="65"/>
      <c r="G1" s="19"/>
      <c r="I1" s="20"/>
    </row>
    <row r="2" spans="1:9" x14ac:dyDescent="0.3">
      <c r="A2" s="4" t="s">
        <v>0</v>
      </c>
      <c r="B2" s="5" t="str">
        <f ca="1">UPPER(TEXT(B3,"dddd"))</f>
        <v>MARTES</v>
      </c>
      <c r="C2" s="4" t="str">
        <f t="shared" ref="C2:G2" ca="1" si="0">UPPER(TEXT(C3,"dddd"))</f>
        <v>MIÉRCOLES</v>
      </c>
      <c r="D2" s="5" t="str">
        <f t="shared" ca="1" si="0"/>
        <v>JUEVES</v>
      </c>
      <c r="E2" s="4" t="str">
        <f t="shared" ca="1" si="0"/>
        <v>VIERNES</v>
      </c>
      <c r="F2" s="5" t="str">
        <f t="shared" ca="1" si="0"/>
        <v>SÁBADO</v>
      </c>
      <c r="G2" s="4" t="str">
        <f t="shared" ca="1" si="0"/>
        <v>DOMINGO</v>
      </c>
    </row>
    <row r="3" spans="1:9" ht="21" x14ac:dyDescent="0.3">
      <c r="A3" s="10">
        <f t="array" aca="1" ref="A3:G3" ca="1">Días+1+DATE(Calendario1Año,Calendario1MesOpción,1)-WEEKDAY(DATE(Calendario1Año,Calendario1MesOpción,1),DíaDeLaSemanaOpción)</f>
        <v>45292</v>
      </c>
      <c r="B3" s="10">
        <f ca="1"/>
        <v>45293</v>
      </c>
      <c r="C3" s="10">
        <f ca="1"/>
        <v>45294</v>
      </c>
      <c r="D3" s="10">
        <f ca="1"/>
        <v>45295</v>
      </c>
      <c r="E3" s="10">
        <f ca="1"/>
        <v>45296</v>
      </c>
      <c r="F3" s="10">
        <f ca="1"/>
        <v>45297</v>
      </c>
      <c r="G3" s="11">
        <f ca="1"/>
        <v>45298</v>
      </c>
    </row>
    <row r="4" spans="1:9" x14ac:dyDescent="0.3">
      <c r="A4" s="6"/>
      <c r="B4" s="6"/>
      <c r="C4" s="6"/>
      <c r="D4" s="6"/>
      <c r="E4" s="7"/>
      <c r="F4" s="6"/>
      <c r="G4" s="7"/>
    </row>
    <row r="5" spans="1:9" ht="21" x14ac:dyDescent="0.3">
      <c r="A5" s="10">
        <f t="array" aca="1" ref="A5:G5" ca="1">Días+8+DATE(Calendario1Año,Calendario1MesOpción,1)-WEEKDAY(DATE(Calendario1Año,Calendario1MesOpción,1),DíaDeLaSemanaOpción)</f>
        <v>45299</v>
      </c>
      <c r="B5" s="10">
        <f ca="1"/>
        <v>45300</v>
      </c>
      <c r="C5" s="10">
        <f ca="1"/>
        <v>45301</v>
      </c>
      <c r="D5" s="10">
        <f ca="1"/>
        <v>45302</v>
      </c>
      <c r="E5" s="10">
        <f ca="1"/>
        <v>45303</v>
      </c>
      <c r="F5" s="10">
        <f ca="1"/>
        <v>45304</v>
      </c>
      <c r="G5" s="11">
        <f ca="1"/>
        <v>45305</v>
      </c>
    </row>
    <row r="6" spans="1:9" x14ac:dyDescent="0.3">
      <c r="A6" s="6"/>
      <c r="C6" s="6"/>
      <c r="D6" s="7"/>
      <c r="E6" s="6"/>
      <c r="F6" s="6"/>
      <c r="G6" s="7"/>
    </row>
    <row r="7" spans="1:9" ht="21" x14ac:dyDescent="0.3">
      <c r="A7" s="10">
        <f t="array" aca="1" ref="A7:G7" ca="1">Días+15+DATE(Calendario1Año,Calendario1MesOpción,1)-WEEKDAY(DATE(Calendario1Año,Calendario1MesOpción,1),DíaDeLaSemanaOpción)</f>
        <v>45306</v>
      </c>
      <c r="B7" s="10">
        <f ca="1"/>
        <v>45307</v>
      </c>
      <c r="C7" s="10">
        <f ca="1"/>
        <v>45308</v>
      </c>
      <c r="D7" s="10">
        <f ca="1"/>
        <v>45309</v>
      </c>
      <c r="E7" s="10">
        <f ca="1"/>
        <v>45310</v>
      </c>
      <c r="F7" s="10">
        <f ca="1"/>
        <v>45311</v>
      </c>
      <c r="G7" s="11">
        <f ca="1"/>
        <v>45312</v>
      </c>
    </row>
    <row r="8" spans="1:9" x14ac:dyDescent="0.3">
      <c r="A8" s="43"/>
      <c r="B8" s="6"/>
      <c r="C8" s="6"/>
      <c r="D8" s="6"/>
      <c r="E8" s="24"/>
      <c r="F8" s="24"/>
      <c r="G8" s="24"/>
    </row>
    <row r="9" spans="1:9" ht="21" x14ac:dyDescent="0.3">
      <c r="A9" s="10">
        <f t="array" aca="1" ref="A9:G9" ca="1">Días+22+DATE(Calendario1Año,Calendario1MesOpción,1)-WEEKDAY(DATE(Calendario1Año,Calendario1MesOpción,1),DíaDeLaSemanaOpción)</f>
        <v>45313</v>
      </c>
      <c r="B9" s="10">
        <f ca="1"/>
        <v>45314</v>
      </c>
      <c r="C9" s="10">
        <f ca="1"/>
        <v>45315</v>
      </c>
      <c r="D9" s="10">
        <f ca="1"/>
        <v>45316</v>
      </c>
      <c r="E9" s="10">
        <f ca="1"/>
        <v>45317</v>
      </c>
      <c r="F9" s="10">
        <f ca="1"/>
        <v>45318</v>
      </c>
      <c r="G9" s="11">
        <f ca="1"/>
        <v>45319</v>
      </c>
    </row>
    <row r="10" spans="1:9" x14ac:dyDescent="0.3">
      <c r="A10" s="6"/>
      <c r="B10" s="6"/>
      <c r="C10" s="6"/>
      <c r="D10" s="6"/>
      <c r="E10" s="6"/>
      <c r="F10" s="6"/>
      <c r="G10" s="7"/>
    </row>
    <row r="11" spans="1:9" ht="21" x14ac:dyDescent="0.3">
      <c r="A11" s="10">
        <f t="array" aca="1" ref="A11:G11" ca="1">Días+29+DATE(Calendario1Año,Calendario1MesOpción,1)-WEEKDAY(DATE(Calendario1Año,Calendario1MesOpción,1),DíaDeLaSemanaOpción)</f>
        <v>45320</v>
      </c>
      <c r="B11" s="10">
        <f ca="1"/>
        <v>45321</v>
      </c>
      <c r="C11" s="10">
        <f ca="1"/>
        <v>45322</v>
      </c>
      <c r="D11" s="10">
        <f ca="1"/>
        <v>45323</v>
      </c>
      <c r="E11" s="10">
        <f ca="1"/>
        <v>45324</v>
      </c>
      <c r="F11" s="10">
        <f ca="1"/>
        <v>45325</v>
      </c>
      <c r="G11" s="11">
        <f ca="1"/>
        <v>45326</v>
      </c>
    </row>
    <row r="12" spans="1:9" x14ac:dyDescent="0.3">
      <c r="A12" s="6"/>
      <c r="B12" s="6"/>
      <c r="C12" s="6"/>
      <c r="D12" s="51"/>
      <c r="E12" s="51"/>
      <c r="F12" s="51"/>
      <c r="G12" s="52"/>
    </row>
    <row r="13" spans="1:9" ht="21" x14ac:dyDescent="0.3">
      <c r="A13" s="10">
        <f t="array" aca="1" ref="A13:B13" ca="1">Días+36+DATE(Calendario1Año,Calendario1MesOpción,1)-WEEKDAY(DATE(Calendario1Año,Calendario1MesOpción,1),DíaDeLaSemanaOpción)</f>
        <v>45327</v>
      </c>
      <c r="B13" s="10">
        <f ca="1"/>
        <v>45328</v>
      </c>
      <c r="C13" s="62" t="s">
        <v>1</v>
      </c>
      <c r="D13" s="62"/>
      <c r="E13" s="62"/>
      <c r="F13" s="62"/>
      <c r="G13" s="62"/>
    </row>
    <row r="14" spans="1:9" x14ac:dyDescent="0.3">
      <c r="A14" s="51"/>
      <c r="B14" s="51"/>
      <c r="C14" s="68"/>
      <c r="D14" s="68"/>
      <c r="E14" s="68"/>
      <c r="F14" s="68"/>
      <c r="G14" s="68"/>
    </row>
    <row r="15" spans="1:9" ht="46.5" x14ac:dyDescent="0.7">
      <c r="A15" s="1">
        <f ca="1">YEAR(DATE(Calendario1Año,Calendario1MesOpción+1,1))</f>
        <v>2024</v>
      </c>
      <c r="B15" s="17" t="str">
        <f ca="1">TEXT(DATE(Calendario1Año,Calendario1MesOpción+1,1),"mmmm")</f>
        <v>febrero</v>
      </c>
      <c r="C15" s="13"/>
      <c r="D15" s="65" t="s">
        <v>192</v>
      </c>
      <c r="E15" s="65"/>
      <c r="F15" s="65"/>
      <c r="G15" s="19" t="s">
        <v>193</v>
      </c>
      <c r="I15" s="20"/>
    </row>
    <row r="16" spans="1:9" x14ac:dyDescent="0.3">
      <c r="A16" s="4" t="str">
        <f ca="1">UPPER(TEXT(A17,"dddd"))</f>
        <v>LUNES</v>
      </c>
      <c r="B16" s="5" t="str">
        <f t="shared" ref="B16:G16" ca="1" si="1">UPPER(TEXT(B17,"dddd"))</f>
        <v>MARTES</v>
      </c>
      <c r="C16" s="4" t="str">
        <f t="shared" ca="1" si="1"/>
        <v>MIÉRCOLES</v>
      </c>
      <c r="D16" s="5" t="str">
        <f t="shared" ca="1" si="1"/>
        <v>JUEVES</v>
      </c>
      <c r="E16" s="4" t="str">
        <f t="shared" ca="1" si="1"/>
        <v>VIERNES</v>
      </c>
      <c r="F16" s="5" t="str">
        <f t="shared" ca="1" si="1"/>
        <v>SÁBADO</v>
      </c>
      <c r="G16" s="4" t="str">
        <f t="shared" ca="1" si="1"/>
        <v>DOMINGO</v>
      </c>
    </row>
    <row r="17" spans="1:7" ht="21" x14ac:dyDescent="0.3">
      <c r="A17" s="10">
        <f t="array" aca="1" ref="A17:G17" ca="1">Días+1+DATE(Calendario2Año,Calendario2MesOpción,1)-WEEKDAY(DATE(Calendario2Año,Calendario2MesOpción,1),DíaDeLaSemanaOpción)</f>
        <v>45320</v>
      </c>
      <c r="B17" s="10">
        <f ca="1"/>
        <v>45321</v>
      </c>
      <c r="C17" s="10">
        <f ca="1"/>
        <v>45322</v>
      </c>
      <c r="D17" s="10">
        <f ca="1"/>
        <v>45323</v>
      </c>
      <c r="E17" s="10">
        <f ca="1"/>
        <v>45324</v>
      </c>
      <c r="F17" s="10">
        <f ca="1"/>
        <v>45325</v>
      </c>
      <c r="G17" s="11">
        <f ca="1"/>
        <v>45326</v>
      </c>
    </row>
    <row r="18" spans="1:7" x14ac:dyDescent="0.3">
      <c r="A18" s="51"/>
      <c r="B18" s="51"/>
      <c r="C18" s="51"/>
      <c r="D18" s="6"/>
      <c r="E18" s="6"/>
      <c r="F18" s="6"/>
      <c r="G18" s="7"/>
    </row>
    <row r="19" spans="1:7" ht="21" x14ac:dyDescent="0.3">
      <c r="A19" s="10">
        <f t="array" aca="1" ref="A19:G19" ca="1">Días+8+DATE(Calendario2Año,Calendario2MesOpción,1)-WEEKDAY(DATE(Calendario2Año,Calendario2MesOpción,1),DíaDeLaSemanaOpción)</f>
        <v>45327</v>
      </c>
      <c r="B19" s="10">
        <f ca="1"/>
        <v>45328</v>
      </c>
      <c r="C19" s="10">
        <f ca="1"/>
        <v>45329</v>
      </c>
      <c r="D19" s="10">
        <f ca="1"/>
        <v>45330</v>
      </c>
      <c r="E19" s="10">
        <f ca="1"/>
        <v>45331</v>
      </c>
      <c r="F19" s="10">
        <f ca="1"/>
        <v>45332</v>
      </c>
      <c r="G19" s="11">
        <f ca="1"/>
        <v>45333</v>
      </c>
    </row>
    <row r="20" spans="1:7" x14ac:dyDescent="0.3">
      <c r="A20" s="24"/>
      <c r="D20" s="6"/>
      <c r="E20" s="6"/>
      <c r="F20" s="6"/>
      <c r="G20" s="7"/>
    </row>
    <row r="21" spans="1:7" ht="21" x14ac:dyDescent="0.3">
      <c r="A21" s="10">
        <f t="array" aca="1" ref="A21:G21" ca="1">Días+15+DATE(Calendario2Año,Calendario2MesOpción,1)-WEEKDAY(DATE(Calendario2Año,Calendario2MesOpción,1),DíaDeLaSemanaOpción)</f>
        <v>45334</v>
      </c>
      <c r="B21" s="10">
        <f ca="1"/>
        <v>45335</v>
      </c>
      <c r="C21" s="10">
        <f ca="1"/>
        <v>45336</v>
      </c>
      <c r="D21" s="10">
        <f ca="1"/>
        <v>45337</v>
      </c>
      <c r="E21" s="10">
        <f ca="1"/>
        <v>45338</v>
      </c>
      <c r="F21" s="10">
        <f ca="1"/>
        <v>45339</v>
      </c>
      <c r="G21" s="11">
        <f ca="1"/>
        <v>45340</v>
      </c>
    </row>
    <row r="22" spans="1:7" ht="28.5" x14ac:dyDescent="0.3">
      <c r="A22" s="6"/>
      <c r="B22" s="31" t="s">
        <v>198</v>
      </c>
      <c r="C22" s="6"/>
      <c r="D22" s="31" t="s">
        <v>189</v>
      </c>
      <c r="E22" s="6"/>
      <c r="F22" s="6"/>
      <c r="G22" s="7"/>
    </row>
    <row r="23" spans="1:7" ht="21" x14ac:dyDescent="0.3">
      <c r="A23" s="10">
        <f t="array" aca="1" ref="A23:G23" ca="1">Días+22+DATE(Calendario2Año,Calendario2MesOpción,1)-WEEKDAY(DATE(Calendario2Año,Calendario2MesOpción,1),DíaDeLaSemanaOpción)</f>
        <v>45341</v>
      </c>
      <c r="B23" s="10">
        <f ca="1"/>
        <v>45342</v>
      </c>
      <c r="C23" s="10">
        <f ca="1"/>
        <v>45343</v>
      </c>
      <c r="D23" s="10">
        <f ca="1"/>
        <v>45344</v>
      </c>
      <c r="E23" s="10">
        <f ca="1"/>
        <v>45345</v>
      </c>
      <c r="F23" s="10">
        <f ca="1"/>
        <v>45346</v>
      </c>
      <c r="G23" s="11">
        <f ca="1"/>
        <v>45347</v>
      </c>
    </row>
    <row r="24" spans="1:7" x14ac:dyDescent="0.3">
      <c r="A24" s="6"/>
      <c r="B24" s="6"/>
      <c r="C24" s="6"/>
      <c r="D24" s="6"/>
      <c r="E24" s="6"/>
      <c r="F24" s="6"/>
      <c r="G24" s="7"/>
    </row>
    <row r="25" spans="1:7" ht="21" x14ac:dyDescent="0.3">
      <c r="A25" s="10">
        <f t="array" aca="1" ref="A25:G25" ca="1">Días+29+DATE(Calendario2Año,Calendario2MesOpción,1)-WEEKDAY(DATE(Calendario2Año,Calendario2MesOpción,1),DíaDeLaSemanaOpción)</f>
        <v>45348</v>
      </c>
      <c r="B25" s="10">
        <f ca="1"/>
        <v>45349</v>
      </c>
      <c r="C25" s="10">
        <f ca="1"/>
        <v>45350</v>
      </c>
      <c r="D25" s="10">
        <f ca="1"/>
        <v>45351</v>
      </c>
      <c r="E25" s="10">
        <f ca="1"/>
        <v>45352</v>
      </c>
      <c r="F25" s="10">
        <f ca="1"/>
        <v>45353</v>
      </c>
      <c r="G25" s="11">
        <f ca="1"/>
        <v>45354</v>
      </c>
    </row>
    <row r="26" spans="1:7" x14ac:dyDescent="0.3">
      <c r="A26" s="6"/>
      <c r="B26" s="6"/>
      <c r="C26" s="6"/>
      <c r="D26" s="6"/>
      <c r="E26" s="6"/>
      <c r="F26" s="6"/>
      <c r="G26" s="8"/>
    </row>
    <row r="27" spans="1:7" ht="21" x14ac:dyDescent="0.3">
      <c r="A27" s="10">
        <f t="array" aca="1" ref="A27:B27" ca="1">Días+36+DATE(Calendario2Año,Calendario2MesOpción,1)-WEEKDAY(DATE(Calendario2Año,Calendario2MesOpción,1),DíaDeLaSemanaOpción)</f>
        <v>45355</v>
      </c>
      <c r="B27" s="10">
        <f ca="1"/>
        <v>45356</v>
      </c>
      <c r="C27" s="62" t="s">
        <v>1</v>
      </c>
      <c r="D27" s="62"/>
      <c r="E27" s="62"/>
      <c r="F27" s="62"/>
      <c r="G27" s="62"/>
    </row>
    <row r="28" spans="1:7" x14ac:dyDescent="0.3">
      <c r="A28" s="6"/>
      <c r="B28" s="6"/>
      <c r="C28" s="63"/>
      <c r="D28" s="63"/>
      <c r="E28" s="63"/>
      <c r="F28" s="63"/>
      <c r="G28" s="63"/>
    </row>
    <row r="29" spans="1:7" ht="46.5" x14ac:dyDescent="0.7">
      <c r="A29" s="1">
        <f ca="1">YEAR(DATE(Calendario2Año,Calendario2MesOpción+1,1))</f>
        <v>2024</v>
      </c>
      <c r="B29" s="64" t="str">
        <f ca="1">TEXT(DATE(Calendario2Año,Calendario2MesOpción+1,1),"mmmm")</f>
        <v>marzo</v>
      </c>
      <c r="C29" s="64"/>
      <c r="D29" s="64"/>
      <c r="E29" s="2"/>
      <c r="F29" s="2"/>
      <c r="G29" s="2"/>
    </row>
    <row r="30" spans="1:7" x14ac:dyDescent="0.3">
      <c r="A30" s="4" t="str">
        <f ca="1">UPPER(TEXT(A31,"dddd"))</f>
        <v>LUNES</v>
      </c>
      <c r="B30" s="5" t="str">
        <f t="shared" ref="B30:G30" ca="1" si="2">UPPER(TEXT(B31,"dddd"))</f>
        <v>MARTES</v>
      </c>
      <c r="C30" s="4" t="str">
        <f t="shared" ca="1" si="2"/>
        <v>MIÉRCOLES</v>
      </c>
      <c r="D30" s="5" t="str">
        <f t="shared" ca="1" si="2"/>
        <v>JUEVES</v>
      </c>
      <c r="E30" s="4" t="str">
        <f t="shared" ca="1" si="2"/>
        <v>VIERNES</v>
      </c>
      <c r="F30" s="5" t="str">
        <f t="shared" ca="1" si="2"/>
        <v>SÁBADO</v>
      </c>
      <c r="G30" s="4" t="str">
        <f t="shared" ca="1" si="2"/>
        <v>DOMINGO</v>
      </c>
    </row>
    <row r="31" spans="1:7" ht="21" x14ac:dyDescent="0.3">
      <c r="A31" s="10">
        <f t="array" aca="1" ref="A31:G31" ca="1">Días+1+DATE(Calendario3Año,Calendario3MesOpción,1)-WEEKDAY(DATE(Calendario3Año,Calendario3MesOpción,1),DíaDeLaSemanaOpción)</f>
        <v>45348</v>
      </c>
      <c r="B31" s="10">
        <f ca="1"/>
        <v>45349</v>
      </c>
      <c r="C31" s="10">
        <f ca="1"/>
        <v>45350</v>
      </c>
      <c r="D31" s="10">
        <f ca="1"/>
        <v>45351</v>
      </c>
      <c r="E31" s="10">
        <f ca="1"/>
        <v>45352</v>
      </c>
      <c r="F31" s="10">
        <f ca="1"/>
        <v>45353</v>
      </c>
      <c r="G31" s="11">
        <f ca="1"/>
        <v>45354</v>
      </c>
    </row>
    <row r="32" spans="1:7" x14ac:dyDescent="0.3">
      <c r="A32" s="6"/>
      <c r="B32" s="6"/>
      <c r="C32" s="6"/>
      <c r="D32" s="6"/>
      <c r="E32" s="6"/>
      <c r="F32" s="6"/>
      <c r="G32" s="7"/>
    </row>
    <row r="33" spans="1:7" ht="21" x14ac:dyDescent="0.3">
      <c r="A33" s="10">
        <f t="array" aca="1" ref="A33:G33" ca="1">Días+8+DATE(Calendario3Año,Calendario3MesOpción,1)-WEEKDAY(DATE(Calendario3Año,Calendario3MesOpción,1),DíaDeLaSemanaOpción)</f>
        <v>45355</v>
      </c>
      <c r="B33" s="10">
        <f ca="1"/>
        <v>45356</v>
      </c>
      <c r="C33" s="10">
        <f ca="1"/>
        <v>45357</v>
      </c>
      <c r="D33" s="10">
        <f ca="1"/>
        <v>45358</v>
      </c>
      <c r="E33" s="10">
        <f ca="1"/>
        <v>45359</v>
      </c>
      <c r="F33" s="10">
        <f ca="1"/>
        <v>45360</v>
      </c>
      <c r="G33" s="11">
        <f ca="1"/>
        <v>45361</v>
      </c>
    </row>
    <row r="34" spans="1:7" x14ac:dyDescent="0.3">
      <c r="A34" s="6"/>
      <c r="B34" s="6"/>
      <c r="C34" s="6"/>
      <c r="D34" s="6"/>
      <c r="E34" s="6"/>
      <c r="F34" s="6"/>
      <c r="G34" s="7"/>
    </row>
    <row r="35" spans="1:7" ht="21" x14ac:dyDescent="0.3">
      <c r="A35" s="10">
        <f t="array" aca="1" ref="A35:G35" ca="1">Días+15+DATE(Calendario3Año,Calendario3MesOpción,1)-WEEKDAY(DATE(Calendario3Año,Calendario3MesOpción,1),DíaDeLaSemanaOpción)</f>
        <v>45362</v>
      </c>
      <c r="B35" s="10">
        <f ca="1"/>
        <v>45363</v>
      </c>
      <c r="C35" s="10">
        <f ca="1"/>
        <v>45364</v>
      </c>
      <c r="D35" s="10">
        <f ca="1"/>
        <v>45365</v>
      </c>
      <c r="E35" s="10">
        <f ca="1"/>
        <v>45366</v>
      </c>
      <c r="F35" s="10">
        <f ca="1"/>
        <v>45367</v>
      </c>
      <c r="G35" s="11">
        <f ca="1"/>
        <v>45368</v>
      </c>
    </row>
    <row r="36" spans="1:7" x14ac:dyDescent="0.3">
      <c r="A36" s="6"/>
      <c r="B36" s="6"/>
      <c r="C36" s="6"/>
      <c r="D36" s="6"/>
      <c r="E36" s="6"/>
      <c r="F36" s="6"/>
      <c r="G36" s="7"/>
    </row>
    <row r="37" spans="1:7" ht="21" x14ac:dyDescent="0.3">
      <c r="A37" s="10">
        <f t="array" aca="1" ref="A37:G37" ca="1">Días+22+DATE(Calendario3Año,Calendario3MesOpción,1)-WEEKDAY(DATE(Calendario3Año,Calendario3MesOpción,1),DíaDeLaSemanaOpción)</f>
        <v>45369</v>
      </c>
      <c r="B37" s="10">
        <f ca="1"/>
        <v>45370</v>
      </c>
      <c r="C37" s="10">
        <f ca="1"/>
        <v>45371</v>
      </c>
      <c r="D37" s="10">
        <f ca="1"/>
        <v>45372</v>
      </c>
      <c r="E37" s="10">
        <f ca="1"/>
        <v>45373</v>
      </c>
      <c r="F37" s="10">
        <f ca="1"/>
        <v>45374</v>
      </c>
      <c r="G37" s="11">
        <f ca="1"/>
        <v>45375</v>
      </c>
    </row>
    <row r="38" spans="1:7" x14ac:dyDescent="0.3">
      <c r="A38" s="6"/>
      <c r="B38" s="6"/>
      <c r="C38" s="6"/>
      <c r="D38" s="6"/>
      <c r="E38" s="6"/>
      <c r="F38" s="6"/>
      <c r="G38" s="7"/>
    </row>
    <row r="39" spans="1:7" ht="21" x14ac:dyDescent="0.3">
      <c r="A39" s="10">
        <f t="array" aca="1" ref="A39:G39" ca="1">Días+29+DATE(Calendario3Año,Calendario3MesOpción,1)-WEEKDAY(DATE(Calendario3Año,Calendario3MesOpción,1),DíaDeLaSemanaOpción)</f>
        <v>45376</v>
      </c>
      <c r="B39" s="10">
        <f ca="1"/>
        <v>45377</v>
      </c>
      <c r="C39" s="10">
        <f ca="1"/>
        <v>45378</v>
      </c>
      <c r="D39" s="10">
        <f ca="1"/>
        <v>45379</v>
      </c>
      <c r="E39" s="10">
        <f ca="1"/>
        <v>45380</v>
      </c>
      <c r="F39" s="10">
        <f ca="1"/>
        <v>45381</v>
      </c>
      <c r="G39" s="11">
        <f ca="1"/>
        <v>45382</v>
      </c>
    </row>
    <row r="40" spans="1:7" x14ac:dyDescent="0.3">
      <c r="A40" s="6"/>
      <c r="B40" s="6"/>
      <c r="C40" s="6"/>
      <c r="D40" s="6"/>
      <c r="E40" s="6"/>
      <c r="F40" s="6"/>
      <c r="G40" s="8"/>
    </row>
    <row r="41" spans="1:7" ht="21" x14ac:dyDescent="0.3">
      <c r="A41" s="10">
        <f t="array" aca="1" ref="A41:B41" ca="1">Días+36+DATE(Calendario3Año,Calendario3MesOpción,1)-WEEKDAY(DATE(Calendario3Año,Calendario3MesOpción,1),DíaDeLaSemanaOpción)</f>
        <v>45383</v>
      </c>
      <c r="B41" s="10">
        <f ca="1"/>
        <v>45384</v>
      </c>
      <c r="C41" s="62" t="s">
        <v>1</v>
      </c>
      <c r="D41" s="62"/>
      <c r="E41" s="62"/>
      <c r="F41" s="62"/>
      <c r="G41" s="62"/>
    </row>
    <row r="42" spans="1:7" x14ac:dyDescent="0.3">
      <c r="A42" s="6"/>
      <c r="B42" s="6"/>
      <c r="C42" s="63"/>
      <c r="D42" s="63"/>
      <c r="E42" s="63"/>
      <c r="F42" s="63"/>
      <c r="G42" s="63"/>
    </row>
    <row r="43" spans="1:7" ht="46.5" x14ac:dyDescent="0.7">
      <c r="A43" s="1">
        <f ca="1">YEAR(DATE(Calendario3Año,Calendario3MesOpción+1,1))</f>
        <v>2024</v>
      </c>
      <c r="B43" s="64" t="str">
        <f ca="1">TEXT(DATE(Calendario3Año,Calendario3MesOpción+1,1),"mmmm")</f>
        <v>abril</v>
      </c>
      <c r="C43" s="64"/>
      <c r="D43" s="64"/>
      <c r="E43" s="2"/>
      <c r="F43" s="2"/>
      <c r="G43" s="2"/>
    </row>
    <row r="44" spans="1:7" x14ac:dyDescent="0.3">
      <c r="A44" s="4" t="str">
        <f ca="1">UPPER(TEXT(A45,"dddd"))</f>
        <v>LUNES</v>
      </c>
      <c r="B44" s="5" t="str">
        <f t="shared" ref="B44:G44" ca="1" si="3">UPPER(TEXT(B45,"dddd"))</f>
        <v>MARTES</v>
      </c>
      <c r="C44" s="4" t="str">
        <f t="shared" ca="1" si="3"/>
        <v>MIÉRCOLES</v>
      </c>
      <c r="D44" s="5" t="str">
        <f t="shared" ca="1" si="3"/>
        <v>JUEVES</v>
      </c>
      <c r="E44" s="4" t="str">
        <f t="shared" ca="1" si="3"/>
        <v>VIERNES</v>
      </c>
      <c r="F44" s="5" t="str">
        <f t="shared" ca="1" si="3"/>
        <v>SÁBADO</v>
      </c>
      <c r="G44" s="4" t="str">
        <f t="shared" ca="1" si="3"/>
        <v>DOMINGO</v>
      </c>
    </row>
    <row r="45" spans="1:7" ht="21" x14ac:dyDescent="0.3">
      <c r="A45" s="10">
        <f t="array" aca="1" ref="A45:G45" ca="1">Días+1+DATE(Calendario4Año,Calendario4MesOpción,1)-WEEKDAY(DATE(Calendario4Año,Calendario4MesOpción,1),DíaDeLaSemanaOpción)</f>
        <v>45383</v>
      </c>
      <c r="B45" s="10">
        <f ca="1"/>
        <v>45384</v>
      </c>
      <c r="C45" s="10">
        <f ca="1"/>
        <v>45385</v>
      </c>
      <c r="D45" s="10">
        <f ca="1"/>
        <v>45386</v>
      </c>
      <c r="E45" s="10">
        <f ca="1"/>
        <v>45387</v>
      </c>
      <c r="F45" s="10">
        <f ca="1"/>
        <v>45388</v>
      </c>
      <c r="G45" s="11">
        <f ca="1"/>
        <v>45389</v>
      </c>
    </row>
    <row r="46" spans="1:7" x14ac:dyDescent="0.3">
      <c r="A46" s="6"/>
      <c r="B46" s="6"/>
      <c r="C46" s="6"/>
      <c r="D46" s="6"/>
      <c r="E46" s="6"/>
      <c r="F46" s="6"/>
      <c r="G46" s="7"/>
    </row>
    <row r="47" spans="1:7" ht="21" x14ac:dyDescent="0.3">
      <c r="A47" s="10">
        <f t="array" aca="1" ref="A47:G47" ca="1">Días+8+DATE(Calendario4Año,Calendario4MesOpción,1)-WEEKDAY(DATE(Calendario4Año,Calendario4MesOpción,1),DíaDeLaSemanaOpción)</f>
        <v>45390</v>
      </c>
      <c r="B47" s="10">
        <f ca="1"/>
        <v>45391</v>
      </c>
      <c r="C47" s="10">
        <f ca="1"/>
        <v>45392</v>
      </c>
      <c r="D47" s="10">
        <f ca="1"/>
        <v>45393</v>
      </c>
      <c r="E47" s="10">
        <f ca="1"/>
        <v>45394</v>
      </c>
      <c r="F47" s="10">
        <f ca="1"/>
        <v>45395</v>
      </c>
      <c r="G47" s="11">
        <f ca="1"/>
        <v>45396</v>
      </c>
    </row>
    <row r="48" spans="1:7" x14ac:dyDescent="0.3">
      <c r="A48" s="6"/>
      <c r="B48" s="6"/>
      <c r="C48" s="6"/>
      <c r="D48" s="6"/>
      <c r="E48" s="6"/>
      <c r="F48" s="6"/>
      <c r="G48" s="7"/>
    </row>
    <row r="49" spans="1:7" ht="21" x14ac:dyDescent="0.3">
      <c r="A49" s="10">
        <f t="array" aca="1" ref="A49:G49" ca="1">Días+15+DATE(Calendario4Año,Calendario4MesOpción,1)-WEEKDAY(DATE(Calendario4Año,Calendario4MesOpción,1),DíaDeLaSemanaOpción)</f>
        <v>45397</v>
      </c>
      <c r="B49" s="10">
        <f ca="1"/>
        <v>45398</v>
      </c>
      <c r="C49" s="10">
        <f ca="1"/>
        <v>45399</v>
      </c>
      <c r="D49" s="10">
        <f ca="1"/>
        <v>45400</v>
      </c>
      <c r="E49" s="10">
        <f ca="1"/>
        <v>45401</v>
      </c>
      <c r="F49" s="10">
        <f ca="1"/>
        <v>45402</v>
      </c>
      <c r="G49" s="11">
        <f ca="1"/>
        <v>45403</v>
      </c>
    </row>
    <row r="50" spans="1:7" x14ac:dyDescent="0.3">
      <c r="A50" s="6"/>
      <c r="B50" s="6"/>
      <c r="C50" s="6"/>
      <c r="D50" s="6"/>
      <c r="E50" s="6"/>
      <c r="F50" s="6"/>
      <c r="G50" s="7"/>
    </row>
    <row r="51" spans="1:7" ht="21" x14ac:dyDescent="0.3">
      <c r="A51" s="10">
        <f t="array" aca="1" ref="A51:G51" ca="1">Días+22+DATE(Calendario4Año,Calendario4MesOpción,1)-WEEKDAY(DATE(Calendario4Año,Calendario4MesOpción,1),DíaDeLaSemanaOpción)</f>
        <v>45404</v>
      </c>
      <c r="B51" s="10">
        <f ca="1"/>
        <v>45405</v>
      </c>
      <c r="C51" s="10">
        <f ca="1"/>
        <v>45406</v>
      </c>
      <c r="D51" s="10">
        <f ca="1"/>
        <v>45407</v>
      </c>
      <c r="E51" s="10">
        <f ca="1"/>
        <v>45408</v>
      </c>
      <c r="F51" s="10">
        <f ca="1"/>
        <v>45409</v>
      </c>
      <c r="G51" s="11">
        <f ca="1"/>
        <v>45410</v>
      </c>
    </row>
    <row r="52" spans="1:7" x14ac:dyDescent="0.3">
      <c r="A52" s="6"/>
      <c r="B52" s="6"/>
      <c r="C52" s="6"/>
      <c r="D52" s="6"/>
      <c r="E52" s="6"/>
      <c r="F52" s="6"/>
      <c r="G52" s="7"/>
    </row>
    <row r="53" spans="1:7" ht="21" x14ac:dyDescent="0.3">
      <c r="A53" s="10">
        <f t="array" aca="1" ref="A53:G53" ca="1">Días+29+DATE(Calendario4Año,Calendario4MesOpción,1)-WEEKDAY(DATE(Calendario4Año,Calendario4MesOpción,1),DíaDeLaSemanaOpción)</f>
        <v>45411</v>
      </c>
      <c r="B53" s="10">
        <f ca="1"/>
        <v>45412</v>
      </c>
      <c r="C53" s="10">
        <f ca="1"/>
        <v>45413</v>
      </c>
      <c r="D53" s="10">
        <f ca="1"/>
        <v>45414</v>
      </c>
      <c r="E53" s="10">
        <f ca="1"/>
        <v>45415</v>
      </c>
      <c r="F53" s="10">
        <f ca="1"/>
        <v>45416</v>
      </c>
      <c r="G53" s="11">
        <f ca="1"/>
        <v>45417</v>
      </c>
    </row>
    <row r="54" spans="1:7" x14ac:dyDescent="0.3">
      <c r="A54" s="6"/>
      <c r="B54" s="6"/>
      <c r="C54" s="6"/>
      <c r="D54" s="6"/>
      <c r="E54" s="6"/>
      <c r="F54" s="6"/>
      <c r="G54" s="8"/>
    </row>
    <row r="55" spans="1:7" ht="21" x14ac:dyDescent="0.3">
      <c r="A55" s="10">
        <f t="array" aca="1" ref="A55:B55" ca="1">Días+36+DATE(Calendario4Año,Calendario4MesOpción,1)-WEEKDAY(DATE(Calendario4Año,Calendario4MesOpción,1),DíaDeLaSemanaOpción)</f>
        <v>45418</v>
      </c>
      <c r="B55" s="10">
        <f ca="1"/>
        <v>45419</v>
      </c>
      <c r="C55" s="61" t="s">
        <v>1</v>
      </c>
      <c r="D55" s="62"/>
      <c r="E55" s="62"/>
      <c r="F55" s="62"/>
      <c r="G55" s="62"/>
    </row>
    <row r="56" spans="1:7" x14ac:dyDescent="0.3">
      <c r="A56" s="6"/>
      <c r="B56" s="6"/>
      <c r="C56" s="63"/>
      <c r="D56" s="63"/>
      <c r="E56" s="63"/>
      <c r="F56" s="63"/>
      <c r="G56" s="63"/>
    </row>
    <row r="57" spans="1:7" ht="46.5" x14ac:dyDescent="0.7">
      <c r="A57" s="1">
        <f ca="1">YEAR(DATE(Calendario4Año,Calendario4MesOpción+1,1))</f>
        <v>2024</v>
      </c>
      <c r="B57" s="64" t="str">
        <f ca="1">TEXT(DATE(Calendario4Año,Calendario4MesOpción+1,1),"mmmm")</f>
        <v>mayo</v>
      </c>
      <c r="C57" s="64"/>
      <c r="D57" s="64"/>
      <c r="E57" s="2"/>
      <c r="F57" s="2"/>
      <c r="G57" s="2"/>
    </row>
    <row r="58" spans="1:7" x14ac:dyDescent="0.3">
      <c r="A58" s="4" t="str">
        <f ca="1">UPPER(TEXT(A59,"dddd"))</f>
        <v>LUNES</v>
      </c>
      <c r="B58" s="5" t="str">
        <f t="shared" ref="B58:G58" ca="1" si="4">UPPER(TEXT(B59,"dddd"))</f>
        <v>MARTES</v>
      </c>
      <c r="C58" s="4" t="str">
        <f t="shared" ca="1" si="4"/>
        <v>MIÉRCOLES</v>
      </c>
      <c r="D58" s="5" t="str">
        <f t="shared" ca="1" si="4"/>
        <v>JUEVES</v>
      </c>
      <c r="E58" s="4" t="str">
        <f t="shared" ca="1" si="4"/>
        <v>VIERNES</v>
      </c>
      <c r="F58" s="5" t="str">
        <f t="shared" ca="1" si="4"/>
        <v>SÁBADO</v>
      </c>
      <c r="G58" s="4" t="str">
        <f t="shared" ca="1" si="4"/>
        <v>DOMINGO</v>
      </c>
    </row>
    <row r="59" spans="1:7" ht="21" x14ac:dyDescent="0.3">
      <c r="A59" s="10">
        <f t="array" aca="1" ref="A59:G59" ca="1">Días+1+DATE(Calendario5Año,Calendario5MesOpción,1)-WEEKDAY(DATE(Calendario5Año,Calendario5MesOpción,1),DíaDeLaSemanaOpción)</f>
        <v>45411</v>
      </c>
      <c r="B59" s="10">
        <f ca="1"/>
        <v>45412</v>
      </c>
      <c r="C59" s="10">
        <f ca="1"/>
        <v>45413</v>
      </c>
      <c r="D59" s="10">
        <f ca="1"/>
        <v>45414</v>
      </c>
      <c r="E59" s="10">
        <f ca="1"/>
        <v>45415</v>
      </c>
      <c r="F59" s="10">
        <f ca="1"/>
        <v>45416</v>
      </c>
      <c r="G59" s="11">
        <f ca="1"/>
        <v>45417</v>
      </c>
    </row>
    <row r="60" spans="1:7" x14ac:dyDescent="0.3">
      <c r="A60" s="6"/>
      <c r="B60" s="6"/>
      <c r="C60" s="6"/>
      <c r="D60" s="6"/>
      <c r="E60" s="6"/>
      <c r="F60" s="6"/>
      <c r="G60" s="7"/>
    </row>
    <row r="61" spans="1:7" ht="21" x14ac:dyDescent="0.3">
      <c r="A61" s="10">
        <f t="array" aca="1" ref="A61:G61" ca="1">Días+8+DATE(Calendario5Año,Calendario5MesOpción,1)-WEEKDAY(DATE(Calendario5Año,Calendario5MesOpción,1),DíaDeLaSemanaOpción)</f>
        <v>45418</v>
      </c>
      <c r="B61" s="10">
        <f ca="1"/>
        <v>45419</v>
      </c>
      <c r="C61" s="10">
        <f ca="1"/>
        <v>45420</v>
      </c>
      <c r="D61" s="10">
        <f ca="1"/>
        <v>45421</v>
      </c>
      <c r="E61" s="10">
        <f ca="1"/>
        <v>45422</v>
      </c>
      <c r="F61" s="10">
        <f ca="1"/>
        <v>45423</v>
      </c>
      <c r="G61" s="11">
        <f ca="1"/>
        <v>45424</v>
      </c>
    </row>
    <row r="62" spans="1:7" x14ac:dyDescent="0.3">
      <c r="A62" s="6"/>
      <c r="B62" s="6"/>
      <c r="C62" s="6"/>
      <c r="D62" s="6"/>
      <c r="E62" s="6"/>
      <c r="F62" s="6"/>
      <c r="G62" s="7"/>
    </row>
    <row r="63" spans="1:7" ht="21" x14ac:dyDescent="0.3">
      <c r="A63" s="10">
        <f t="array" aca="1" ref="A63:G63" ca="1">Días+15+DATE(Calendario5Año,Calendario5MesOpción,1)-WEEKDAY(DATE(Calendario5Año,Calendario5MesOpción,1),DíaDeLaSemanaOpción)</f>
        <v>45425</v>
      </c>
      <c r="B63" s="10">
        <f ca="1"/>
        <v>45426</v>
      </c>
      <c r="C63" s="10">
        <f ca="1"/>
        <v>45427</v>
      </c>
      <c r="D63" s="10">
        <f ca="1"/>
        <v>45428</v>
      </c>
      <c r="E63" s="10">
        <f ca="1"/>
        <v>45429</v>
      </c>
      <c r="F63" s="10">
        <f ca="1"/>
        <v>45430</v>
      </c>
      <c r="G63" s="11">
        <f ca="1"/>
        <v>45431</v>
      </c>
    </row>
    <row r="64" spans="1:7" x14ac:dyDescent="0.3">
      <c r="A64" s="6"/>
      <c r="B64" s="6"/>
      <c r="C64" s="6"/>
      <c r="D64" s="6"/>
      <c r="E64" s="6"/>
      <c r="F64" s="6"/>
      <c r="G64" s="7"/>
    </row>
    <row r="65" spans="1:7" ht="21" x14ac:dyDescent="0.3">
      <c r="A65" s="10">
        <f t="array" aca="1" ref="A65:G65" ca="1">Días+22+DATE(Calendario5Año,Calendario5MesOpción,1)-WEEKDAY(DATE(Calendario5Año,Calendario5MesOpción,1),DíaDeLaSemanaOpción)</f>
        <v>45432</v>
      </c>
      <c r="B65" s="10">
        <f ca="1"/>
        <v>45433</v>
      </c>
      <c r="C65" s="10">
        <f ca="1"/>
        <v>45434</v>
      </c>
      <c r="D65" s="10">
        <f ca="1"/>
        <v>45435</v>
      </c>
      <c r="E65" s="10">
        <f ca="1"/>
        <v>45436</v>
      </c>
      <c r="F65" s="10">
        <f ca="1"/>
        <v>45437</v>
      </c>
      <c r="G65" s="11">
        <f ca="1"/>
        <v>45438</v>
      </c>
    </row>
    <row r="66" spans="1:7" x14ac:dyDescent="0.3">
      <c r="A66" s="6"/>
      <c r="B66" s="6"/>
      <c r="C66" s="6"/>
      <c r="D66" s="6"/>
      <c r="E66" s="6"/>
      <c r="F66" s="6"/>
      <c r="G66" s="7"/>
    </row>
    <row r="67" spans="1:7" ht="21" x14ac:dyDescent="0.3">
      <c r="A67" s="10">
        <f t="array" aca="1" ref="A67:G67" ca="1">Días+29+DATE(Calendario5Año,Calendario5MesOpción,1)-WEEKDAY(DATE(Calendario5Año,Calendario5MesOpción,1),DíaDeLaSemanaOpción)</f>
        <v>45439</v>
      </c>
      <c r="B67" s="10">
        <f ca="1"/>
        <v>45440</v>
      </c>
      <c r="C67" s="10">
        <f ca="1"/>
        <v>45441</v>
      </c>
      <c r="D67" s="10">
        <f ca="1"/>
        <v>45442</v>
      </c>
      <c r="E67" s="10">
        <f ca="1"/>
        <v>45443</v>
      </c>
      <c r="F67" s="10">
        <f ca="1"/>
        <v>45444</v>
      </c>
      <c r="G67" s="11">
        <f ca="1"/>
        <v>45445</v>
      </c>
    </row>
    <row r="68" spans="1:7" x14ac:dyDescent="0.3">
      <c r="A68" s="6"/>
      <c r="B68" s="6"/>
      <c r="C68" s="6"/>
      <c r="D68" s="6"/>
      <c r="E68" s="6"/>
      <c r="F68" s="6"/>
      <c r="G68" s="8"/>
    </row>
    <row r="69" spans="1:7" ht="21" x14ac:dyDescent="0.3">
      <c r="A69" s="10">
        <f t="array" aca="1" ref="A69:B69" ca="1">Días+36+DATE(Calendario5Año,Calendario5MesOpción,1)-WEEKDAY(DATE(Calendario5Año,Calendario5MesOpción,1),DíaDeLaSemanaOpción)</f>
        <v>45446</v>
      </c>
      <c r="B69" s="10">
        <f ca="1"/>
        <v>45447</v>
      </c>
      <c r="C69" s="61" t="s">
        <v>1</v>
      </c>
      <c r="D69" s="62"/>
      <c r="E69" s="62"/>
      <c r="F69" s="62"/>
      <c r="G69" s="62"/>
    </row>
    <row r="70" spans="1:7" x14ac:dyDescent="0.3">
      <c r="A70" s="6"/>
      <c r="B70" s="6"/>
      <c r="C70" s="63"/>
      <c r="D70" s="63"/>
      <c r="E70" s="63"/>
      <c r="F70" s="63"/>
      <c r="G70" s="63"/>
    </row>
    <row r="71" spans="1:7" ht="46.5" x14ac:dyDescent="0.7">
      <c r="A71" s="1">
        <f ca="1">YEAR(DATE(Calendario5Año,Calendario5MesOpción+1,1))</f>
        <v>2024</v>
      </c>
      <c r="B71" s="64" t="str">
        <f ca="1">TEXT(DATE(Calendario5Año,Calendario5MesOpción+1,1),"mmmm")</f>
        <v>junio</v>
      </c>
      <c r="C71" s="64"/>
      <c r="D71" s="64"/>
      <c r="E71" s="2"/>
      <c r="F71" s="2"/>
      <c r="G71" s="2"/>
    </row>
    <row r="72" spans="1:7" x14ac:dyDescent="0.3">
      <c r="A72" s="4" t="str">
        <f ca="1">UPPER(TEXT(A73,"dddd"))</f>
        <v>LUNES</v>
      </c>
      <c r="B72" s="5" t="str">
        <f t="shared" ref="B72:G72" ca="1" si="5">UPPER(TEXT(B73,"dddd"))</f>
        <v>MARTES</v>
      </c>
      <c r="C72" s="4" t="str">
        <f t="shared" ca="1" si="5"/>
        <v>MIÉRCOLES</v>
      </c>
      <c r="D72" s="5" t="str">
        <f t="shared" ca="1" si="5"/>
        <v>JUEVES</v>
      </c>
      <c r="E72" s="4" t="str">
        <f t="shared" ca="1" si="5"/>
        <v>VIERNES</v>
      </c>
      <c r="F72" s="5" t="str">
        <f t="shared" ca="1" si="5"/>
        <v>SÁBADO</v>
      </c>
      <c r="G72" s="4" t="str">
        <f t="shared" ca="1" si="5"/>
        <v>DOMINGO</v>
      </c>
    </row>
    <row r="73" spans="1:7" ht="21" x14ac:dyDescent="0.3">
      <c r="A73" s="10">
        <f t="array" aca="1" ref="A73:G73" ca="1">Días+1+DATE(Calendario6Año,Calendario6MesOpción,1)-WEEKDAY(DATE(Calendario6Año,Calendario6MesOpción,1),DíaDeLaSemanaOpción)</f>
        <v>45439</v>
      </c>
      <c r="B73" s="10">
        <f ca="1"/>
        <v>45440</v>
      </c>
      <c r="C73" s="10">
        <f ca="1"/>
        <v>45441</v>
      </c>
      <c r="D73" s="10">
        <f ca="1"/>
        <v>45442</v>
      </c>
      <c r="E73" s="10">
        <f ca="1"/>
        <v>45443</v>
      </c>
      <c r="F73" s="10">
        <f ca="1"/>
        <v>45444</v>
      </c>
      <c r="G73" s="11">
        <f ca="1"/>
        <v>45445</v>
      </c>
    </row>
    <row r="74" spans="1:7" x14ac:dyDescent="0.3">
      <c r="A74" s="6"/>
      <c r="B74" s="6"/>
      <c r="C74" s="6"/>
      <c r="D74" s="6"/>
      <c r="E74" s="6"/>
      <c r="F74" s="6"/>
      <c r="G74" s="7"/>
    </row>
    <row r="75" spans="1:7" ht="21" x14ac:dyDescent="0.3">
      <c r="A75" s="10">
        <f t="array" aca="1" ref="A75:G75" ca="1">Días+8+DATE(Calendario6Año,Calendario6MesOpción,1)-WEEKDAY(DATE(Calendario6Año,Calendario6MesOpción,1),DíaDeLaSemanaOpción)</f>
        <v>45446</v>
      </c>
      <c r="B75" s="10">
        <f ca="1"/>
        <v>45447</v>
      </c>
      <c r="C75" s="10">
        <f ca="1"/>
        <v>45448</v>
      </c>
      <c r="D75" s="10">
        <f ca="1"/>
        <v>45449</v>
      </c>
      <c r="E75" s="10">
        <f ca="1"/>
        <v>45450</v>
      </c>
      <c r="F75" s="10">
        <f ca="1"/>
        <v>45451</v>
      </c>
      <c r="G75" s="11">
        <f ca="1"/>
        <v>45452</v>
      </c>
    </row>
    <row r="76" spans="1:7" x14ac:dyDescent="0.3">
      <c r="A76" s="6"/>
      <c r="B76" s="6"/>
      <c r="C76" s="6"/>
      <c r="D76" s="6"/>
      <c r="E76" s="6"/>
      <c r="F76" s="6"/>
      <c r="G76" s="7"/>
    </row>
    <row r="77" spans="1:7" ht="21" x14ac:dyDescent="0.3">
      <c r="A77" s="10">
        <f t="array" aca="1" ref="A77:G77" ca="1">Días+15+DATE(Calendario6Año,Calendario6MesOpción,1)-WEEKDAY(DATE(Calendario6Año,Calendario6MesOpción,1),DíaDeLaSemanaOpción)</f>
        <v>45453</v>
      </c>
      <c r="B77" s="10">
        <f ca="1"/>
        <v>45454</v>
      </c>
      <c r="C77" s="10">
        <f ca="1"/>
        <v>45455</v>
      </c>
      <c r="D77" s="10">
        <f ca="1"/>
        <v>45456</v>
      </c>
      <c r="E77" s="10">
        <f ca="1"/>
        <v>45457</v>
      </c>
      <c r="F77" s="10">
        <f ca="1"/>
        <v>45458</v>
      </c>
      <c r="G77" s="11">
        <f ca="1"/>
        <v>45459</v>
      </c>
    </row>
    <row r="78" spans="1:7" x14ac:dyDescent="0.3">
      <c r="A78" s="6"/>
      <c r="B78" s="6"/>
      <c r="C78" s="6"/>
      <c r="D78" s="6"/>
      <c r="E78" s="6"/>
      <c r="F78" s="6"/>
      <c r="G78" s="7"/>
    </row>
    <row r="79" spans="1:7" ht="21" x14ac:dyDescent="0.3">
      <c r="A79" s="10">
        <f t="array" aca="1" ref="A79:G79" ca="1">Días+22+DATE(Calendario6Año,Calendario6MesOpción,1)-WEEKDAY(DATE(Calendario6Año,Calendario6MesOpción,1),DíaDeLaSemanaOpción)</f>
        <v>45460</v>
      </c>
      <c r="B79" s="10">
        <f ca="1"/>
        <v>45461</v>
      </c>
      <c r="C79" s="10">
        <f ca="1"/>
        <v>45462</v>
      </c>
      <c r="D79" s="10">
        <f ca="1"/>
        <v>45463</v>
      </c>
      <c r="E79" s="10">
        <f ca="1"/>
        <v>45464</v>
      </c>
      <c r="F79" s="10">
        <f ca="1"/>
        <v>45465</v>
      </c>
      <c r="G79" s="11">
        <f ca="1"/>
        <v>45466</v>
      </c>
    </row>
    <row r="80" spans="1:7" x14ac:dyDescent="0.3">
      <c r="A80" s="6"/>
      <c r="B80" s="6"/>
      <c r="C80" s="6"/>
      <c r="D80" s="6"/>
      <c r="E80" s="6"/>
      <c r="F80" s="6"/>
      <c r="G80" s="7"/>
    </row>
    <row r="81" spans="1:7" ht="21" x14ac:dyDescent="0.3">
      <c r="A81" s="10">
        <f t="array" aca="1" ref="A81:G81" ca="1">Días+29+DATE(Calendario6Año,Calendario6MesOpción,1)-WEEKDAY(DATE(Calendario6Año,Calendario6MesOpción,1),DíaDeLaSemanaOpción)</f>
        <v>45467</v>
      </c>
      <c r="B81" s="10">
        <f ca="1"/>
        <v>45468</v>
      </c>
      <c r="C81" s="10">
        <f ca="1"/>
        <v>45469</v>
      </c>
      <c r="D81" s="10">
        <f ca="1"/>
        <v>45470</v>
      </c>
      <c r="E81" s="10">
        <f ca="1"/>
        <v>45471</v>
      </c>
      <c r="F81" s="10">
        <f ca="1"/>
        <v>45472</v>
      </c>
      <c r="G81" s="11">
        <f ca="1"/>
        <v>45473</v>
      </c>
    </row>
    <row r="82" spans="1:7" x14ac:dyDescent="0.3">
      <c r="A82" s="6"/>
      <c r="B82" s="6"/>
      <c r="C82" s="6"/>
      <c r="D82" s="6"/>
      <c r="E82" s="6"/>
      <c r="F82" s="6"/>
      <c r="G82" s="8"/>
    </row>
    <row r="83" spans="1:7" ht="21" x14ac:dyDescent="0.3">
      <c r="A83" s="10">
        <f t="array" aca="1" ref="A83:B83" ca="1">Días+36+DATE(Calendario6Año,Calendario6MesOpción,1)-WEEKDAY(DATE(Calendario6Año,Calendario6MesOpción,1),DíaDeLaSemanaOpción)</f>
        <v>45474</v>
      </c>
      <c r="B83" s="10">
        <f ca="1"/>
        <v>45475</v>
      </c>
      <c r="C83" s="61" t="s">
        <v>1</v>
      </c>
      <c r="D83" s="62"/>
      <c r="E83" s="62"/>
      <c r="F83" s="62"/>
      <c r="G83" s="62"/>
    </row>
    <row r="84" spans="1:7" x14ac:dyDescent="0.3">
      <c r="A84" s="6"/>
      <c r="B84" s="6"/>
      <c r="C84" s="63"/>
      <c r="D84" s="63"/>
      <c r="E84" s="63"/>
      <c r="F84" s="63"/>
      <c r="G84" s="63"/>
    </row>
    <row r="85" spans="1:7" ht="46.5" x14ac:dyDescent="0.7">
      <c r="A85" s="1">
        <f ca="1">YEAR(DATE(Calendario6Año,Calendario6MesOpción+1,1))</f>
        <v>2024</v>
      </c>
      <c r="B85" s="64" t="str">
        <f ca="1">TEXT(DATE(Calendario6Año,Calendario6MesOpción+1,1),"mmmm")</f>
        <v>julio</v>
      </c>
      <c r="C85" s="64"/>
      <c r="D85" s="64"/>
      <c r="E85" s="2"/>
      <c r="F85" s="2"/>
      <c r="G85" s="2"/>
    </row>
    <row r="86" spans="1:7" x14ac:dyDescent="0.3">
      <c r="A86" s="4" t="str">
        <f ca="1">UPPER(TEXT(A87,"dddd"))</f>
        <v>LUNES</v>
      </c>
      <c r="B86" s="5" t="str">
        <f t="shared" ref="B86:G86" ca="1" si="6">UPPER(TEXT(B87,"dddd"))</f>
        <v>MARTES</v>
      </c>
      <c r="C86" s="4" t="str">
        <f t="shared" ca="1" si="6"/>
        <v>MIÉRCOLES</v>
      </c>
      <c r="D86" s="5" t="str">
        <f t="shared" ca="1" si="6"/>
        <v>JUEVES</v>
      </c>
      <c r="E86" s="4" t="str">
        <f t="shared" ca="1" si="6"/>
        <v>VIERNES</v>
      </c>
      <c r="F86" s="5" t="str">
        <f t="shared" ca="1" si="6"/>
        <v>SÁBADO</v>
      </c>
      <c r="G86" s="4" t="str">
        <f t="shared" ca="1" si="6"/>
        <v>DOMINGO</v>
      </c>
    </row>
    <row r="87" spans="1:7" ht="21" x14ac:dyDescent="0.3">
      <c r="A87" s="10">
        <f t="array" aca="1" ref="A87:G87" ca="1">Días+1+DATE(Calendario7Año,Calendario7MesOpción,1)-WEEKDAY(DATE(Calendario7Año,Calendario7MesOpción,1),DíaDeLaSemanaOpción)</f>
        <v>45474</v>
      </c>
      <c r="B87" s="10">
        <f ca="1"/>
        <v>45475</v>
      </c>
      <c r="C87" s="10">
        <f ca="1"/>
        <v>45476</v>
      </c>
      <c r="D87" s="10">
        <f ca="1"/>
        <v>45477</v>
      </c>
      <c r="E87" s="10">
        <f ca="1"/>
        <v>45478</v>
      </c>
      <c r="F87" s="10">
        <f ca="1"/>
        <v>45479</v>
      </c>
      <c r="G87" s="11">
        <f ca="1"/>
        <v>45480</v>
      </c>
    </row>
    <row r="88" spans="1:7" x14ac:dyDescent="0.3">
      <c r="A88" s="6"/>
      <c r="B88" s="6"/>
      <c r="C88" s="6"/>
      <c r="D88" s="6"/>
      <c r="E88" s="6"/>
      <c r="F88" s="6"/>
      <c r="G88" s="7"/>
    </row>
    <row r="89" spans="1:7" ht="21" x14ac:dyDescent="0.3">
      <c r="A89" s="10">
        <f t="array" aca="1" ref="A89:G89" ca="1">Días+8+DATE(Calendario7Año,Calendario7MesOpción,1)-WEEKDAY(DATE(Calendario7Año,Calendario7MesOpción,1),DíaDeLaSemanaOpción)</f>
        <v>45481</v>
      </c>
      <c r="B89" s="10">
        <f ca="1"/>
        <v>45482</v>
      </c>
      <c r="C89" s="10">
        <f ca="1"/>
        <v>45483</v>
      </c>
      <c r="D89" s="10">
        <f ca="1"/>
        <v>45484</v>
      </c>
      <c r="E89" s="10">
        <f ca="1"/>
        <v>45485</v>
      </c>
      <c r="F89" s="10">
        <f ca="1"/>
        <v>45486</v>
      </c>
      <c r="G89" s="11">
        <f ca="1"/>
        <v>45487</v>
      </c>
    </row>
    <row r="90" spans="1:7" x14ac:dyDescent="0.3">
      <c r="A90" s="6"/>
      <c r="B90" s="6"/>
      <c r="C90" s="6"/>
      <c r="D90" s="6"/>
      <c r="E90" s="6"/>
      <c r="F90" s="6"/>
      <c r="G90" s="7"/>
    </row>
    <row r="91" spans="1:7" ht="21" x14ac:dyDescent="0.3">
      <c r="A91" s="10">
        <f t="array" aca="1" ref="A91:G91" ca="1">Días+15+DATE(Calendario7Año,Calendario7MesOpción,1)-WEEKDAY(DATE(Calendario7Año,Calendario7MesOpción,1),DíaDeLaSemanaOpción)</f>
        <v>45488</v>
      </c>
      <c r="B91" s="10">
        <f ca="1"/>
        <v>45489</v>
      </c>
      <c r="C91" s="10">
        <f ca="1"/>
        <v>45490</v>
      </c>
      <c r="D91" s="10">
        <f ca="1"/>
        <v>45491</v>
      </c>
      <c r="E91" s="10">
        <f ca="1"/>
        <v>45492</v>
      </c>
      <c r="F91" s="10">
        <f ca="1"/>
        <v>45493</v>
      </c>
      <c r="G91" s="11">
        <f ca="1"/>
        <v>45494</v>
      </c>
    </row>
    <row r="92" spans="1:7" x14ac:dyDescent="0.3">
      <c r="A92" s="6"/>
      <c r="B92" s="6"/>
      <c r="C92" s="6"/>
      <c r="D92" s="6"/>
      <c r="E92" s="6"/>
      <c r="F92" s="6"/>
      <c r="G92" s="7"/>
    </row>
    <row r="93" spans="1:7" ht="21" x14ac:dyDescent="0.3">
      <c r="A93" s="10">
        <f t="array" aca="1" ref="A93:G93" ca="1">Días+22+DATE(Calendario7Año,Calendario7MesOpción,1)-WEEKDAY(DATE(Calendario7Año,Calendario7MesOpción,1),DíaDeLaSemanaOpción)</f>
        <v>45495</v>
      </c>
      <c r="B93" s="10">
        <f ca="1"/>
        <v>45496</v>
      </c>
      <c r="C93" s="10">
        <f ca="1"/>
        <v>45497</v>
      </c>
      <c r="D93" s="10">
        <f ca="1"/>
        <v>45498</v>
      </c>
      <c r="E93" s="10">
        <f ca="1"/>
        <v>45499</v>
      </c>
      <c r="F93" s="10">
        <f ca="1"/>
        <v>45500</v>
      </c>
      <c r="G93" s="11">
        <f ca="1"/>
        <v>45501</v>
      </c>
    </row>
    <row r="94" spans="1:7" x14ac:dyDescent="0.3">
      <c r="A94" s="6"/>
      <c r="B94" s="6"/>
      <c r="C94" s="6"/>
      <c r="D94" s="6"/>
      <c r="E94" s="6"/>
      <c r="F94" s="6"/>
      <c r="G94" s="7"/>
    </row>
    <row r="95" spans="1:7" ht="21" x14ac:dyDescent="0.3">
      <c r="A95" s="10">
        <f t="array" aca="1" ref="A95:G95" ca="1">Días+29+DATE(Calendario7Año,Calendario7MesOpción,1)-WEEKDAY(DATE(Calendario7Año,Calendario7MesOpción,1),DíaDeLaSemanaOpción)</f>
        <v>45502</v>
      </c>
      <c r="B95" s="10">
        <f ca="1"/>
        <v>45503</v>
      </c>
      <c r="C95" s="10">
        <f ca="1"/>
        <v>45504</v>
      </c>
      <c r="D95" s="10">
        <f ca="1"/>
        <v>45505</v>
      </c>
      <c r="E95" s="10">
        <f ca="1"/>
        <v>45506</v>
      </c>
      <c r="F95" s="10">
        <f ca="1"/>
        <v>45507</v>
      </c>
      <c r="G95" s="11">
        <f ca="1"/>
        <v>45508</v>
      </c>
    </row>
    <row r="96" spans="1:7" x14ac:dyDescent="0.3">
      <c r="A96" s="6"/>
      <c r="B96" s="6"/>
      <c r="C96" s="6"/>
      <c r="D96" s="6"/>
      <c r="E96" s="6"/>
      <c r="F96" s="6"/>
      <c r="G96" s="8"/>
    </row>
    <row r="97" spans="1:7" ht="21" x14ac:dyDescent="0.3">
      <c r="A97" s="10">
        <f t="array" aca="1" ref="A97:B97" ca="1">Días+36+DATE(Calendario7Año,Calendario7MesOpción,1)-WEEKDAY(DATE(Calendario7Año,Calendario7MesOpción,1),DíaDeLaSemanaOpción)</f>
        <v>45509</v>
      </c>
      <c r="B97" s="10">
        <f ca="1"/>
        <v>45510</v>
      </c>
      <c r="C97" s="61" t="s">
        <v>1</v>
      </c>
      <c r="D97" s="62"/>
      <c r="E97" s="62"/>
      <c r="F97" s="62"/>
      <c r="G97" s="62"/>
    </row>
    <row r="98" spans="1:7" x14ac:dyDescent="0.3">
      <c r="A98" s="6"/>
      <c r="B98" s="6"/>
      <c r="C98" s="63"/>
      <c r="D98" s="63"/>
      <c r="E98" s="63"/>
      <c r="F98" s="63"/>
      <c r="G98" s="63"/>
    </row>
    <row r="99" spans="1:7" ht="46.5" x14ac:dyDescent="0.7">
      <c r="A99" s="1">
        <f ca="1">YEAR(DATE(Calendario7Año,Calendario7MesOpción+1,1))</f>
        <v>2024</v>
      </c>
      <c r="B99" s="64" t="str">
        <f ca="1">TEXT(DATE(Calendario7Año,Calendario7MesOpción+1,1),"mmmm")</f>
        <v>agosto</v>
      </c>
      <c r="C99" s="64"/>
      <c r="D99" s="64"/>
      <c r="E99" s="2"/>
      <c r="F99" s="2"/>
      <c r="G99" s="2"/>
    </row>
    <row r="100" spans="1:7" x14ac:dyDescent="0.3">
      <c r="A100" s="4" t="str">
        <f ca="1">UPPER(TEXT(A101,"dddd"))</f>
        <v>LUNES</v>
      </c>
      <c r="B100" s="5" t="str">
        <f t="shared" ref="B100:G100" ca="1" si="7">UPPER(TEXT(B101,"dddd"))</f>
        <v>MARTES</v>
      </c>
      <c r="C100" s="4" t="str">
        <f t="shared" ca="1" si="7"/>
        <v>MIÉRCOLES</v>
      </c>
      <c r="D100" s="5" t="str">
        <f t="shared" ca="1" si="7"/>
        <v>JUEVES</v>
      </c>
      <c r="E100" s="4" t="str">
        <f t="shared" ca="1" si="7"/>
        <v>VIERNES</v>
      </c>
      <c r="F100" s="5" t="str">
        <f t="shared" ca="1" si="7"/>
        <v>SÁBADO</v>
      </c>
      <c r="G100" s="4" t="str">
        <f t="shared" ca="1" si="7"/>
        <v>DOMINGO</v>
      </c>
    </row>
    <row r="101" spans="1:7" ht="21" x14ac:dyDescent="0.3">
      <c r="A101" s="10">
        <f t="array" aca="1" ref="A101:G101" ca="1">Días+1+DATE(Calendario8Año,Calendario8MesOpción,1)-WEEKDAY(DATE(Calendario8Año,Calendario8MesOpción,1),DíaDeLaSemanaOpción)</f>
        <v>45502</v>
      </c>
      <c r="B101" s="10">
        <f ca="1"/>
        <v>45503</v>
      </c>
      <c r="C101" s="10">
        <f ca="1"/>
        <v>45504</v>
      </c>
      <c r="D101" s="10">
        <f ca="1"/>
        <v>45505</v>
      </c>
      <c r="E101" s="10">
        <f ca="1"/>
        <v>45506</v>
      </c>
      <c r="F101" s="10">
        <f ca="1"/>
        <v>45507</v>
      </c>
      <c r="G101" s="11">
        <f ca="1"/>
        <v>45508</v>
      </c>
    </row>
    <row r="102" spans="1:7" x14ac:dyDescent="0.3">
      <c r="A102" s="6"/>
      <c r="B102" s="6"/>
      <c r="C102" s="6"/>
      <c r="D102" s="6"/>
      <c r="E102" s="6"/>
      <c r="F102" s="6"/>
      <c r="G102" s="7"/>
    </row>
    <row r="103" spans="1:7" ht="21" x14ac:dyDescent="0.3">
      <c r="A103" s="10">
        <f t="array" aca="1" ref="A103:G103" ca="1">Días+8+DATE(Calendario8Año,Calendario8MesOpción,1)-WEEKDAY(DATE(Calendario8Año,Calendario8MesOpción,1),DíaDeLaSemanaOpción)</f>
        <v>45509</v>
      </c>
      <c r="B103" s="10">
        <f ca="1"/>
        <v>45510</v>
      </c>
      <c r="C103" s="10">
        <f ca="1"/>
        <v>45511</v>
      </c>
      <c r="D103" s="10">
        <f ca="1"/>
        <v>45512</v>
      </c>
      <c r="E103" s="10">
        <f ca="1"/>
        <v>45513</v>
      </c>
      <c r="F103" s="10">
        <f ca="1"/>
        <v>45514</v>
      </c>
      <c r="G103" s="11">
        <f ca="1"/>
        <v>45515</v>
      </c>
    </row>
    <row r="104" spans="1:7" x14ac:dyDescent="0.3">
      <c r="A104" s="6"/>
      <c r="B104" s="6"/>
      <c r="C104" s="6"/>
      <c r="D104" s="6"/>
      <c r="E104" s="6"/>
      <c r="F104" s="6"/>
      <c r="G104" s="7"/>
    </row>
    <row r="105" spans="1:7" ht="21" x14ac:dyDescent="0.3">
      <c r="A105" s="10">
        <f t="array" aca="1" ref="A105:G105" ca="1">Días+15+DATE(Calendario8Año,Calendario8MesOpción,1)-WEEKDAY(DATE(Calendario8Año,Calendario8MesOpción,1),DíaDeLaSemanaOpción)</f>
        <v>45516</v>
      </c>
      <c r="B105" s="10">
        <f ca="1"/>
        <v>45517</v>
      </c>
      <c r="C105" s="10">
        <f ca="1"/>
        <v>45518</v>
      </c>
      <c r="D105" s="10">
        <f ca="1"/>
        <v>45519</v>
      </c>
      <c r="E105" s="10">
        <f ca="1"/>
        <v>45520</v>
      </c>
      <c r="F105" s="10">
        <f ca="1"/>
        <v>45521</v>
      </c>
      <c r="G105" s="11">
        <f ca="1"/>
        <v>45522</v>
      </c>
    </row>
    <row r="106" spans="1:7" x14ac:dyDescent="0.3">
      <c r="A106" s="6"/>
      <c r="B106" s="6"/>
      <c r="C106" s="6"/>
      <c r="D106" s="6"/>
      <c r="E106" s="6"/>
      <c r="F106" s="6"/>
      <c r="G106" s="7"/>
    </row>
    <row r="107" spans="1:7" ht="21" x14ac:dyDescent="0.3">
      <c r="A107" s="10">
        <f t="array" aca="1" ref="A107:G107" ca="1">Días+22+DATE(Calendario8Año,Calendario8MesOpción,1)-WEEKDAY(DATE(Calendario8Año,Calendario8MesOpción,1),DíaDeLaSemanaOpción)</f>
        <v>45523</v>
      </c>
      <c r="B107" s="10">
        <f ca="1"/>
        <v>45524</v>
      </c>
      <c r="C107" s="10">
        <f ca="1"/>
        <v>45525</v>
      </c>
      <c r="D107" s="10">
        <f ca="1"/>
        <v>45526</v>
      </c>
      <c r="E107" s="10">
        <f ca="1"/>
        <v>45527</v>
      </c>
      <c r="F107" s="10">
        <f ca="1"/>
        <v>45528</v>
      </c>
      <c r="G107" s="11">
        <f ca="1"/>
        <v>45529</v>
      </c>
    </row>
    <row r="108" spans="1:7" x14ac:dyDescent="0.3">
      <c r="A108" s="6"/>
      <c r="B108" s="6"/>
      <c r="C108" s="6"/>
      <c r="D108" s="6"/>
      <c r="E108" s="6"/>
      <c r="F108" s="6"/>
      <c r="G108" s="7"/>
    </row>
    <row r="109" spans="1:7" ht="21" x14ac:dyDescent="0.3">
      <c r="A109" s="10">
        <f t="array" aca="1" ref="A109:G109" ca="1">Días+29+DATE(Calendario8Año,Calendario8MesOpción,1)-WEEKDAY(DATE(Calendario8Año,Calendario8MesOpción,1),DíaDeLaSemanaOpción)</f>
        <v>45530</v>
      </c>
      <c r="B109" s="10">
        <f ca="1"/>
        <v>45531</v>
      </c>
      <c r="C109" s="10">
        <f ca="1"/>
        <v>45532</v>
      </c>
      <c r="D109" s="10">
        <f ca="1"/>
        <v>45533</v>
      </c>
      <c r="E109" s="10">
        <f ca="1"/>
        <v>45534</v>
      </c>
      <c r="F109" s="10">
        <f ca="1"/>
        <v>45535</v>
      </c>
      <c r="G109" s="11">
        <f ca="1"/>
        <v>45536</v>
      </c>
    </row>
    <row r="110" spans="1:7" x14ac:dyDescent="0.3">
      <c r="A110" s="6"/>
      <c r="B110" s="6"/>
      <c r="C110" s="6"/>
      <c r="D110" s="6"/>
      <c r="E110" s="6"/>
      <c r="F110" s="6"/>
      <c r="G110" s="8"/>
    </row>
    <row r="111" spans="1:7" ht="21" x14ac:dyDescent="0.3">
      <c r="A111" s="10">
        <f t="array" aca="1" ref="A111:B111" ca="1">Días+36+DATE(Calendario8Año,Calendario8MesOpción,1)-WEEKDAY(DATE(Calendario8Año,Calendario8MesOpción,1),DíaDeLaSemanaOpción)</f>
        <v>45537</v>
      </c>
      <c r="B111" s="10">
        <f ca="1"/>
        <v>45538</v>
      </c>
      <c r="C111" s="61" t="s">
        <v>1</v>
      </c>
      <c r="D111" s="62"/>
      <c r="E111" s="62"/>
      <c r="F111" s="62"/>
      <c r="G111" s="62"/>
    </row>
    <row r="112" spans="1:7" x14ac:dyDescent="0.3">
      <c r="A112" s="6"/>
      <c r="B112" s="6"/>
      <c r="C112" s="63"/>
      <c r="D112" s="63"/>
      <c r="E112" s="63"/>
      <c r="F112" s="63"/>
      <c r="G112" s="63"/>
    </row>
    <row r="113" spans="1:7" ht="46.5" x14ac:dyDescent="0.7">
      <c r="A113" s="1">
        <f ca="1">YEAR(DATE(Calendario8Año,Calendario8MesOpción+1,1))</f>
        <v>2024</v>
      </c>
      <c r="B113" s="64" t="str">
        <f ca="1">TEXT(DATE(Calendario8Año,Calendario8MesOpción+1,1),"mmmm")</f>
        <v>septiembre</v>
      </c>
      <c r="C113" s="64"/>
      <c r="D113" s="64"/>
      <c r="E113" s="2"/>
      <c r="F113" s="2"/>
      <c r="G113" s="2"/>
    </row>
    <row r="114" spans="1:7" x14ac:dyDescent="0.3">
      <c r="A114" s="4" t="str">
        <f ca="1">UPPER(TEXT(A115,"dddd"))</f>
        <v>LUNES</v>
      </c>
      <c r="B114" s="5" t="str">
        <f t="shared" ref="B114:G114" ca="1" si="8">UPPER(TEXT(B115,"dddd"))</f>
        <v>MARTES</v>
      </c>
      <c r="C114" s="4" t="str">
        <f t="shared" ca="1" si="8"/>
        <v>MIÉRCOLES</v>
      </c>
      <c r="D114" s="5" t="str">
        <f t="shared" ca="1" si="8"/>
        <v>JUEVES</v>
      </c>
      <c r="E114" s="4" t="str">
        <f t="shared" ca="1" si="8"/>
        <v>VIERNES</v>
      </c>
      <c r="F114" s="5" t="str">
        <f t="shared" ca="1" si="8"/>
        <v>SÁBADO</v>
      </c>
      <c r="G114" s="4" t="str">
        <f t="shared" ca="1" si="8"/>
        <v>DOMINGO</v>
      </c>
    </row>
    <row r="115" spans="1:7" ht="21" x14ac:dyDescent="0.3">
      <c r="A115" s="10">
        <f t="array" aca="1" ref="A115:G115" ca="1">Días+1+DATE(Calendario9Año,Calendario9MesOpción,1)-WEEKDAY(DATE(Calendario9Año,Calendario9MesOpción,1),DíaDeLaSemanaOpción)</f>
        <v>45530</v>
      </c>
      <c r="B115" s="10">
        <f ca="1"/>
        <v>45531</v>
      </c>
      <c r="C115" s="10">
        <f ca="1"/>
        <v>45532</v>
      </c>
      <c r="D115" s="10">
        <f ca="1"/>
        <v>45533</v>
      </c>
      <c r="E115" s="10">
        <f ca="1"/>
        <v>45534</v>
      </c>
      <c r="F115" s="10">
        <f ca="1"/>
        <v>45535</v>
      </c>
      <c r="G115" s="11">
        <f ca="1"/>
        <v>45536</v>
      </c>
    </row>
    <row r="116" spans="1:7" x14ac:dyDescent="0.3">
      <c r="A116" s="6"/>
      <c r="B116" s="6"/>
      <c r="C116" s="6"/>
      <c r="D116" s="6"/>
      <c r="E116" s="6"/>
      <c r="F116" s="6"/>
      <c r="G116" s="7"/>
    </row>
    <row r="117" spans="1:7" ht="21" x14ac:dyDescent="0.3">
      <c r="A117" s="10">
        <f t="array" aca="1" ref="A117:G117" ca="1">Días+8+DATE(Calendario9Año,Calendario9MesOpción,1)-WEEKDAY(DATE(Calendario9Año,Calendario9MesOpción,1),DíaDeLaSemanaOpción)</f>
        <v>45537</v>
      </c>
      <c r="B117" s="10">
        <f ca="1"/>
        <v>45538</v>
      </c>
      <c r="C117" s="10">
        <f ca="1"/>
        <v>45539</v>
      </c>
      <c r="D117" s="10">
        <f ca="1"/>
        <v>45540</v>
      </c>
      <c r="E117" s="10">
        <f ca="1"/>
        <v>45541</v>
      </c>
      <c r="F117" s="10">
        <f ca="1"/>
        <v>45542</v>
      </c>
      <c r="G117" s="11">
        <f ca="1"/>
        <v>45543</v>
      </c>
    </row>
    <row r="118" spans="1:7" x14ac:dyDescent="0.3">
      <c r="A118" s="6"/>
      <c r="B118" s="6"/>
      <c r="C118" s="6"/>
      <c r="D118" s="6"/>
      <c r="E118" s="6"/>
      <c r="F118" s="6"/>
      <c r="G118" s="7"/>
    </row>
    <row r="119" spans="1:7" ht="21" x14ac:dyDescent="0.3">
      <c r="A119" s="10">
        <f t="array" aca="1" ref="A119:G119" ca="1">Días+15+DATE(Calendario9Año,Calendario9MesOpción,1)-WEEKDAY(DATE(Calendario9Año,Calendario9MesOpción,1),DíaDeLaSemanaOpción)</f>
        <v>45544</v>
      </c>
      <c r="B119" s="10">
        <f ca="1"/>
        <v>45545</v>
      </c>
      <c r="C119" s="10">
        <f ca="1"/>
        <v>45546</v>
      </c>
      <c r="D119" s="10">
        <f ca="1"/>
        <v>45547</v>
      </c>
      <c r="E119" s="10">
        <f ca="1"/>
        <v>45548</v>
      </c>
      <c r="F119" s="10">
        <f ca="1"/>
        <v>45549</v>
      </c>
      <c r="G119" s="11">
        <f ca="1"/>
        <v>45550</v>
      </c>
    </row>
    <row r="120" spans="1:7" x14ac:dyDescent="0.3">
      <c r="A120" s="6"/>
      <c r="B120" s="6"/>
      <c r="C120" s="6"/>
      <c r="D120" s="6"/>
      <c r="E120" s="6"/>
      <c r="F120" s="6"/>
      <c r="G120" s="7"/>
    </row>
    <row r="121" spans="1:7" ht="21" x14ac:dyDescent="0.3">
      <c r="A121" s="10">
        <f t="array" aca="1" ref="A121:G121" ca="1">Días+22+DATE(Calendario9Año,Calendario9MesOpción,1)-WEEKDAY(DATE(Calendario9Año,Calendario9MesOpción,1),DíaDeLaSemanaOpción)</f>
        <v>45551</v>
      </c>
      <c r="B121" s="10">
        <f ca="1"/>
        <v>45552</v>
      </c>
      <c r="C121" s="10">
        <f ca="1"/>
        <v>45553</v>
      </c>
      <c r="D121" s="10">
        <f ca="1"/>
        <v>45554</v>
      </c>
      <c r="E121" s="10">
        <f ca="1"/>
        <v>45555</v>
      </c>
      <c r="F121" s="10">
        <f ca="1"/>
        <v>45556</v>
      </c>
      <c r="G121" s="11">
        <f ca="1"/>
        <v>45557</v>
      </c>
    </row>
    <row r="122" spans="1:7" x14ac:dyDescent="0.3">
      <c r="A122" s="6"/>
      <c r="B122" s="6"/>
      <c r="C122" s="6"/>
      <c r="D122" s="6"/>
      <c r="E122" s="6"/>
      <c r="F122" s="6"/>
      <c r="G122" s="7"/>
    </row>
    <row r="123" spans="1:7" ht="21" x14ac:dyDescent="0.3">
      <c r="A123" s="10">
        <f t="array" aca="1" ref="A123:G123" ca="1">Días+29+DATE(Calendario9Año,Calendario9MesOpción,1)-WEEKDAY(DATE(Calendario9Año,Calendario9MesOpción,1),DíaDeLaSemanaOpción)</f>
        <v>45558</v>
      </c>
      <c r="B123" s="10">
        <f ca="1"/>
        <v>45559</v>
      </c>
      <c r="C123" s="10">
        <f ca="1"/>
        <v>45560</v>
      </c>
      <c r="D123" s="10">
        <f ca="1"/>
        <v>45561</v>
      </c>
      <c r="E123" s="10">
        <f ca="1"/>
        <v>45562</v>
      </c>
      <c r="F123" s="10">
        <f ca="1"/>
        <v>45563</v>
      </c>
      <c r="G123" s="11">
        <f ca="1"/>
        <v>45564</v>
      </c>
    </row>
    <row r="124" spans="1:7" x14ac:dyDescent="0.3">
      <c r="A124" s="6"/>
      <c r="B124" s="6"/>
      <c r="C124" s="6"/>
      <c r="D124" s="6"/>
      <c r="E124" s="6"/>
      <c r="F124" s="6"/>
      <c r="G124" s="8"/>
    </row>
    <row r="125" spans="1:7" ht="21" x14ac:dyDescent="0.3">
      <c r="A125" s="10">
        <f t="array" aca="1" ref="A125:B125" ca="1">Días+36+DATE(Calendario9Año,Calendario9MesOpción,1)-WEEKDAY(DATE(Calendario9Año,Calendario9MesOpción,1),DíaDeLaSemanaOpción)</f>
        <v>45565</v>
      </c>
      <c r="B125" s="10">
        <f ca="1"/>
        <v>45566</v>
      </c>
      <c r="C125" s="61" t="s">
        <v>1</v>
      </c>
      <c r="D125" s="62"/>
      <c r="E125" s="62"/>
      <c r="F125" s="62"/>
      <c r="G125" s="62"/>
    </row>
    <row r="126" spans="1:7" x14ac:dyDescent="0.3">
      <c r="A126" s="6"/>
      <c r="B126" s="6"/>
      <c r="C126" s="63"/>
      <c r="D126" s="63"/>
      <c r="E126" s="63"/>
      <c r="F126" s="63"/>
      <c r="G126" s="63"/>
    </row>
    <row r="127" spans="1:7" ht="46.5" x14ac:dyDescent="0.7">
      <c r="A127" s="12">
        <f ca="1">YEAR(DATE(Calendario9Año,Calendario9MesOpción+1,1))</f>
        <v>2024</v>
      </c>
      <c r="B127" s="64" t="str">
        <f ca="1">TEXT(DATE(Calendario9Año,Calendario9MesOpción+1,1),"mmmm")</f>
        <v>octubre</v>
      </c>
      <c r="C127" s="64"/>
      <c r="D127" s="64"/>
      <c r="E127" s="2"/>
      <c r="F127" s="2"/>
      <c r="G127" s="2"/>
    </row>
    <row r="128" spans="1:7" x14ac:dyDescent="0.3">
      <c r="A128" s="4" t="str">
        <f ca="1">UPPER(TEXT(A129,"dddd"))</f>
        <v>LUNES</v>
      </c>
      <c r="B128" s="5" t="str">
        <f t="shared" ref="B128:G128" ca="1" si="9">UPPER(TEXT(B129,"dddd"))</f>
        <v>MARTES</v>
      </c>
      <c r="C128" s="4" t="str">
        <f t="shared" ca="1" si="9"/>
        <v>MIÉRCOLES</v>
      </c>
      <c r="D128" s="5" t="str">
        <f t="shared" ca="1" si="9"/>
        <v>JUEVES</v>
      </c>
      <c r="E128" s="4" t="str">
        <f t="shared" ca="1" si="9"/>
        <v>VIERNES</v>
      </c>
      <c r="F128" s="5" t="str">
        <f t="shared" ca="1" si="9"/>
        <v>SÁBADO</v>
      </c>
      <c r="G128" s="4" t="str">
        <f t="shared" ca="1" si="9"/>
        <v>DOMINGO</v>
      </c>
    </row>
    <row r="129" spans="1:7" ht="21" x14ac:dyDescent="0.3">
      <c r="A129" s="10">
        <f t="array" aca="1" ref="A129:G129" ca="1">Días+1+DATE(Calendario10Año,Calendario10MesOpción,1)-WEEKDAY(DATE(Calendario10Año,Calendario10MesOpción,1),DíaDeLaSemanaOpción)</f>
        <v>45565</v>
      </c>
      <c r="B129" s="10">
        <f ca="1"/>
        <v>45566</v>
      </c>
      <c r="C129" s="10">
        <f ca="1"/>
        <v>45567</v>
      </c>
      <c r="D129" s="10">
        <f ca="1"/>
        <v>45568</v>
      </c>
      <c r="E129" s="10">
        <f ca="1"/>
        <v>45569</v>
      </c>
      <c r="F129" s="10">
        <f ca="1"/>
        <v>45570</v>
      </c>
      <c r="G129" s="11">
        <f ca="1"/>
        <v>45571</v>
      </c>
    </row>
    <row r="130" spans="1:7" x14ac:dyDescent="0.3">
      <c r="A130" s="6"/>
      <c r="B130" s="6"/>
      <c r="C130" s="6"/>
      <c r="D130" s="6"/>
      <c r="E130" s="6"/>
      <c r="F130" s="6"/>
      <c r="G130" s="7"/>
    </row>
    <row r="131" spans="1:7" ht="21" x14ac:dyDescent="0.3">
      <c r="A131" s="10">
        <f t="array" aca="1" ref="A131:G131" ca="1">Días+8+DATE(Calendario10Año,Calendario10MesOpción,1)-WEEKDAY(DATE(Calendario10Año,Calendario10MesOpción,1),DíaDeLaSemanaOpción)</f>
        <v>45572</v>
      </c>
      <c r="B131" s="10">
        <f ca="1"/>
        <v>45573</v>
      </c>
      <c r="C131" s="10">
        <f ca="1"/>
        <v>45574</v>
      </c>
      <c r="D131" s="10">
        <f ca="1"/>
        <v>45575</v>
      </c>
      <c r="E131" s="10">
        <f ca="1"/>
        <v>45576</v>
      </c>
      <c r="F131" s="10">
        <f ca="1"/>
        <v>45577</v>
      </c>
      <c r="G131" s="11">
        <f ca="1"/>
        <v>45578</v>
      </c>
    </row>
    <row r="132" spans="1:7" x14ac:dyDescent="0.3">
      <c r="A132" s="6"/>
      <c r="B132" s="6"/>
      <c r="C132" s="6"/>
      <c r="D132" s="6"/>
      <c r="E132" s="6"/>
      <c r="F132" s="6"/>
      <c r="G132" s="7"/>
    </row>
    <row r="133" spans="1:7" ht="21" x14ac:dyDescent="0.3">
      <c r="A133" s="10">
        <f t="array" aca="1" ref="A133:G133" ca="1">Días+15+DATE(Calendario10Año,Calendario10MesOpción,1)-WEEKDAY(DATE(Calendario10Año,Calendario10MesOpción,1),DíaDeLaSemanaOpción)</f>
        <v>45579</v>
      </c>
      <c r="B133" s="10">
        <f ca="1"/>
        <v>45580</v>
      </c>
      <c r="C133" s="10">
        <f ca="1"/>
        <v>45581</v>
      </c>
      <c r="D133" s="10">
        <f ca="1"/>
        <v>45582</v>
      </c>
      <c r="E133" s="10">
        <f ca="1"/>
        <v>45583</v>
      </c>
      <c r="F133" s="10">
        <f ca="1"/>
        <v>45584</v>
      </c>
      <c r="G133" s="11">
        <f ca="1"/>
        <v>45585</v>
      </c>
    </row>
    <row r="134" spans="1:7" x14ac:dyDescent="0.3">
      <c r="A134" s="6"/>
      <c r="B134" s="6"/>
      <c r="C134" s="6"/>
      <c r="D134" s="6"/>
      <c r="E134" s="6"/>
      <c r="F134" s="6"/>
      <c r="G134" s="7"/>
    </row>
    <row r="135" spans="1:7" ht="21" x14ac:dyDescent="0.3">
      <c r="A135" s="10">
        <f t="array" aca="1" ref="A135:G135" ca="1">Días+22+DATE(Calendario10Año,Calendario10MesOpción,1)-WEEKDAY(DATE(Calendario10Año,Calendario10MesOpción,1),DíaDeLaSemanaOpción)</f>
        <v>45586</v>
      </c>
      <c r="B135" s="10">
        <f ca="1"/>
        <v>45587</v>
      </c>
      <c r="C135" s="10">
        <f ca="1"/>
        <v>45588</v>
      </c>
      <c r="D135" s="10">
        <f ca="1"/>
        <v>45589</v>
      </c>
      <c r="E135" s="10">
        <f ca="1"/>
        <v>45590</v>
      </c>
      <c r="F135" s="10">
        <f ca="1"/>
        <v>45591</v>
      </c>
      <c r="G135" s="11">
        <f ca="1"/>
        <v>45592</v>
      </c>
    </row>
    <row r="136" spans="1:7" x14ac:dyDescent="0.3">
      <c r="A136" s="6"/>
      <c r="B136" s="6"/>
      <c r="C136" s="6"/>
      <c r="D136" s="6"/>
      <c r="E136" s="6"/>
      <c r="F136" s="6"/>
      <c r="G136" s="7"/>
    </row>
    <row r="137" spans="1:7" ht="21" x14ac:dyDescent="0.3">
      <c r="A137" s="10">
        <f t="array" aca="1" ref="A137:G137" ca="1">Días+29+DATE(Calendario10Año,Calendario10MesOpción,1)-WEEKDAY(DATE(Calendario10Año,Calendario10MesOpción,1),DíaDeLaSemanaOpción)</f>
        <v>45593</v>
      </c>
      <c r="B137" s="10">
        <f ca="1"/>
        <v>45594</v>
      </c>
      <c r="C137" s="10">
        <f ca="1"/>
        <v>45595</v>
      </c>
      <c r="D137" s="10">
        <f ca="1"/>
        <v>45596</v>
      </c>
      <c r="E137" s="10">
        <f ca="1"/>
        <v>45597</v>
      </c>
      <c r="F137" s="10">
        <f ca="1"/>
        <v>45598</v>
      </c>
      <c r="G137" s="11">
        <f ca="1"/>
        <v>45599</v>
      </c>
    </row>
    <row r="138" spans="1:7" x14ac:dyDescent="0.3">
      <c r="A138" s="6"/>
      <c r="B138" s="6"/>
      <c r="C138" s="6"/>
      <c r="D138" s="6"/>
      <c r="E138" s="6"/>
      <c r="F138" s="6"/>
      <c r="G138" s="8"/>
    </row>
    <row r="139" spans="1:7" ht="21" x14ac:dyDescent="0.3">
      <c r="A139" s="10">
        <f t="array" aca="1" ref="A139:B139" ca="1">Días+36+DATE(Calendario10Año,Calendario10MesOpción,1)-WEEKDAY(DATE(Calendario10Año,Calendario10MesOpción,1),DíaDeLaSemanaOpción)</f>
        <v>45600</v>
      </c>
      <c r="B139" s="10">
        <f ca="1"/>
        <v>45601</v>
      </c>
      <c r="C139" s="61" t="s">
        <v>1</v>
      </c>
      <c r="D139" s="62"/>
      <c r="E139" s="62"/>
      <c r="F139" s="62"/>
      <c r="G139" s="62"/>
    </row>
    <row r="140" spans="1:7" x14ac:dyDescent="0.3">
      <c r="A140" s="6"/>
      <c r="B140" s="6"/>
      <c r="C140" s="63"/>
      <c r="D140" s="63"/>
      <c r="E140" s="63"/>
      <c r="F140" s="63"/>
      <c r="G140" s="63"/>
    </row>
    <row r="141" spans="1:7" ht="46.5" x14ac:dyDescent="0.7">
      <c r="A141" s="1">
        <f ca="1">YEAR(DATE(Calendario10Año,Calendario10MesOpción+1,1))</f>
        <v>2024</v>
      </c>
      <c r="B141" s="64" t="str">
        <f ca="1">TEXT(DATE(Calendario10Año,Calendario10MesOpción+1,1),"mmmm")</f>
        <v>noviembre</v>
      </c>
      <c r="C141" s="64"/>
      <c r="D141" s="64"/>
      <c r="E141" s="2"/>
      <c r="F141" s="2"/>
      <c r="G141" s="2"/>
    </row>
    <row r="142" spans="1:7" x14ac:dyDescent="0.3">
      <c r="A142" s="4" t="str">
        <f ca="1">UPPER(TEXT(A143,"dddd"))</f>
        <v>LUNES</v>
      </c>
      <c r="B142" s="5" t="str">
        <f t="shared" ref="B142:G142" ca="1" si="10">UPPER(TEXT(B143,"dddd"))</f>
        <v>MARTES</v>
      </c>
      <c r="C142" s="4" t="str">
        <f t="shared" ca="1" si="10"/>
        <v>MIÉRCOLES</v>
      </c>
      <c r="D142" s="5" t="str">
        <f t="shared" ca="1" si="10"/>
        <v>JUEVES</v>
      </c>
      <c r="E142" s="4" t="str">
        <f t="shared" ca="1" si="10"/>
        <v>VIERNES</v>
      </c>
      <c r="F142" s="5" t="str">
        <f t="shared" ca="1" si="10"/>
        <v>SÁBADO</v>
      </c>
      <c r="G142" s="4" t="str">
        <f t="shared" ca="1" si="10"/>
        <v>DOMINGO</v>
      </c>
    </row>
    <row r="143" spans="1:7" ht="21" x14ac:dyDescent="0.3">
      <c r="A143" s="10">
        <f t="array" aca="1" ref="A143:G143" ca="1">Días+1+DATE(Calendario11Año,Calendario11MesOpción,1)-WEEKDAY(DATE(Calendario11Año,Calendario11MesOpción,1),DíaDeLaSemanaOpción)</f>
        <v>45593</v>
      </c>
      <c r="B143" s="10">
        <f ca="1"/>
        <v>45594</v>
      </c>
      <c r="C143" s="10">
        <f ca="1"/>
        <v>45595</v>
      </c>
      <c r="D143" s="10">
        <f ca="1"/>
        <v>45596</v>
      </c>
      <c r="E143" s="10">
        <f ca="1"/>
        <v>45597</v>
      </c>
      <c r="F143" s="10">
        <f ca="1"/>
        <v>45598</v>
      </c>
      <c r="G143" s="11">
        <f ca="1"/>
        <v>45599</v>
      </c>
    </row>
    <row r="144" spans="1:7" x14ac:dyDescent="0.3">
      <c r="A144" s="6"/>
      <c r="B144" s="6"/>
      <c r="C144" s="6"/>
      <c r="D144" s="6"/>
      <c r="E144" s="6"/>
      <c r="F144" s="6"/>
      <c r="G144" s="7"/>
    </row>
    <row r="145" spans="1:7" ht="21" x14ac:dyDescent="0.3">
      <c r="A145" s="10">
        <f t="array" aca="1" ref="A145:G145" ca="1">Días+8+DATE(Calendario11Año,Calendario11MesOpción,1)-WEEKDAY(DATE(Calendario11Año,Calendario11MesOpción,1),DíaDeLaSemanaOpción)</f>
        <v>45600</v>
      </c>
      <c r="B145" s="10">
        <f ca="1"/>
        <v>45601</v>
      </c>
      <c r="C145" s="10">
        <f ca="1"/>
        <v>45602</v>
      </c>
      <c r="D145" s="10">
        <f ca="1"/>
        <v>45603</v>
      </c>
      <c r="E145" s="10">
        <f ca="1"/>
        <v>45604</v>
      </c>
      <c r="F145" s="10">
        <f ca="1"/>
        <v>45605</v>
      </c>
      <c r="G145" s="11">
        <f ca="1"/>
        <v>45606</v>
      </c>
    </row>
    <row r="146" spans="1:7" x14ac:dyDescent="0.3">
      <c r="A146" s="6"/>
      <c r="B146" s="6"/>
      <c r="C146" s="6"/>
      <c r="D146" s="6"/>
      <c r="E146" s="6"/>
      <c r="F146" s="6"/>
      <c r="G146" s="7"/>
    </row>
    <row r="147" spans="1:7" ht="21" x14ac:dyDescent="0.3">
      <c r="A147" s="10">
        <f t="array" aca="1" ref="A147:G147" ca="1">Días+15+DATE(Calendario11Año,Calendario11MesOpción,1)-WEEKDAY(DATE(Calendario11Año,Calendario11MesOpción,1),DíaDeLaSemanaOpción)</f>
        <v>45607</v>
      </c>
      <c r="B147" s="10">
        <f ca="1"/>
        <v>45608</v>
      </c>
      <c r="C147" s="10">
        <f ca="1"/>
        <v>45609</v>
      </c>
      <c r="D147" s="10">
        <f ca="1"/>
        <v>45610</v>
      </c>
      <c r="E147" s="10">
        <f ca="1"/>
        <v>45611</v>
      </c>
      <c r="F147" s="10">
        <f ca="1"/>
        <v>45612</v>
      </c>
      <c r="G147" s="11">
        <f ca="1"/>
        <v>45613</v>
      </c>
    </row>
    <row r="148" spans="1:7" x14ac:dyDescent="0.3">
      <c r="A148" s="6"/>
      <c r="B148" s="6"/>
      <c r="C148" s="6"/>
      <c r="D148" s="6"/>
      <c r="E148" s="6"/>
      <c r="F148" s="6"/>
      <c r="G148" s="7"/>
    </row>
    <row r="149" spans="1:7" ht="21" x14ac:dyDescent="0.3">
      <c r="A149" s="10">
        <f t="array" aca="1" ref="A149:G149" ca="1">Días+22+DATE(Calendario11Año,Calendario11MesOpción,1)-WEEKDAY(DATE(Calendario11Año,Calendario11MesOpción,1),DíaDeLaSemanaOpción)</f>
        <v>45614</v>
      </c>
      <c r="B149" s="10">
        <f ca="1"/>
        <v>45615</v>
      </c>
      <c r="C149" s="10">
        <f ca="1"/>
        <v>45616</v>
      </c>
      <c r="D149" s="10">
        <f ca="1"/>
        <v>45617</v>
      </c>
      <c r="E149" s="10">
        <f ca="1"/>
        <v>45618</v>
      </c>
      <c r="F149" s="10">
        <f ca="1"/>
        <v>45619</v>
      </c>
      <c r="G149" s="11">
        <f ca="1"/>
        <v>45620</v>
      </c>
    </row>
    <row r="150" spans="1:7" x14ac:dyDescent="0.3">
      <c r="A150" s="6"/>
      <c r="B150" s="6"/>
      <c r="C150" s="6"/>
      <c r="D150" s="6"/>
      <c r="E150" s="6"/>
      <c r="F150" s="6"/>
      <c r="G150" s="7"/>
    </row>
    <row r="151" spans="1:7" ht="21" x14ac:dyDescent="0.3">
      <c r="A151" s="10">
        <f t="array" aca="1" ref="A151:G151" ca="1">Días+29+DATE(Calendario11Año,Calendario11MesOpción,1)-WEEKDAY(DATE(Calendario11Año,Calendario11MesOpción,1),DíaDeLaSemanaOpción)</f>
        <v>45621</v>
      </c>
      <c r="B151" s="10">
        <f ca="1"/>
        <v>45622</v>
      </c>
      <c r="C151" s="10">
        <f ca="1"/>
        <v>45623</v>
      </c>
      <c r="D151" s="10">
        <f ca="1"/>
        <v>45624</v>
      </c>
      <c r="E151" s="10">
        <f ca="1"/>
        <v>45625</v>
      </c>
      <c r="F151" s="10">
        <f ca="1"/>
        <v>45626</v>
      </c>
      <c r="G151" s="11">
        <f ca="1"/>
        <v>45627</v>
      </c>
    </row>
    <row r="152" spans="1:7" x14ac:dyDescent="0.3">
      <c r="A152" s="6"/>
      <c r="B152" s="6"/>
      <c r="C152" s="6"/>
      <c r="D152" s="6"/>
      <c r="E152" s="6"/>
      <c r="F152" s="6"/>
      <c r="G152" s="8"/>
    </row>
    <row r="153" spans="1:7" ht="21" x14ac:dyDescent="0.3">
      <c r="A153" s="10">
        <f t="array" aca="1" ref="A153:B153" ca="1">Días+36+DATE(Calendario11Año,Calendario11MesOpción,1)-WEEKDAY(DATE(Calendario11Año,Calendario11MesOpción,1),DíaDeLaSemanaOpción)</f>
        <v>45628</v>
      </c>
      <c r="B153" s="10">
        <f ca="1"/>
        <v>45629</v>
      </c>
      <c r="C153" s="61" t="s">
        <v>1</v>
      </c>
      <c r="D153" s="62"/>
      <c r="E153" s="62"/>
      <c r="F153" s="62"/>
      <c r="G153" s="62"/>
    </row>
    <row r="154" spans="1:7" x14ac:dyDescent="0.3">
      <c r="A154" s="6"/>
      <c r="B154" s="6"/>
      <c r="C154" s="63"/>
      <c r="D154" s="63"/>
      <c r="E154" s="63"/>
      <c r="F154" s="63"/>
      <c r="G154" s="63"/>
    </row>
    <row r="155" spans="1:7" ht="46.5" x14ac:dyDescent="0.7">
      <c r="A155" s="1">
        <f ca="1">YEAR(DATE(Calendario11Año,Calendario11MesOpción+1,1))</f>
        <v>2024</v>
      </c>
      <c r="B155" s="64" t="str">
        <f ca="1">TEXT(DATE(Calendario11Año,Calendario11MesOpción+1,1),"mmmm")</f>
        <v>diciembre</v>
      </c>
      <c r="C155" s="64"/>
      <c r="D155" s="64"/>
      <c r="E155" s="2"/>
      <c r="F155" s="2"/>
      <c r="G155" s="2"/>
    </row>
    <row r="156" spans="1:7" x14ac:dyDescent="0.3">
      <c r="A156" s="4" t="str">
        <f ca="1">UPPER(TEXT(A157,"dddd"))</f>
        <v>LUNES</v>
      </c>
      <c r="B156" s="5" t="str">
        <f t="shared" ref="B156:G156" ca="1" si="11">UPPER(TEXT(B157,"dddd"))</f>
        <v>MARTES</v>
      </c>
      <c r="C156" s="4" t="str">
        <f t="shared" ca="1" si="11"/>
        <v>MIÉRCOLES</v>
      </c>
      <c r="D156" s="5" t="str">
        <f t="shared" ca="1" si="11"/>
        <v>JUEVES</v>
      </c>
      <c r="E156" s="4" t="str">
        <f t="shared" ca="1" si="11"/>
        <v>VIERNES</v>
      </c>
      <c r="F156" s="5" t="str">
        <f t="shared" ca="1" si="11"/>
        <v>SÁBADO</v>
      </c>
      <c r="G156" s="4" t="str">
        <f t="shared" ca="1" si="11"/>
        <v>DOMINGO</v>
      </c>
    </row>
    <row r="157" spans="1:7" ht="21" x14ac:dyDescent="0.3">
      <c r="A157" s="10">
        <f t="array" aca="1" ref="A157:G157" ca="1">Días+1+DATE(Calendario12Año,Calendario12MesOpción,1)-WEEKDAY(DATE(Calendario12Año,Calendario12MesOpción,1),DíaDeLaSemanaOpción)</f>
        <v>45621</v>
      </c>
      <c r="B157" s="10">
        <f ca="1"/>
        <v>45622</v>
      </c>
      <c r="C157" s="10">
        <f ca="1"/>
        <v>45623</v>
      </c>
      <c r="D157" s="10">
        <f ca="1"/>
        <v>45624</v>
      </c>
      <c r="E157" s="10">
        <f ca="1"/>
        <v>45625</v>
      </c>
      <c r="F157" s="10">
        <f ca="1"/>
        <v>45626</v>
      </c>
      <c r="G157" s="11">
        <f ca="1"/>
        <v>45627</v>
      </c>
    </row>
    <row r="158" spans="1:7" x14ac:dyDescent="0.3">
      <c r="A158" s="6"/>
      <c r="B158" s="6"/>
      <c r="C158" s="6"/>
      <c r="D158" s="6"/>
      <c r="E158" s="6"/>
      <c r="F158" s="6"/>
      <c r="G158" s="7"/>
    </row>
    <row r="159" spans="1:7" ht="21" x14ac:dyDescent="0.3">
      <c r="A159" s="10">
        <f t="array" aca="1" ref="A159:G159" ca="1">Días+8+DATE(Calendario12Año,Calendario12MesOpción,1)-WEEKDAY(DATE(Calendario12Año,Calendario12MesOpción,1),DíaDeLaSemanaOpción)</f>
        <v>45628</v>
      </c>
      <c r="B159" s="10">
        <f ca="1"/>
        <v>45629</v>
      </c>
      <c r="C159" s="10">
        <f ca="1"/>
        <v>45630</v>
      </c>
      <c r="D159" s="10">
        <f ca="1"/>
        <v>45631</v>
      </c>
      <c r="E159" s="10">
        <f ca="1"/>
        <v>45632</v>
      </c>
      <c r="F159" s="10">
        <f ca="1"/>
        <v>45633</v>
      </c>
      <c r="G159" s="11">
        <f ca="1"/>
        <v>45634</v>
      </c>
    </row>
    <row r="160" spans="1:7" x14ac:dyDescent="0.3">
      <c r="A160" s="6"/>
      <c r="B160" s="6"/>
      <c r="C160" s="6"/>
      <c r="D160" s="6"/>
      <c r="E160" s="6"/>
      <c r="F160" s="6"/>
      <c r="G160" s="7"/>
    </row>
    <row r="161" spans="1:7" ht="21" x14ac:dyDescent="0.3">
      <c r="A161" s="10">
        <f t="array" aca="1" ref="A161:G161" ca="1">Días+15+DATE(Calendario12Año,Calendario12MesOpción,1)-WEEKDAY(DATE(Calendario12Año,Calendario12MesOpción,1),DíaDeLaSemanaOpción)</f>
        <v>45635</v>
      </c>
      <c r="B161" s="10">
        <f ca="1"/>
        <v>45636</v>
      </c>
      <c r="C161" s="10">
        <f ca="1"/>
        <v>45637</v>
      </c>
      <c r="D161" s="10">
        <f ca="1"/>
        <v>45638</v>
      </c>
      <c r="E161" s="10">
        <f ca="1"/>
        <v>45639</v>
      </c>
      <c r="F161" s="10">
        <f ca="1"/>
        <v>45640</v>
      </c>
      <c r="G161" s="11">
        <f ca="1"/>
        <v>45641</v>
      </c>
    </row>
    <row r="162" spans="1:7" x14ac:dyDescent="0.3">
      <c r="A162" s="6"/>
      <c r="B162" s="6"/>
      <c r="C162" s="6"/>
      <c r="D162" s="6"/>
      <c r="E162" s="6"/>
      <c r="F162" s="6"/>
      <c r="G162" s="7"/>
    </row>
    <row r="163" spans="1:7" ht="21" x14ac:dyDescent="0.3">
      <c r="A163" s="10">
        <f t="array" aca="1" ref="A163:G163" ca="1">Días+22+DATE(Calendario12Año,Calendario12MesOpción,1)-WEEKDAY(DATE(Calendario12Año,Calendario12MesOpción,1),DíaDeLaSemanaOpción)</f>
        <v>45642</v>
      </c>
      <c r="B163" s="10">
        <f ca="1"/>
        <v>45643</v>
      </c>
      <c r="C163" s="10">
        <f ca="1"/>
        <v>45644</v>
      </c>
      <c r="D163" s="10">
        <f ca="1"/>
        <v>45645</v>
      </c>
      <c r="E163" s="10">
        <f ca="1"/>
        <v>45646</v>
      </c>
      <c r="F163" s="10">
        <f ca="1"/>
        <v>45647</v>
      </c>
      <c r="G163" s="11">
        <f ca="1"/>
        <v>45648</v>
      </c>
    </row>
    <row r="164" spans="1:7" x14ac:dyDescent="0.3">
      <c r="A164" s="6"/>
      <c r="B164" s="6"/>
      <c r="C164" s="6"/>
      <c r="D164" s="6"/>
      <c r="E164" s="6"/>
      <c r="F164" s="6"/>
      <c r="G164" s="7"/>
    </row>
    <row r="165" spans="1:7" ht="21" x14ac:dyDescent="0.3">
      <c r="A165" s="10">
        <f t="array" aca="1" ref="A165:G165" ca="1">Días+29+DATE(Calendario12Año,Calendario12MesOpción,1)-WEEKDAY(DATE(Calendario12Año,Calendario12MesOpción,1),DíaDeLaSemanaOpción)</f>
        <v>45649</v>
      </c>
      <c r="B165" s="10">
        <f ca="1"/>
        <v>45650</v>
      </c>
      <c r="C165" s="10">
        <f ca="1"/>
        <v>45651</v>
      </c>
      <c r="D165" s="10">
        <f ca="1"/>
        <v>45652</v>
      </c>
      <c r="E165" s="10">
        <f ca="1"/>
        <v>45653</v>
      </c>
      <c r="F165" s="10">
        <f ca="1"/>
        <v>45654</v>
      </c>
      <c r="G165" s="11">
        <f ca="1"/>
        <v>45655</v>
      </c>
    </row>
    <row r="166" spans="1:7" x14ac:dyDescent="0.3">
      <c r="A166" s="6"/>
      <c r="B166" s="6"/>
      <c r="C166" s="6"/>
      <c r="D166" s="6"/>
      <c r="E166" s="6"/>
      <c r="F166" s="6"/>
      <c r="G166" s="8"/>
    </row>
    <row r="167" spans="1:7" ht="21" x14ac:dyDescent="0.3">
      <c r="A167" s="10">
        <f t="array" aca="1" ref="A167:B167" ca="1">Días+36+DATE(Calendario12Año,Calendario12MesOpción,1)-WEEKDAY(DATE(Calendario12Año,Calendario12MesOpción,1),DíaDeLaSemanaOpción)</f>
        <v>45656</v>
      </c>
      <c r="B167" s="10">
        <f ca="1"/>
        <v>45657</v>
      </c>
      <c r="C167" s="61" t="s">
        <v>1</v>
      </c>
      <c r="D167" s="62"/>
      <c r="E167" s="62"/>
      <c r="F167" s="62"/>
      <c r="G167" s="62"/>
    </row>
    <row r="168" spans="1:7" x14ac:dyDescent="0.3">
      <c r="A168" s="6"/>
      <c r="B168" s="6"/>
      <c r="C168" s="63"/>
      <c r="D168" s="63"/>
      <c r="E168" s="63"/>
      <c r="F168" s="63"/>
      <c r="G168" s="63"/>
    </row>
  </sheetData>
  <mergeCells count="36">
    <mergeCell ref="C168:G168"/>
    <mergeCell ref="B113:D113"/>
    <mergeCell ref="C125:G125"/>
    <mergeCell ref="C126:G126"/>
    <mergeCell ref="B127:D127"/>
    <mergeCell ref="C139:G139"/>
    <mergeCell ref="C140:G140"/>
    <mergeCell ref="B141:D141"/>
    <mergeCell ref="C153:G153"/>
    <mergeCell ref="C154:G154"/>
    <mergeCell ref="B155:D155"/>
    <mergeCell ref="C167:G167"/>
    <mergeCell ref="C112:G112"/>
    <mergeCell ref="B57:D57"/>
    <mergeCell ref="C69:G69"/>
    <mergeCell ref="C70:G70"/>
    <mergeCell ref="B71:D71"/>
    <mergeCell ref="C83:G83"/>
    <mergeCell ref="C84:G84"/>
    <mergeCell ref="B85:D85"/>
    <mergeCell ref="C97:G97"/>
    <mergeCell ref="C98:G98"/>
    <mergeCell ref="B99:D99"/>
    <mergeCell ref="C111:G111"/>
    <mergeCell ref="C56:G56"/>
    <mergeCell ref="D1:F1"/>
    <mergeCell ref="C13:G13"/>
    <mergeCell ref="C14:G14"/>
    <mergeCell ref="D15:F15"/>
    <mergeCell ref="C27:G27"/>
    <mergeCell ref="C28:G28"/>
    <mergeCell ref="B29:D29"/>
    <mergeCell ref="C41:G41"/>
    <mergeCell ref="C42:G42"/>
    <mergeCell ref="B43:D43"/>
    <mergeCell ref="C55:G55"/>
  </mergeCells>
  <dataValidations count="12">
    <dataValidation allowBlank="1" showInputMessage="1" prompt="Fecha" sqref="A3" xr:uid="{00000000-0002-0000-2B00-000000000000}"/>
    <dataValidation allowBlank="1" showInputMessage="1" showErrorMessage="1" prompt="Día laborable determinado automáticamente. Para cambiar los días laborables, seleccione un nuevo día de inicio de semana en la celda B2." sqref="B16:G16 A156:G156 A142:G142 A128:G128 A114:G114 A100:G100 A86:G86 A72:G72 A58:G58 A44:G44 A30:G30" xr:uid="{00000000-0002-0000-2B00-000001000000}"/>
    <dataValidation allowBlank="1" showInputMessage="1" showErrorMessage="1" prompt="El mes natural se actualiza automáticamente según el mes seleccionado en la celda C1" sqref="B141:D141 B155:D155 B127:D127 B113:D113 B99:D99 B85:D85 B71:D71 B57:D57 B43:D43 B29:D29" xr:uid="{00000000-0002-0000-2B00-00000C000000}"/>
    <dataValidation allowBlank="1" showInputMessage="1" showErrorMessage="1" prompt="El año natural se actualiza automáticamente según el año seleccionado en la celda B1" sqref="A29 A155 A141 A127 A113 A99 A85 A71 A57 A43" xr:uid="{00000000-0002-0000-2B00-000016000000}"/>
    <dataValidation allowBlank="1" showInputMessage="1" prompt="Escriba las notas del mes en esta celda" sqref="C14:G14" xr:uid="{00000000-0002-0000-2B00-000020000000}"/>
    <dataValidation allowBlank="1" showInputMessage="1" prompt="Escriba las notas del mes en la siguiente celda" sqref="C13:G13" xr:uid="{00000000-0002-0000-2B00-000021000000}"/>
    <dataValidation allowBlank="1" showInputMessage="1" prompt="El mes natural se actualiza automáticamente según el mes seleccionado en la celda C1" sqref="B15:C15" xr:uid="{00000000-0002-0000-2B00-000022000000}"/>
    <dataValidation allowBlank="1" showInputMessage="1" prompt="El año natural se actualiza automáticamente según el año seleccionado en la celda B1" sqref="A15" xr:uid="{00000000-0002-0000-2B00-000023000000}"/>
    <dataValidation allowBlank="1" showInputMessage="1" prompt="Día laborable determinado automáticamente. Para cambiar los días laborables, seleccione un nuevo día de inicio de semana en la celda B2." sqref="B2:G2 A16" xr:uid="{00000000-0002-0000-2B00-000024000000}"/>
    <dataValidation allowBlank="1" showInputMessage="1" showErrorMessage="1" prompt="Escriba el año en esta celda" sqref="A1" xr:uid="{00000000-0002-0000-2B00-000026000000}"/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B1:D1 D15" xr:uid="{00000000-0002-0000-2B00-000027000000}">
      <formula1>"enero,febrero,marzo,abril,mayo,junio,julio,agosto,septiembre,octubre,noviembre,diciembre"</formula1>
    </dataValidation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A2" xr:uid="{00000000-0002-0000-2B00-000029000000}">
      <formula1>"DOMINGO,LUNES,MARTES,MIÉRCOLES,JUEVES,VIERNES,SÁBADO"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8A8C2339-3B74-470A-96EF-4D886FD84154}">
            <xm:f>MONTH(JoMa!A3)&lt;&gt;Calendario1MesOpción</xm:f>
            <x14:dxf>
              <font>
                <color rgb="FF747474"/>
              </font>
            </x14:dxf>
          </x14:cfRule>
          <xm:sqref>A3:G3 A5:G5 A7:G7 A9:G9 A11:G11 A13:B13</xm:sqref>
        </x14:conditionalFormatting>
        <x14:conditionalFormatting xmlns:xm="http://schemas.microsoft.com/office/excel/2006/main">
          <x14:cfRule type="expression" priority="11" id="{FD736B3E-A6B2-4BDC-BB7D-673659C76AFC}">
            <xm:f>MONTH(JoMa!A17)&lt;&gt;Calendario2MesOpción</xm:f>
            <x14:dxf>
              <font>
                <color rgb="FF747474"/>
              </font>
            </x14:dxf>
          </x14:cfRule>
          <xm:sqref>A17:G17 A19:G19 A21:G21 A23:G23 A25:G25 A27:B27</xm:sqref>
        </x14:conditionalFormatting>
        <x14:conditionalFormatting xmlns:xm="http://schemas.microsoft.com/office/excel/2006/main">
          <x14:cfRule type="expression" priority="10" id="{A02C906B-A8F9-47DB-91AD-72433A4BDD71}">
            <xm:f>MONTH(JoMa!A31)&lt;&gt;Calendario3MesOpción</xm:f>
            <x14:dxf>
              <font>
                <color rgb="FF747474"/>
              </font>
            </x14:dxf>
          </x14:cfRule>
          <xm:sqref>A31:G31 A33:G33 A35:G35 A37:G37 A39:G39 A41:B41</xm:sqref>
        </x14:conditionalFormatting>
        <x14:conditionalFormatting xmlns:xm="http://schemas.microsoft.com/office/excel/2006/main">
          <x14:cfRule type="expression" priority="9" id="{8D0E6322-9714-44E0-A4BB-5E4BEF939CEE}">
            <xm:f>MONTH(JoMa!A45)&lt;&gt;Calendario4MesOpción</xm:f>
            <x14:dxf>
              <font>
                <color rgb="FF747474"/>
              </font>
            </x14:dxf>
          </x14:cfRule>
          <xm:sqref>A45:G45 A47:G47 A49:G49 A51:G51 A53:G53 A55:B55</xm:sqref>
        </x14:conditionalFormatting>
        <x14:conditionalFormatting xmlns:xm="http://schemas.microsoft.com/office/excel/2006/main">
          <x14:cfRule type="expression" priority="8" id="{FA65A932-A11C-463F-B996-4E1F11D626C5}">
            <xm:f>MONTH(JoMa!A59)&lt;&gt;Calendario5MesOpción</xm:f>
            <x14:dxf>
              <font>
                <color rgb="FF747474"/>
              </font>
            </x14:dxf>
          </x14:cfRule>
          <xm:sqref>A59:G59 A61:G61 A63:G63 A65:G65 A67:G67 A69:B69</xm:sqref>
        </x14:conditionalFormatting>
        <x14:conditionalFormatting xmlns:xm="http://schemas.microsoft.com/office/excel/2006/main">
          <x14:cfRule type="expression" priority="7" id="{81602BBB-A4A4-4123-8764-4D87972C22EA}">
            <xm:f>MONTH(JoMa!A73)&lt;&gt;Calendario6MesOpción</xm:f>
            <x14:dxf>
              <font>
                <color rgb="FF747474"/>
              </font>
            </x14:dxf>
          </x14:cfRule>
          <xm:sqref>A73:G73 A75:G75 A77:G77 A79:G79 A81:G81 A83:B83</xm:sqref>
        </x14:conditionalFormatting>
        <x14:conditionalFormatting xmlns:xm="http://schemas.microsoft.com/office/excel/2006/main">
          <x14:cfRule type="expression" priority="6" id="{C4FBC811-C0DF-4E3F-9F79-0689AA27B4B9}">
            <xm:f>MONTH(JoMa!A87)&lt;&gt;Calendario7MesOpción</xm:f>
            <x14:dxf>
              <font>
                <color rgb="FF747474"/>
              </font>
            </x14:dxf>
          </x14:cfRule>
          <xm:sqref>A87:G87 A89:G89 A91:G91 A93:G93 A95:G95 A97:B97</xm:sqref>
        </x14:conditionalFormatting>
        <x14:conditionalFormatting xmlns:xm="http://schemas.microsoft.com/office/excel/2006/main">
          <x14:cfRule type="expression" priority="5" id="{1DC9D93F-7A0D-4D32-B861-46F0351725F8}">
            <xm:f>MONTH(JoMa!A101)&lt;&gt;Calendario8MesOpción</xm:f>
            <x14:dxf>
              <font>
                <color rgb="FF747474"/>
              </font>
            </x14:dxf>
          </x14:cfRule>
          <xm:sqref>A101:G101 A103:G103 A105:G105 A107:G107 A109:G109 A111:B111</xm:sqref>
        </x14:conditionalFormatting>
        <x14:conditionalFormatting xmlns:xm="http://schemas.microsoft.com/office/excel/2006/main">
          <x14:cfRule type="expression" priority="4" id="{8CD0509E-E8A4-40A1-A33A-C198B8F4AE1B}">
            <xm:f>MONTH(JoMa!A115)&lt;&gt;Calendario9MesOpción</xm:f>
            <x14:dxf>
              <font>
                <color rgb="FF747474"/>
              </font>
            </x14:dxf>
          </x14:cfRule>
          <xm:sqref>A115:G115 A117:G117 A119:G119 A121:G121 A123:G123 A125:B125</xm:sqref>
        </x14:conditionalFormatting>
        <x14:conditionalFormatting xmlns:xm="http://schemas.microsoft.com/office/excel/2006/main">
          <x14:cfRule type="expression" priority="3" id="{9C8FD22E-B678-4A7C-8E5A-545651702167}">
            <xm:f>MONTH(JoMa!A129)&lt;&gt;Calendario10MesOpción</xm:f>
            <x14:dxf>
              <font>
                <color rgb="FF747474"/>
              </font>
            </x14:dxf>
          </x14:cfRule>
          <xm:sqref>A129:G129 A131:G131 A133:G133 A135:G135 A137:G137 A139:B139</xm:sqref>
        </x14:conditionalFormatting>
        <x14:conditionalFormatting xmlns:xm="http://schemas.microsoft.com/office/excel/2006/main">
          <x14:cfRule type="expression" priority="2" id="{0919961E-104B-4F61-AEAC-DACDE83FD594}">
            <xm:f>MONTH(JoMa!A143)&lt;&gt;Calendario11MesOpción</xm:f>
            <x14:dxf>
              <font>
                <color rgb="FF747474"/>
              </font>
            </x14:dxf>
          </x14:cfRule>
          <xm:sqref>A143:G143 A145:G145 A147:G147 A149:G149 A151:G151 A153:B153</xm:sqref>
        </x14:conditionalFormatting>
        <x14:conditionalFormatting xmlns:xm="http://schemas.microsoft.com/office/excel/2006/main">
          <x14:cfRule type="expression" priority="1" id="{D2EA22E6-6D78-41B0-9B90-A8B3B211843E}">
            <xm:f>MONTH(JoMa!A157)&lt;&gt;Calendario12MesOpción</xm:f>
            <x14:dxf>
              <font>
                <color rgb="FF747474"/>
              </font>
            </x14:dxf>
          </x14:cfRule>
          <xm:sqref>A157:G157 A159:G159 A161:G161 A163:G163 A165:G165 A167:B167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44</vt:i4>
      </vt:variant>
      <vt:variant>
        <vt:lpstr>Rangos con nombre</vt:lpstr>
      </vt:variant>
      <vt:variant>
        <vt:i4>62</vt:i4>
      </vt:variant>
    </vt:vector>
  </HeadingPairs>
  <TitlesOfParts>
    <vt:vector size="106" baseType="lpstr">
      <vt:lpstr>Leonor</vt:lpstr>
      <vt:lpstr>Carlos José</vt:lpstr>
      <vt:lpstr>Mar</vt:lpstr>
      <vt:lpstr>Hortensia</vt:lpstr>
      <vt:lpstr>Carmen</vt:lpstr>
      <vt:lpstr>Adrian</vt:lpstr>
      <vt:lpstr>Mariana</vt:lpstr>
      <vt:lpstr>Rosa Ma</vt:lpstr>
      <vt:lpstr>Leonardo</vt:lpstr>
      <vt:lpstr>Emma</vt:lpstr>
      <vt:lpstr>Alfredo</vt:lpstr>
      <vt:lpstr>Roberto</vt:lpstr>
      <vt:lpstr>Ángela </vt:lpstr>
      <vt:lpstr>JoMa</vt:lpstr>
      <vt:lpstr>Salvador</vt:lpstr>
      <vt:lpstr>Diego</vt:lpstr>
      <vt:lpstr>Joshua</vt:lpstr>
      <vt:lpstr>Santamaría</vt:lpstr>
      <vt:lpstr>Yoel</vt:lpstr>
      <vt:lpstr>Manos que sanan</vt:lpstr>
      <vt:lpstr>Isaac</vt:lpstr>
      <vt:lpstr>Ana Luisa</vt:lpstr>
      <vt:lpstr>Martín</vt:lpstr>
      <vt:lpstr>Estela</vt:lpstr>
      <vt:lpstr>Concepción</vt:lpstr>
      <vt:lpstr>Matesa</vt:lpstr>
      <vt:lpstr>Manuel</vt:lpstr>
      <vt:lpstr>Leo</vt:lpstr>
      <vt:lpstr>Magit</vt:lpstr>
      <vt:lpstr>Esteban</vt:lpstr>
      <vt:lpstr>Gil</vt:lpstr>
      <vt:lpstr>Ma Elena</vt:lpstr>
      <vt:lpstr>Rosario</vt:lpstr>
      <vt:lpstr>Isa</vt:lpstr>
      <vt:lpstr>Arturo</vt:lpstr>
      <vt:lpstr>Mayorga</vt:lpstr>
      <vt:lpstr>Valdemar</vt:lpstr>
      <vt:lpstr>Silvia</vt:lpstr>
      <vt:lpstr>Cecilia</vt:lpstr>
      <vt:lpstr>Toño</vt:lpstr>
      <vt:lpstr>Marichuy</vt:lpstr>
      <vt:lpstr>Ricardo</vt:lpstr>
      <vt:lpstr>Rosa</vt:lpstr>
      <vt:lpstr>Amparo</vt:lpstr>
      <vt:lpstr>Adrian!Área_de_impresión</vt:lpstr>
      <vt:lpstr>Calendario10Año</vt:lpstr>
      <vt:lpstr>Calendario10Mes</vt:lpstr>
      <vt:lpstr>Calendario11Año</vt:lpstr>
      <vt:lpstr>Calendario11Mes</vt:lpstr>
      <vt:lpstr>Calendario12Año</vt:lpstr>
      <vt:lpstr>Calendario12Mes</vt:lpstr>
      <vt:lpstr>Calendario1Año</vt:lpstr>
      <vt:lpstr>Calendario1Mes</vt:lpstr>
      <vt:lpstr>Calendario2Año</vt:lpstr>
      <vt:lpstr>Calendario2Mes</vt:lpstr>
      <vt:lpstr>Calendario3Año</vt:lpstr>
      <vt:lpstr>Calendario3Mes</vt:lpstr>
      <vt:lpstr>Calendario4Año</vt:lpstr>
      <vt:lpstr>Calendario4Mes</vt:lpstr>
      <vt:lpstr>Calendario5Año</vt:lpstr>
      <vt:lpstr>Calendario5Mes</vt:lpstr>
      <vt:lpstr>Calendario6Año</vt:lpstr>
      <vt:lpstr>Calendario6Mes</vt:lpstr>
      <vt:lpstr>Calendario7Año</vt:lpstr>
      <vt:lpstr>Calendario7Mes</vt:lpstr>
      <vt:lpstr>Calendario8Año</vt:lpstr>
      <vt:lpstr>Calendario8Mes</vt:lpstr>
      <vt:lpstr>Calendario9Año</vt:lpstr>
      <vt:lpstr>Calendario9Mes</vt:lpstr>
      <vt:lpstr>ColumnTitleRegion1..H12.1</vt:lpstr>
      <vt:lpstr>ColumnTitleRegion10..H54.1</vt:lpstr>
      <vt:lpstr>ColumnTitleRegion11..C56.1</vt:lpstr>
      <vt:lpstr>ColumnTitleRegion12..D56.1</vt:lpstr>
      <vt:lpstr>ColumnTitleRegion13..H68.1</vt:lpstr>
      <vt:lpstr>ColumnTitleRegion14..C70.1</vt:lpstr>
      <vt:lpstr>ColumnTitleRegion15..D70.1</vt:lpstr>
      <vt:lpstr>ColumnTitleRegion16..H82.1</vt:lpstr>
      <vt:lpstr>ColumnTitleRegion17..C84.1</vt:lpstr>
      <vt:lpstr>ColumnTitleRegion18..D84.1</vt:lpstr>
      <vt:lpstr>ColumnTitleRegion19..H96.1</vt:lpstr>
      <vt:lpstr>ColumnTitleRegion2..C14.1</vt:lpstr>
      <vt:lpstr>ColumnTitleRegion20..C98.1</vt:lpstr>
      <vt:lpstr>ColumnTitleRegion21..D98.1</vt:lpstr>
      <vt:lpstr>ColumnTitleRegion22..H110.1</vt:lpstr>
      <vt:lpstr>ColumnTitleRegion23..C112.1</vt:lpstr>
      <vt:lpstr>ColumnTitleRegion24..D112.1</vt:lpstr>
      <vt:lpstr>ColumnTitleRegion25..H124.1</vt:lpstr>
      <vt:lpstr>ColumnTitleRegion26..C126.1</vt:lpstr>
      <vt:lpstr>ColumnTitleRegion27..D126.1</vt:lpstr>
      <vt:lpstr>ColumnTitleRegion28..H138.1</vt:lpstr>
      <vt:lpstr>ColumnTitleRegion29..C140.1</vt:lpstr>
      <vt:lpstr>ColumnTitleRegion3..D14.1</vt:lpstr>
      <vt:lpstr>ColumnTitleRegion30..D140.1</vt:lpstr>
      <vt:lpstr>ColumnTitleRegion31..H152.1</vt:lpstr>
      <vt:lpstr>ColumnTitleRegion32..C154.1</vt:lpstr>
      <vt:lpstr>ColumnTitleRegion33..D154.1</vt:lpstr>
      <vt:lpstr>ColumnTitleRegion34..H166.1</vt:lpstr>
      <vt:lpstr>ColumnTitleRegion35..C168.1</vt:lpstr>
      <vt:lpstr>ColumnTitleRegion36..D168.1</vt:lpstr>
      <vt:lpstr>ColumnTitleRegion4..H26.1</vt:lpstr>
      <vt:lpstr>ColumnTitleRegion5..C28.1</vt:lpstr>
      <vt:lpstr>ColumnTitleRegion6..D28.1</vt:lpstr>
      <vt:lpstr>ColumnTitleRegion7..H40.1</vt:lpstr>
      <vt:lpstr>ColumnTitleRegion8..C42.1</vt:lpstr>
      <vt:lpstr>ColumnTitleRegion9..D42.1</vt:lpstr>
      <vt:lpstr>InicioDeSemana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CECPAM</dc:creator>
  <cp:lastModifiedBy>Ricardo Gonzalez Becerra</cp:lastModifiedBy>
  <dcterms:created xsi:type="dcterms:W3CDTF">2018-02-18T23:49:08Z</dcterms:created>
  <dcterms:modified xsi:type="dcterms:W3CDTF">2024-03-01T22:47:09Z</dcterms:modified>
</cp:coreProperties>
</file>